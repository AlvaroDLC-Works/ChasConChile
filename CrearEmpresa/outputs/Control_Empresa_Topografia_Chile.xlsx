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Presupuesto_Inicial" sheetId="3" state="visible" r:id="rId3"/>
    <sheet xmlns:r="http://schemas.openxmlformats.org/officeDocument/2006/relationships" name="Activos" sheetId="4" state="visible" r:id="rId4"/>
    <sheet xmlns:r="http://schemas.openxmlformats.org/officeDocument/2006/relationships" name="Gastos_Mensuales" sheetId="5" state="visible" r:id="rId5"/>
    <sheet xmlns:r="http://schemas.openxmlformats.org/officeDocument/2006/relationships" name="Clientes" sheetId="6" state="visible" r:id="rId6"/>
    <sheet xmlns:r="http://schemas.openxmlformats.org/officeDocument/2006/relationships" name="Servicios" sheetId="7" state="visible" r:id="rId7"/>
    <sheet xmlns:r="http://schemas.openxmlformats.org/officeDocument/2006/relationships" name="Cotizaciones" sheetId="8" state="visible" r:id="rId8"/>
    <sheet xmlns:r="http://schemas.openxmlformats.org/officeDocument/2006/relationships" name="Proyectos" sheetId="9" state="visible" r:id="rId9"/>
    <sheet xmlns:r="http://schemas.openxmlformats.org/officeDocument/2006/relationships" name="Ingresos" sheetId="10" state="visible" r:id="rId10"/>
    <sheet xmlns:r="http://schemas.openxmlformats.org/officeDocument/2006/relationships" name="Egresos" sheetId="11" state="visible" r:id="rId11"/>
    <sheet xmlns:r="http://schemas.openxmlformats.org/officeDocument/2006/relationships" name="Impuestos" sheetId="12" state="visible" r:id="rId12"/>
    <sheet xmlns:r="http://schemas.openxmlformats.org/officeDocument/2006/relationships" name="Flujo_Caja" sheetId="13" state="visible" r:id="rId13"/>
    <sheet xmlns:r="http://schemas.openxmlformats.org/officeDocument/2006/relationships" name="Roadmap" sheetId="14" state="visible" r:id="rId14"/>
    <sheet xmlns:r="http://schemas.openxmlformats.org/officeDocument/2006/relationships" name="Documentos" sheetId="15" state="visible" r:id="rId15"/>
    <sheet xmlns:r="http://schemas.openxmlformats.org/officeDocument/2006/relationships" name="KPI" sheetId="16" state="visible" r:id="rId16"/>
    <sheet xmlns:r="http://schemas.openxmlformats.org/officeDocument/2006/relationships" name="Schema_AppSheet" sheetId="17" state="visible" r:id="rId17"/>
    <sheet xmlns:r="http://schemas.openxmlformats.org/officeDocument/2006/relationships" name="List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[Red]($#,##0);-"/>
    <numFmt numFmtId="166" formatCode="0.0%;[Red](0.0%);-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1F4E5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4F4"/>
      </patternFill>
    </fill>
    <fill>
      <patternFill patternType="solid">
        <fgColor rgb="002F7D7E"/>
      </patternFill>
    </fill>
  </fills>
  <borders count="2">
    <border>
      <left/>
      <right/>
      <top/>
      <bottom/>
      <diagonal/>
    </border>
    <border>
      <left style="thin">
        <color rgb="00D9E2E2"/>
      </left>
      <right style="thin">
        <color rgb="00D9E2E2"/>
      </right>
      <top style="thin">
        <color rgb="00D9E2E2"/>
      </top>
      <bottom style="thin">
        <color rgb="00D9E2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8B2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Ingresos, egresos e impuestos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'Dashboard'!$D$9:$D$20</f>
            </numRef>
          </cat>
          <val>
            <numRef>
              <f>'Dashboard'!$E$9:$E$20</f>
            </numRef>
          </val>
        </ser>
        <ser>
          <idx val="1"/>
          <order val="1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'Dashboard'!$D$9:$D$20</f>
            </numRef>
          </cat>
          <val>
            <numRef>
              <f>'Dashboard'!$F$9:$F$20</f>
            </numRef>
          </val>
        </ser>
        <ser>
          <idx val="2"/>
          <order val="2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'Dashboard'!$D$9:$D$20</f>
            </numRef>
          </cat>
          <val>
            <numRef>
              <f>'Dashboard'!$G$9:$G$20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final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'Dashboard'!$D$9:$D$20</f>
            </numRef>
          </cat>
          <val>
            <numRef>
              <f>'Dashboard'!$H$9:$H$20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nfiguracion" displayName="tblConfiguracion" ref="A1:M2" headerRowCount="1">
  <autoFilter ref="A1:M2"/>
  <tableColumns count="13">
    <tableColumn id="1" name="ID_Config"/>
    <tableColumn id="2" name="Nombre_Empresa"/>
    <tableColumn id="3" name="RUT_Empresa"/>
    <tableColumn id="4" name="Giro"/>
    <tableColumn id="5" name="Fecha_Inicio"/>
    <tableColumn id="6" name="Moneda"/>
    <tableColumn id="7" name="IVA_Porcentaje"/>
    <tableColumn id="8" name="PPM_Porcentaje"/>
    <tableColumn id="9" name="Meta_Facturacion_Mensual"/>
    <tableColumn id="10" name="Meta_Recuperacion_Meses"/>
    <tableColumn id="11" name="Inversion_Inicial_Total"/>
    <tableColumn id="12" name="Responsable"/>
    <tableColumn id="13" name="Tipo_Contribuy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esupuestoInicial" displayName="tblPresupuestoInicial" ref="A1:N16" headerRowCount="1">
  <autoFilter ref="A1:N16"/>
  <tableColumns count="14">
    <tableColumn id="1" name="ID_Item"/>
    <tableColumn id="2" name="Categoria"/>
    <tableColumn id="3" name="Item"/>
    <tableColumn id="4" name="Descripcion"/>
    <tableColumn id="5" name="Cantidad"/>
    <tableColumn id="6" name="Valor_Unitario"/>
    <tableColumn id="7" name="Subtotal"/>
    <tableColumn id="8" name="Prioridad"/>
    <tableColumn id="9" name="Estado_Compra"/>
    <tableColumn id="10" name="Fecha_Estimada_Compra"/>
    <tableColumn id="11" name="Fecha_Compra_Real"/>
    <tableColumn id="12" name="Proveedor"/>
    <tableColumn id="13" name="Documento_Respaldo"/>
    <tableColumn id="14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tivos" displayName="tblActivos" ref="A1:O2" headerRowCount="1">
  <autoFilter ref="A1:O2"/>
  <tableColumns count="15">
    <tableColumn id="1" name="ID_Activo"/>
    <tableColumn id="2" name="Nombre_Activo"/>
    <tableColumn id="3" name="Categoria"/>
    <tableColumn id="4" name="Marca"/>
    <tableColumn id="5" name="Modelo"/>
    <tableColumn id="6" name="Numero_Serie"/>
    <tableColumn id="7" name="Fecha_Compra"/>
    <tableColumn id="8" name="Valor_Compra"/>
    <tableColumn id="9" name="Vida_Util_Meses"/>
    <tableColumn id="10" name="Depreciacion_Mensual"/>
    <tableColumn id="11" name="Estado"/>
    <tableColumn id="12" name="Ubicacion"/>
    <tableColumn id="13" name="Responsable"/>
    <tableColumn id="14" name="Documento_Factura"/>
    <tableColumn id="15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GastosMensuales" displayName="tblGastosMensuales" ref="A1:M6" headerRowCount="1">
  <autoFilter ref="A1:M6"/>
  <tableColumns count="13">
    <tableColumn id="1" name="ID_Gasto"/>
    <tableColumn id="2" name="Mes"/>
    <tableColumn id="3" name="Año"/>
    <tableColumn id="4" name="Categoria"/>
    <tableColumn id="5" name="Concepto"/>
    <tableColumn id="6" name="Monto_Neto"/>
    <tableColumn id="7" name="IVA"/>
    <tableColumn id="8" name="Monto_Total"/>
    <tableColumn id="9" name="Es_Recurrente"/>
    <tableColumn id="10" name="Estado_Pago"/>
    <tableColumn id="11" name="Fecha_Pago"/>
    <tableColumn id="12" name="Documento_Respaldo"/>
    <tableColumn id="13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lientes" displayName="tblClientes" ref="A1:N2" headerRowCount="1">
  <autoFilter ref="A1:N2"/>
  <tableColumns count="14">
    <tableColumn id="1" name="ID_Cliente"/>
    <tableColumn id="2" name="Nombre_Cliente"/>
    <tableColumn id="3" name="Tipo_Cliente"/>
    <tableColumn id="4" name="RUT"/>
    <tableColumn id="5" name="Contacto"/>
    <tableColumn id="6" name="Telefono"/>
    <tableColumn id="7" name="Email"/>
    <tableColumn id="8" name="Comuna"/>
    <tableColumn id="9" name="Region"/>
    <tableColumn id="10" name="Sector"/>
    <tableColumn id="11" name="Estado"/>
    <tableColumn id="12" name="Fuente_Contacto"/>
    <tableColumn id="13" name="Fecha_Primer_Contacto"/>
    <tableColumn id="14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ervicios" displayName="tblServicios" ref="A1:K9" headerRowCount="1">
  <autoFilter ref="A1:K9"/>
  <tableColumns count="11">
    <tableColumn id="1" name="ID_Servicio"/>
    <tableColumn id="2" name="Nombre_Servicio"/>
    <tableColumn id="3" name="Categoria"/>
    <tableColumn id="4" name="Descripcion"/>
    <tableColumn id="5" name="Precio_Minimo"/>
    <tableColumn id="6" name="Precio_Maximo"/>
    <tableColumn id="7" name="Unidad_Cobro"/>
    <tableColumn id="8" name="Requiere_Terreno"/>
    <tableColumn id="9" name="Requiere_Gabinete"/>
    <tableColumn id="10" name="Documentos_Entregables"/>
    <tableColumn id="11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tizaciones" displayName="tblCotizaciones" ref="A1:O2" headerRowCount="1">
  <autoFilter ref="A1:O2"/>
  <tableColumns count="15">
    <tableColumn id="1" name="ID_Cotizacion"/>
    <tableColumn id="2" name="Fecha"/>
    <tableColumn id="3" name="ID_Cliente"/>
    <tableColumn id="4" name="Nombre_Proyecto"/>
    <tableColumn id="5" name="Servicio_Principal"/>
    <tableColumn id="6" name="Descripcion"/>
    <tableColumn id="7" name="Monto_Neto"/>
    <tableColumn id="8" name="IVA"/>
    <tableColumn id="9" name="Monto_Total"/>
    <tableColumn id="10" name="Estado"/>
    <tableColumn id="11" name="Fecha_Envio"/>
    <tableColumn id="12" name="Fecha_Respuesta"/>
    <tableColumn id="13" name="Probabilidad_Cierre"/>
    <tableColumn id="14" name="Documento_Cotizacion"/>
    <tableColumn id="15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royectos" displayName="tblProyectos" ref="A1:V2" headerRowCount="1">
  <autoFilter ref="A1:V2"/>
  <tableColumns count="22">
    <tableColumn id="1" name="ID_Proyecto"/>
    <tableColumn id="2" name="ID_Cotizacion"/>
    <tableColumn id="3" name="ID_Cliente"/>
    <tableColumn id="4" name="Nombre_Proyecto"/>
    <tableColumn id="5" name="Tipo_Servicio"/>
    <tableColumn id="6" name="Fecha_Inicio"/>
    <tableColumn id="7" name="Fecha_Termino_Estimada"/>
    <tableColumn id="8" name="Fecha_Termino_Real"/>
    <tableColumn id="9" name="Estado"/>
    <tableColumn id="10" name="Monto_Contrato_Neto"/>
    <tableColumn id="11" name="IVA"/>
    <tableColumn id="12" name="Monto_Contrato_Total"/>
    <tableColumn id="13" name="Costo_Estimado"/>
    <tableColumn id="14" name="Costo_Real"/>
    <tableColumn id="15" name="Utilidad_Estimada"/>
    <tableColumn id="16" name="Utilidad_Real"/>
    <tableColumn id="17" name="Margen_Real_Porcentaje"/>
    <tableColumn id="18" name="Ubicacion"/>
    <tableColumn id="19" name="Comuna"/>
    <tableColumn id="20" name="Region"/>
    <tableColumn id="21" name="Responsable"/>
    <tableColumn id="22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Ingresos" displayName="tblIngresos" ref="A1:P2" headerRowCount="1">
  <autoFilter ref="A1:P2"/>
  <tableColumns count="16">
    <tableColumn id="1" name="ID_Ingreso"/>
    <tableColumn id="2" name="ID_Proyecto"/>
    <tableColumn id="3" name="ID_Cliente"/>
    <tableColumn id="4" name="Fecha_Emision"/>
    <tableColumn id="5" name="Fecha_Pago"/>
    <tableColumn id="6" name="Tipo_Documento"/>
    <tableColumn id="7" name="Numero_Documento"/>
    <tableColumn id="8" name="Monto_Neto"/>
    <tableColumn id="9" name="IVA"/>
    <tableColumn id="10" name="Monto_Total"/>
    <tableColumn id="11" name="Retencion"/>
    <tableColumn id="12" name="PPM"/>
    <tableColumn id="13" name="Monto_Liquido"/>
    <tableColumn id="14" name="Estado_Cobro"/>
    <tableColumn id="15" name="Documento_Respaldo"/>
    <tableColumn id="16" name="Observacio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Egresos" displayName="tblEgresos" ref="A1:M2" headerRowCount="1">
  <autoFilter ref="A1:M2"/>
  <tableColumns count="13">
    <tableColumn id="1" name="ID_Egreso"/>
    <tableColumn id="2" name="Fecha"/>
    <tableColumn id="3" name="Categoria"/>
    <tableColumn id="4" name="Concepto"/>
    <tableColumn id="5" name="Proveedor"/>
    <tableColumn id="6" name="Monto_Neto"/>
    <tableColumn id="7" name="IVA"/>
    <tableColumn id="8" name="Monto_Total"/>
    <tableColumn id="9" name="Medio_Pago"/>
    <tableColumn id="10" name="Estado_Pago"/>
    <tableColumn id="11" name="Documento_Respaldo"/>
    <tableColumn id="12" name="Es_Deducible"/>
    <tableColumn id="13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Impuestos" displayName="tblImpuestos" ref="A1:M13" headerRowCount="1">
  <autoFilter ref="A1:M13"/>
  <tableColumns count="13">
    <tableColumn id="1" name="ID_Impuesto"/>
    <tableColumn id="2" name="Mes"/>
    <tableColumn id="3" name="Año"/>
    <tableColumn id="4" name="IVA_Debito"/>
    <tableColumn id="5" name="IVA_Credito"/>
    <tableColumn id="6" name="IVA_A_Pagar"/>
    <tableColumn id="7" name="PPM"/>
    <tableColumn id="8" name="Otros_Impuestos"/>
    <tableColumn id="9" name="Total_Impuestos"/>
    <tableColumn id="10" name="Estado"/>
    <tableColumn id="11" name="Fecha_Pago"/>
    <tableColumn id="12" name="Documento_Respaldo"/>
    <tableColumn id="13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FlujoCaja" displayName="tblFlujoCaja" ref="A1:I13" headerRowCount="1">
  <autoFilter ref="A1:I13"/>
  <tableColumns count="9">
    <tableColumn id="1" name="ID_Flujo"/>
    <tableColumn id="2" name="Mes"/>
    <tableColumn id="3" name="Año"/>
    <tableColumn id="4" name="Saldo_Inicial"/>
    <tableColumn id="5" name="Total_Ingresos"/>
    <tableColumn id="6" name="Total_Egresos"/>
    <tableColumn id="7" name="Total_Impuestos"/>
    <tableColumn id="8" name="Saldo_Final"/>
    <tableColumn id="9" name="Observacion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Roadmap" displayName="tblRoadmap" ref="A1:N11" headerRowCount="1">
  <autoFilter ref="A1:N11"/>
  <tableColumns count="14">
    <tableColumn id="1" name="ID_Tarea"/>
    <tableColumn id="2" name="Etapa"/>
    <tableColumn id="3" name="Tarea"/>
    <tableColumn id="4" name="Descripcion"/>
    <tableColumn id="5" name="Prioridad"/>
    <tableColumn id="6" name="Responsable"/>
    <tableColumn id="7" name="Fecha_Inicio"/>
    <tableColumn id="8" name="Fecha_Limite"/>
    <tableColumn id="9" name="Fecha_Cierre"/>
    <tableColumn id="10" name="Estado"/>
    <tableColumn id="11" name="Porcentaje_Avance"/>
    <tableColumn id="12" name="Dependencia"/>
    <tableColumn id="13" name="Documento_Asociado"/>
    <tableColumn id="14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Documentos" displayName="tblDocumentos" ref="A1:J2" headerRowCount="1">
  <autoFilter ref="A1:J2"/>
  <tableColumns count="10">
    <tableColumn id="1" name="ID_Documento"/>
    <tableColumn id="2" name="Categoria"/>
    <tableColumn id="3" name="Nombre_Documento"/>
    <tableColumn id="4" name="Fecha"/>
    <tableColumn id="5" name="Relacionado_A"/>
    <tableColumn id="6" name="ID_Relacionado"/>
    <tableColumn id="7" name="Archivo"/>
    <tableColumn id="8" name="Vencimiento"/>
    <tableColumn id="9" name="Estado"/>
    <tableColumn id="10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KPI" displayName="tblKPI" ref="A1:N13" headerRowCount="1">
  <autoFilter ref="A1:N13"/>
  <tableColumns count="14">
    <tableColumn id="1" name="ID_KPI"/>
    <tableColumn id="2" name="Mes"/>
    <tableColumn id="3" name="Año"/>
    <tableColumn id="4" name="Facturacion_Total"/>
    <tableColumn id="5" name="Gastos_Totales"/>
    <tableColumn id="6" name="Utilidad_Neta"/>
    <tableColumn id="7" name="Margen_Neto"/>
    <tableColumn id="8" name="Cotizaciones_Enviadas"/>
    <tableColumn id="9" name="Cotizaciones_Aprobadas"/>
    <tableColumn id="10" name="Tasa_Conversion"/>
    <tableColumn id="11" name="Inversion_Recuperada"/>
    <tableColumn id="12" name="Porcentaje_Recuperacion_Inversion"/>
    <tableColumn id="13" name="Saldo_Caja"/>
    <tableColumn id="14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SchemaAppSheet" displayName="tblSchemaAppSheet" ref="A1:H13" headerRowCount="1">
  <autoFilter ref="A1:H13"/>
  <tableColumns count="8">
    <tableColumn id="1" name="Tabla"/>
    <tableColumn id="2" name="Columna"/>
    <tableColumn id="3" name="Tipo AppSheet"/>
    <tableColumn id="4" name="Key"/>
    <tableColumn id="5" name="Label"/>
    <tableColumn id="6" name="Formula / App formula"/>
    <tableColumn id="7" name="Validacion / Valores"/>
    <tableColumn id="8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7" customWidth="1" min="4" max="4"/>
    <col width="38" customWidth="1" min="5" max="5"/>
    <col width="38" customWidth="1" min="6" max="6"/>
    <col width="38" customWidth="1" min="7" max="7"/>
    <col width="38" customWidth="1" min="8" max="8"/>
    <col width="10" customWidth="1" min="9" max="9"/>
    <col width="10" customWidth="1" min="10" max="10"/>
  </cols>
  <sheetData>
    <row r="1">
      <c r="A1" s="1" t="inlineStr">
        <is>
          <t>Control Empresa Topografia Chile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Dashboard ejecutivo para gestion diaria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Indicador</t>
        </is>
      </c>
      <c r="B4" s="4" t="inlineStr">
        <is>
          <t>Valor</t>
        </is>
      </c>
      <c r="C4" s="2" t="n"/>
      <c r="D4" s="4" t="inlineStr">
        <is>
          <t>Periodo actual</t>
        </is>
      </c>
      <c r="E4" s="4">
        <f>MONTH(TODAY())</f>
        <v/>
      </c>
      <c r="F4" s="4">
        <f>YEAR(TODAY())</f>
        <v/>
      </c>
      <c r="G4" s="2" t="n"/>
      <c r="H4" s="2" t="n"/>
      <c r="I4" s="2" t="n"/>
      <c r="J4" s="2" t="n"/>
    </row>
    <row r="5">
      <c r="A5" s="5" t="inlineStr">
        <is>
          <t>Inversion inicial total</t>
        </is>
      </c>
      <c r="B5" s="6">
        <f>Configuracion!K2</f>
        <v/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Monto comprado</t>
        </is>
      </c>
      <c r="B6" s="6">
        <f>SUMIF(Presupuesto_Inicial!I:I,"Comprado",Presupuesto_Inicial!G:G)</f>
        <v/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5" t="inlineStr">
        <is>
          <t>Monto pendiente</t>
        </is>
      </c>
      <c r="B7" s="6">
        <f>SUMIF(Presupuesto_Inicial!I:I,"&lt;&gt;Comprado",Presupuesto_Inicial!G:G)</f>
        <v/>
      </c>
      <c r="C7" s="2" t="n"/>
      <c r="D7" s="7" t="inlineStr">
        <is>
          <t>Resumen mensual</t>
        </is>
      </c>
      <c r="E7" s="7" t="n"/>
      <c r="F7" s="7" t="n"/>
      <c r="G7" s="7" t="n"/>
      <c r="H7" s="7" t="n"/>
      <c r="I7" s="2" t="n"/>
      <c r="J7" s="2" t="n"/>
    </row>
    <row r="8">
      <c r="A8" s="5" t="inlineStr">
        <is>
          <t>Facturacion mensual</t>
        </is>
      </c>
      <c r="B8" s="6">
        <f>SUMIFS(Ingresos!J:J,Ingresos!D:D,"&gt;="&amp;DATE($F$4,$E$4,1),Ingresos!D:D,"&lt;"&amp;EDATE(DATE($F$4,$E$4,1),1))</f>
        <v/>
      </c>
      <c r="C8" s="2" t="n"/>
      <c r="D8" s="2" t="inlineStr">
        <is>
          <t>Mes</t>
        </is>
      </c>
      <c r="E8" s="2" t="inlineStr">
        <is>
          <t>Ingresos</t>
        </is>
      </c>
      <c r="F8" s="2" t="inlineStr">
        <is>
          <t>Egresos</t>
        </is>
      </c>
      <c r="G8" s="2" t="inlineStr">
        <is>
          <t>Impuestos</t>
        </is>
      </c>
      <c r="H8" s="2" t="inlineStr">
        <is>
          <t>Saldo final</t>
        </is>
      </c>
      <c r="I8" s="2" t="n"/>
      <c r="J8" s="2" t="n"/>
    </row>
    <row r="9">
      <c r="A9" s="5" t="inlineStr">
        <is>
          <t>Gastos mensuales</t>
        </is>
      </c>
      <c r="B9" s="6">
        <f>SUMIFS(Egresos!H:H,Egresos!B:B,"&gt;="&amp;DATE($F$4,$E$4,1),Egresos!B:B,"&lt;"&amp;EDATE(DATE($F$4,$E$4,1),1))</f>
        <v/>
      </c>
      <c r="C9" s="2" t="n"/>
      <c r="D9" s="2" t="n">
        <v>1</v>
      </c>
      <c r="E9" s="8">
        <f>SUMIFS(Flujo_Caja!D:D,Flujo_Caja!B:B,D9,Flujo_Caja!C:C,$F$4)</f>
        <v/>
      </c>
      <c r="F9" s="8">
        <f>SUMIFS(Flujo_Caja!E:E,Flujo_Caja!B:B,D9,Flujo_Caja!C:C,$F$4)</f>
        <v/>
      </c>
      <c r="G9" s="8">
        <f>SUMIFS(Flujo_Caja!F:F,Flujo_Caja!B:B,D9,Flujo_Caja!C:C,$F$4)</f>
        <v/>
      </c>
      <c r="H9" s="8">
        <f>SUMIFS(Flujo_Caja!G:G,Flujo_Caja!B:B,D9,Flujo_Caja!C:C,$F$4)</f>
        <v/>
      </c>
      <c r="I9" s="2" t="n"/>
      <c r="J9" s="2" t="n"/>
    </row>
    <row r="10">
      <c r="A10" s="5" t="inlineStr">
        <is>
          <t>Impuestos estimados</t>
        </is>
      </c>
      <c r="B10" s="6">
        <f>SUMIFS(Impuestos!I:I,Impuestos!B:B,$E$4,Impuestos!C:C,$F$4)</f>
        <v/>
      </c>
      <c r="C10" s="2" t="n"/>
      <c r="D10" s="2" t="n">
        <v>2</v>
      </c>
      <c r="E10" s="8">
        <f>SUMIFS(Flujo_Caja!D:D,Flujo_Caja!B:B,D10,Flujo_Caja!C:C,$F$4)</f>
        <v/>
      </c>
      <c r="F10" s="8">
        <f>SUMIFS(Flujo_Caja!E:E,Flujo_Caja!B:B,D10,Flujo_Caja!C:C,$F$4)</f>
        <v/>
      </c>
      <c r="G10" s="8">
        <f>SUMIFS(Flujo_Caja!F:F,Flujo_Caja!B:B,D10,Flujo_Caja!C:C,$F$4)</f>
        <v/>
      </c>
      <c r="H10" s="8">
        <f>SUMIFS(Flujo_Caja!G:G,Flujo_Caja!B:B,D10,Flujo_Caja!C:C,$F$4)</f>
        <v/>
      </c>
      <c r="I10" s="2" t="n"/>
      <c r="J10" s="2" t="n"/>
    </row>
    <row r="11">
      <c r="A11" s="5" t="inlineStr">
        <is>
          <t>Utilidad neta</t>
        </is>
      </c>
      <c r="B11" s="6">
        <f>B8-B9-B10</f>
        <v/>
      </c>
      <c r="C11" s="2" t="n"/>
      <c r="D11" s="2" t="n">
        <v>3</v>
      </c>
      <c r="E11" s="8">
        <f>SUMIFS(Flujo_Caja!D:D,Flujo_Caja!B:B,D11,Flujo_Caja!C:C,$F$4)</f>
        <v/>
      </c>
      <c r="F11" s="8">
        <f>SUMIFS(Flujo_Caja!E:E,Flujo_Caja!B:B,D11,Flujo_Caja!C:C,$F$4)</f>
        <v/>
      </c>
      <c r="G11" s="8">
        <f>SUMIFS(Flujo_Caja!F:F,Flujo_Caja!B:B,D11,Flujo_Caja!C:C,$F$4)</f>
        <v/>
      </c>
      <c r="H11" s="8">
        <f>SUMIFS(Flujo_Caja!G:G,Flujo_Caja!B:B,D11,Flujo_Caja!C:C,$F$4)</f>
        <v/>
      </c>
      <c r="I11" s="2" t="n"/>
      <c r="J11" s="2" t="n"/>
    </row>
    <row r="12">
      <c r="A12" s="5" t="inlineStr">
        <is>
          <t>Recuperacion inversion</t>
        </is>
      </c>
      <c r="B12" s="9">
        <f>IFERROR(SUM(KPI!K:K)/Configuracion!K2,0)</f>
        <v/>
      </c>
      <c r="C12" s="2" t="n"/>
      <c r="D12" s="2" t="n">
        <v>4</v>
      </c>
      <c r="E12" s="8">
        <f>SUMIFS(Flujo_Caja!D:D,Flujo_Caja!B:B,D12,Flujo_Caja!C:C,$F$4)</f>
        <v/>
      </c>
      <c r="F12" s="8">
        <f>SUMIFS(Flujo_Caja!E:E,Flujo_Caja!B:B,D12,Flujo_Caja!C:C,$F$4)</f>
        <v/>
      </c>
      <c r="G12" s="8">
        <f>SUMIFS(Flujo_Caja!F:F,Flujo_Caja!B:B,D12,Flujo_Caja!C:C,$F$4)</f>
        <v/>
      </c>
      <c r="H12" s="8">
        <f>SUMIFS(Flujo_Caja!G:G,Flujo_Caja!B:B,D12,Flujo_Caja!C:C,$F$4)</f>
        <v/>
      </c>
      <c r="I12" s="2" t="n"/>
      <c r="J12" s="2" t="n"/>
    </row>
    <row r="13">
      <c r="A13" s="5" t="inlineStr">
        <is>
          <t>Proyectos activos</t>
        </is>
      </c>
      <c r="B13" s="5">
        <f>COUNTIF(Proyectos!I:I,"En ejecucion")</f>
        <v/>
      </c>
      <c r="C13" s="2" t="n"/>
      <c r="D13" s="2" t="n">
        <v>5</v>
      </c>
      <c r="E13" s="8">
        <f>SUMIFS(Flujo_Caja!D:D,Flujo_Caja!B:B,D13,Flujo_Caja!C:C,$F$4)</f>
        <v/>
      </c>
      <c r="F13" s="8">
        <f>SUMIFS(Flujo_Caja!E:E,Flujo_Caja!B:B,D13,Flujo_Caja!C:C,$F$4)</f>
        <v/>
      </c>
      <c r="G13" s="8">
        <f>SUMIFS(Flujo_Caja!F:F,Flujo_Caja!B:B,D13,Flujo_Caja!C:C,$F$4)</f>
        <v/>
      </c>
      <c r="H13" s="8">
        <f>SUMIFS(Flujo_Caja!G:G,Flujo_Caja!B:B,D13,Flujo_Caja!C:C,$F$4)</f>
        <v/>
      </c>
      <c r="I13" s="2" t="n"/>
      <c r="J13" s="2" t="n"/>
    </row>
    <row r="14">
      <c r="A14" s="5" t="inlineStr">
        <is>
          <t>Cotizaciones pendientes</t>
        </is>
      </c>
      <c r="B14" s="5">
        <f>COUNTIFS(Cotizaciones!J:J,"Enviada")</f>
        <v/>
      </c>
      <c r="C14" s="2" t="n"/>
      <c r="D14" s="2" t="n">
        <v>6</v>
      </c>
      <c r="E14" s="8">
        <f>SUMIFS(Flujo_Caja!D:D,Flujo_Caja!B:B,D14,Flujo_Caja!C:C,$F$4)</f>
        <v/>
      </c>
      <c r="F14" s="8">
        <f>SUMIFS(Flujo_Caja!E:E,Flujo_Caja!B:B,D14,Flujo_Caja!C:C,$F$4)</f>
        <v/>
      </c>
      <c r="G14" s="8">
        <f>SUMIFS(Flujo_Caja!F:F,Flujo_Caja!B:B,D14,Flujo_Caja!C:C,$F$4)</f>
        <v/>
      </c>
      <c r="H14" s="8">
        <f>SUMIFS(Flujo_Caja!G:G,Flujo_Caja!B:B,D14,Flujo_Caja!C:C,$F$4)</f>
        <v/>
      </c>
      <c r="I14" s="2" t="n"/>
      <c r="J14" s="2" t="n"/>
    </row>
    <row r="15">
      <c r="A15" s="2" t="n"/>
      <c r="B15" s="2" t="n"/>
      <c r="C15" s="2" t="n"/>
      <c r="D15" s="2" t="n">
        <v>7</v>
      </c>
      <c r="E15" s="8">
        <f>SUMIFS(Flujo_Caja!D:D,Flujo_Caja!B:B,D15,Flujo_Caja!C:C,$F$4)</f>
        <v/>
      </c>
      <c r="F15" s="8">
        <f>SUMIFS(Flujo_Caja!E:E,Flujo_Caja!B:B,D15,Flujo_Caja!C:C,$F$4)</f>
        <v/>
      </c>
      <c r="G15" s="8">
        <f>SUMIFS(Flujo_Caja!F:F,Flujo_Caja!B:B,D15,Flujo_Caja!C:C,$F$4)</f>
        <v/>
      </c>
      <c r="H15" s="8">
        <f>SUMIFS(Flujo_Caja!G:G,Flujo_Caja!B:B,D15,Flujo_Caja!C:C,$F$4)</f>
        <v/>
      </c>
      <c r="I15" s="2" t="n"/>
      <c r="J15" s="2" t="n"/>
    </row>
    <row r="16">
      <c r="A16" s="2" t="n"/>
      <c r="B16" s="2" t="n"/>
      <c r="C16" s="2" t="n"/>
      <c r="D16" s="2" t="n">
        <v>8</v>
      </c>
      <c r="E16" s="8">
        <f>SUMIFS(Flujo_Caja!D:D,Flujo_Caja!B:B,D16,Flujo_Caja!C:C,$F$4)</f>
        <v/>
      </c>
      <c r="F16" s="8">
        <f>SUMIFS(Flujo_Caja!E:E,Flujo_Caja!B:B,D16,Flujo_Caja!C:C,$F$4)</f>
        <v/>
      </c>
      <c r="G16" s="8">
        <f>SUMIFS(Flujo_Caja!F:F,Flujo_Caja!B:B,D16,Flujo_Caja!C:C,$F$4)</f>
        <v/>
      </c>
      <c r="H16" s="8">
        <f>SUMIFS(Flujo_Caja!G:G,Flujo_Caja!B:B,D16,Flujo_Caja!C:C,$F$4)</f>
        <v/>
      </c>
      <c r="I16" s="2" t="n"/>
      <c r="J16" s="2" t="n"/>
    </row>
    <row r="17">
      <c r="A17" s="2" t="n"/>
      <c r="B17" s="2" t="n"/>
      <c r="C17" s="2" t="n"/>
      <c r="D17" s="2" t="n">
        <v>9</v>
      </c>
      <c r="E17" s="8">
        <f>SUMIFS(Flujo_Caja!D:D,Flujo_Caja!B:B,D17,Flujo_Caja!C:C,$F$4)</f>
        <v/>
      </c>
      <c r="F17" s="8">
        <f>SUMIFS(Flujo_Caja!E:E,Flujo_Caja!B:B,D17,Flujo_Caja!C:C,$F$4)</f>
        <v/>
      </c>
      <c r="G17" s="8">
        <f>SUMIFS(Flujo_Caja!F:F,Flujo_Caja!B:B,D17,Flujo_Caja!C:C,$F$4)</f>
        <v/>
      </c>
      <c r="H17" s="8">
        <f>SUMIFS(Flujo_Caja!G:G,Flujo_Caja!B:B,D17,Flujo_Caja!C:C,$F$4)</f>
        <v/>
      </c>
      <c r="I17" s="2" t="n"/>
      <c r="J17" s="2" t="n"/>
    </row>
    <row r="18">
      <c r="A18" s="2" t="n"/>
      <c r="B18" s="2" t="n"/>
      <c r="C18" s="2" t="n"/>
      <c r="D18" s="2" t="n">
        <v>10</v>
      </c>
      <c r="E18" s="8">
        <f>SUMIFS(Flujo_Caja!D:D,Flujo_Caja!B:B,D18,Flujo_Caja!C:C,$F$4)</f>
        <v/>
      </c>
      <c r="F18" s="8">
        <f>SUMIFS(Flujo_Caja!E:E,Flujo_Caja!B:B,D18,Flujo_Caja!C:C,$F$4)</f>
        <v/>
      </c>
      <c r="G18" s="8">
        <f>SUMIFS(Flujo_Caja!F:F,Flujo_Caja!B:B,D18,Flujo_Caja!C:C,$F$4)</f>
        <v/>
      </c>
      <c r="H18" s="8">
        <f>SUMIFS(Flujo_Caja!G:G,Flujo_Caja!B:B,D18,Flujo_Caja!C:C,$F$4)</f>
        <v/>
      </c>
      <c r="I18" s="2" t="n"/>
      <c r="J18" s="2" t="n"/>
    </row>
    <row r="19">
      <c r="A19" s="2" t="n"/>
      <c r="B19" s="2" t="n"/>
      <c r="C19" s="2" t="n"/>
      <c r="D19" s="2" t="n">
        <v>11</v>
      </c>
      <c r="E19" s="8">
        <f>SUMIFS(Flujo_Caja!D:D,Flujo_Caja!B:B,D19,Flujo_Caja!C:C,$F$4)</f>
        <v/>
      </c>
      <c r="F19" s="8">
        <f>SUMIFS(Flujo_Caja!E:E,Flujo_Caja!B:B,D19,Flujo_Caja!C:C,$F$4)</f>
        <v/>
      </c>
      <c r="G19" s="8">
        <f>SUMIFS(Flujo_Caja!F:F,Flujo_Caja!B:B,D19,Flujo_Caja!C:C,$F$4)</f>
        <v/>
      </c>
      <c r="H19" s="8">
        <f>SUMIFS(Flujo_Caja!G:G,Flujo_Caja!B:B,D19,Flujo_Caja!C:C,$F$4)</f>
        <v/>
      </c>
      <c r="I19" s="2" t="n"/>
      <c r="J19" s="2" t="n"/>
    </row>
    <row r="20">
      <c r="A20" s="2" t="n"/>
      <c r="B20" s="2" t="n"/>
      <c r="C20" s="2" t="n"/>
      <c r="D20" s="2" t="n">
        <v>12</v>
      </c>
      <c r="E20" s="8">
        <f>SUMIFS(Flujo_Caja!D:D,Flujo_Caja!B:B,D20,Flujo_Caja!C:C,$F$4)</f>
        <v/>
      </c>
      <c r="F20" s="8">
        <f>SUMIFS(Flujo_Caja!E:E,Flujo_Caja!B:B,D20,Flujo_Caja!C:C,$F$4)</f>
        <v/>
      </c>
      <c r="G20" s="8">
        <f>SUMIFS(Flujo_Caja!F:F,Flujo_Caja!B:B,D20,Flujo_Caja!C:C,$F$4)</f>
        <v/>
      </c>
      <c r="H20" s="8">
        <f>SUMIFS(Flujo_Caja!G:G,Flujo_Caja!B:B,D20,Flujo_Caja!C:C,$F$4)</f>
        <v/>
      </c>
      <c r="I20" s="2" t="n"/>
      <c r="J20" s="2" t="n"/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38" customWidth="1" min="4" max="4"/>
    <col width="14" customWidth="1" min="5" max="5"/>
    <col width="10" customWidth="1" min="6" max="6"/>
    <col width="16" customWidth="1" min="7" max="7"/>
    <col width="16" customWidth="1" min="8" max="8"/>
    <col width="26" customWidth="1" min="9" max="9"/>
    <col width="25" customWidth="1" min="10" max="10"/>
    <col width="31" customWidth="1" min="11" max="11"/>
    <col width="13" customWidth="1" min="12" max="12"/>
    <col width="20" customWidth="1" min="13" max="13"/>
  </cols>
  <sheetData>
    <row r="1">
      <c r="A1" s="4" t="inlineStr">
        <is>
          <t>ID_Config</t>
        </is>
      </c>
      <c r="B1" s="4" t="inlineStr">
        <is>
          <t>Nombre_Empresa</t>
        </is>
      </c>
      <c r="C1" s="4" t="inlineStr">
        <is>
          <t>RUT_Empresa</t>
        </is>
      </c>
      <c r="D1" s="4" t="inlineStr">
        <is>
          <t>Giro</t>
        </is>
      </c>
      <c r="E1" s="4" t="inlineStr">
        <is>
          <t>Fecha_Inicio</t>
        </is>
      </c>
      <c r="F1" s="4" t="inlineStr">
        <is>
          <t>Moneda</t>
        </is>
      </c>
      <c r="G1" s="4" t="inlineStr">
        <is>
          <t>IVA_Porcentaje</t>
        </is>
      </c>
      <c r="H1" s="4" t="inlineStr">
        <is>
          <t>PPM_Porcentaje</t>
        </is>
      </c>
      <c r="I1" s="4" t="inlineStr">
        <is>
          <t>Meta_Facturacion_Mensual</t>
        </is>
      </c>
      <c r="J1" s="4" t="inlineStr">
        <is>
          <t>Meta_Recuperacion_Meses</t>
        </is>
      </c>
      <c r="K1" s="4" t="inlineStr">
        <is>
          <t>Inversion_Inicial_Total</t>
        </is>
      </c>
      <c r="L1" s="4" t="inlineStr">
        <is>
          <t>Responsable</t>
        </is>
      </c>
      <c r="M1" s="4" t="inlineStr">
        <is>
          <t>Tipo_Contribuyente</t>
        </is>
      </c>
    </row>
    <row r="2">
      <c r="A2" s="2" t="inlineStr">
        <is>
          <t>CFG-001</t>
        </is>
      </c>
      <c r="B2" s="2" t="inlineStr">
        <is>
          <t>Control Empresa Topografia Chile</t>
        </is>
      </c>
      <c r="C2" s="2" t="inlineStr"/>
      <c r="D2" s="2" t="inlineStr">
        <is>
          <t>Servicios de topografia, geomatica y apoyo tecnico</t>
        </is>
      </c>
      <c r="E2" s="10" t="n">
        <v>46193</v>
      </c>
      <c r="F2" s="2" t="inlineStr">
        <is>
          <t>CLP</t>
        </is>
      </c>
      <c r="G2" s="11" t="n">
        <v>0.19</v>
      </c>
      <c r="H2" s="11" t="n">
        <v>0.01</v>
      </c>
      <c r="I2" s="8" t="n">
        <v>2500000</v>
      </c>
      <c r="J2" s="2" t="n">
        <v>12</v>
      </c>
      <c r="K2" s="8">
        <f>SUM(Presupuesto_Inicial!G:G)</f>
        <v/>
      </c>
      <c r="L2" s="2" t="inlineStr"/>
      <c r="M2" s="2" t="inlineStr">
        <is>
          <t>SpA</t>
        </is>
      </c>
    </row>
    <row r="3">
      <c r="A3" s="2" t="n"/>
      <c r="B3" s="2" t="n"/>
      <c r="C3" s="2" t="n"/>
      <c r="D3" s="2" t="n"/>
      <c r="E3" s="10" t="n"/>
      <c r="F3" s="2" t="n"/>
      <c r="G3" s="11" t="n"/>
      <c r="H3" s="11" t="n"/>
      <c r="I3" s="8" t="n"/>
      <c r="J3" s="2" t="n"/>
      <c r="K3" s="8" t="n"/>
      <c r="L3" s="2" t="n"/>
      <c r="M3" s="2" t="n"/>
    </row>
    <row r="4">
      <c r="A4" s="2" t="n"/>
      <c r="B4" s="2" t="n"/>
      <c r="C4" s="2" t="n"/>
      <c r="D4" s="2" t="n"/>
      <c r="E4" s="10" t="n"/>
      <c r="F4" s="2" t="n"/>
      <c r="G4" s="11" t="n"/>
      <c r="H4" s="11" t="n"/>
      <c r="I4" s="8" t="n"/>
      <c r="J4" s="2" t="n"/>
      <c r="K4" s="8" t="n"/>
      <c r="L4" s="2" t="n"/>
      <c r="M4" s="2" t="n"/>
    </row>
    <row r="5">
      <c r="A5" s="2" t="n"/>
      <c r="B5" s="2" t="n"/>
      <c r="C5" s="2" t="n"/>
      <c r="D5" s="2" t="n"/>
      <c r="E5" s="10" t="n"/>
      <c r="F5" s="2" t="n"/>
      <c r="G5" s="11" t="n"/>
      <c r="H5" s="11" t="n"/>
      <c r="I5" s="8" t="n"/>
      <c r="J5" s="2" t="n"/>
      <c r="K5" s="8" t="n"/>
      <c r="L5" s="2" t="n"/>
      <c r="M5" s="2" t="n"/>
    </row>
    <row r="6">
      <c r="A6" s="2" t="n"/>
      <c r="B6" s="2" t="n"/>
      <c r="C6" s="2" t="n"/>
      <c r="D6" s="2" t="n"/>
      <c r="E6" s="10" t="n"/>
      <c r="F6" s="2" t="n"/>
      <c r="G6" s="11" t="n"/>
      <c r="H6" s="11" t="n"/>
      <c r="I6" s="8" t="n"/>
      <c r="J6" s="2" t="n"/>
      <c r="K6" s="8" t="n"/>
      <c r="L6" s="2" t="n"/>
      <c r="M6" s="2" t="n"/>
    </row>
    <row r="7">
      <c r="A7" s="2" t="n"/>
      <c r="B7" s="2" t="n"/>
      <c r="C7" s="2" t="n"/>
      <c r="D7" s="2" t="n"/>
      <c r="E7" s="10" t="n"/>
      <c r="F7" s="2" t="n"/>
      <c r="G7" s="11" t="n"/>
      <c r="H7" s="11" t="n"/>
      <c r="I7" s="8" t="n"/>
      <c r="J7" s="2" t="n"/>
      <c r="K7" s="8" t="n"/>
      <c r="L7" s="2" t="n"/>
      <c r="M7" s="2" t="n"/>
    </row>
    <row r="8">
      <c r="A8" s="2" t="n"/>
      <c r="B8" s="2" t="n"/>
      <c r="C8" s="2" t="n"/>
      <c r="D8" s="2" t="n"/>
      <c r="E8" s="10" t="n"/>
      <c r="F8" s="2" t="n"/>
      <c r="G8" s="11" t="n"/>
      <c r="H8" s="11" t="n"/>
      <c r="I8" s="8" t="n"/>
      <c r="J8" s="2" t="n"/>
      <c r="K8" s="8" t="n"/>
      <c r="L8" s="2" t="n"/>
      <c r="M8" s="2" t="n"/>
    </row>
    <row r="9">
      <c r="A9" s="2" t="n"/>
      <c r="B9" s="2" t="n"/>
      <c r="C9" s="2" t="n"/>
      <c r="D9" s="2" t="n"/>
      <c r="E9" s="10" t="n"/>
      <c r="F9" s="2" t="n"/>
      <c r="G9" s="11" t="n"/>
      <c r="H9" s="11" t="n"/>
      <c r="I9" s="8" t="n"/>
      <c r="J9" s="2" t="n"/>
      <c r="K9" s="8" t="n"/>
      <c r="L9" s="2" t="n"/>
      <c r="M9" s="2" t="n"/>
    </row>
    <row r="10">
      <c r="A10" s="2" t="n"/>
      <c r="B10" s="2" t="n"/>
      <c r="C10" s="2" t="n"/>
      <c r="D10" s="2" t="n"/>
      <c r="E10" s="10" t="n"/>
      <c r="F10" s="2" t="n"/>
      <c r="G10" s="11" t="n"/>
      <c r="H10" s="11" t="n"/>
      <c r="I10" s="8" t="n"/>
      <c r="J10" s="2" t="n"/>
      <c r="K10" s="8" t="n"/>
      <c r="L10" s="2" t="n"/>
      <c r="M10" s="2" t="n"/>
    </row>
    <row r="11">
      <c r="A11" s="2" t="n"/>
      <c r="B11" s="2" t="n"/>
      <c r="C11" s="2" t="n"/>
      <c r="D11" s="2" t="n"/>
      <c r="E11" s="10" t="n"/>
      <c r="F11" s="2" t="n"/>
      <c r="G11" s="11" t="n"/>
      <c r="H11" s="11" t="n"/>
      <c r="I11" s="8" t="n"/>
      <c r="J11" s="2" t="n"/>
      <c r="K11" s="8" t="n"/>
      <c r="L11" s="2" t="n"/>
      <c r="M11" s="2" t="n"/>
    </row>
    <row r="12">
      <c r="A12" s="2" t="n"/>
      <c r="B12" s="2" t="n"/>
      <c r="C12" s="2" t="n"/>
      <c r="D12" s="2" t="n"/>
      <c r="E12" s="10" t="n"/>
      <c r="F12" s="2" t="n"/>
      <c r="G12" s="11" t="n"/>
      <c r="H12" s="11" t="n"/>
      <c r="I12" s="8" t="n"/>
      <c r="J12" s="2" t="n"/>
      <c r="K12" s="8" t="n"/>
      <c r="L12" s="2" t="n"/>
      <c r="M12" s="2" t="n"/>
    </row>
    <row r="13">
      <c r="A13" s="2" t="n"/>
      <c r="B13" s="2" t="n"/>
      <c r="C13" s="2" t="n"/>
      <c r="D13" s="2" t="n"/>
      <c r="E13" s="10" t="n"/>
      <c r="F13" s="2" t="n"/>
      <c r="G13" s="11" t="n"/>
      <c r="H13" s="11" t="n"/>
      <c r="I13" s="8" t="n"/>
      <c r="J13" s="2" t="n"/>
      <c r="K13" s="8" t="n"/>
      <c r="L13" s="2" t="n"/>
      <c r="M13" s="2" t="n"/>
    </row>
    <row r="14">
      <c r="A14" s="2" t="n"/>
      <c r="B14" s="2" t="n"/>
      <c r="C14" s="2" t="n"/>
      <c r="D14" s="2" t="n"/>
      <c r="E14" s="10" t="n"/>
      <c r="F14" s="2" t="n"/>
      <c r="G14" s="11" t="n"/>
      <c r="H14" s="11" t="n"/>
      <c r="I14" s="8" t="n"/>
      <c r="J14" s="2" t="n"/>
      <c r="K14" s="8" t="n"/>
      <c r="L14" s="2" t="n"/>
      <c r="M14" s="2" t="n"/>
    </row>
    <row r="15">
      <c r="A15" s="2" t="n"/>
      <c r="B15" s="2" t="n"/>
      <c r="C15" s="2" t="n"/>
      <c r="D15" s="2" t="n"/>
      <c r="E15" s="10" t="n"/>
      <c r="F15" s="2" t="n"/>
      <c r="G15" s="11" t="n"/>
      <c r="H15" s="11" t="n"/>
      <c r="I15" s="8" t="n"/>
      <c r="J15" s="2" t="n"/>
      <c r="K15" s="8" t="n"/>
      <c r="L15" s="2" t="n"/>
      <c r="M15" s="2" t="n"/>
    </row>
    <row r="16">
      <c r="A16" s="2" t="n"/>
      <c r="B16" s="2" t="n"/>
      <c r="C16" s="2" t="n"/>
      <c r="D16" s="2" t="n"/>
      <c r="E16" s="10" t="n"/>
      <c r="F16" s="2" t="n"/>
      <c r="G16" s="11" t="n"/>
      <c r="H16" s="11" t="n"/>
      <c r="I16" s="8" t="n"/>
      <c r="J16" s="2" t="n"/>
      <c r="K16" s="8" t="n"/>
      <c r="L16" s="2" t="n"/>
      <c r="M16" s="2" t="n"/>
    </row>
    <row r="17">
      <c r="A17" s="2" t="n"/>
      <c r="B17" s="2" t="n"/>
      <c r="C17" s="2" t="n"/>
      <c r="D17" s="2" t="n"/>
      <c r="E17" s="10" t="n"/>
      <c r="F17" s="2" t="n"/>
      <c r="G17" s="11" t="n"/>
      <c r="H17" s="11" t="n"/>
      <c r="I17" s="8" t="n"/>
      <c r="J17" s="2" t="n"/>
      <c r="K17" s="8" t="n"/>
      <c r="L17" s="2" t="n"/>
      <c r="M17" s="2" t="n"/>
    </row>
    <row r="18">
      <c r="A18" s="2" t="n"/>
      <c r="B18" s="2" t="n"/>
      <c r="C18" s="2" t="n"/>
      <c r="D18" s="2" t="n"/>
      <c r="E18" s="10" t="n"/>
      <c r="F18" s="2" t="n"/>
      <c r="G18" s="11" t="n"/>
      <c r="H18" s="11" t="n"/>
      <c r="I18" s="8" t="n"/>
      <c r="J18" s="2" t="n"/>
      <c r="K18" s="8" t="n"/>
      <c r="L18" s="2" t="n"/>
      <c r="M18" s="2" t="n"/>
    </row>
    <row r="19">
      <c r="A19" s="2" t="n"/>
      <c r="B19" s="2" t="n"/>
      <c r="C19" s="2" t="n"/>
      <c r="D19" s="2" t="n"/>
      <c r="E19" s="10" t="n"/>
      <c r="F19" s="2" t="n"/>
      <c r="G19" s="11" t="n"/>
      <c r="H19" s="11" t="n"/>
      <c r="I19" s="8" t="n"/>
      <c r="J19" s="2" t="n"/>
      <c r="K19" s="8" t="n"/>
      <c r="L19" s="2" t="n"/>
      <c r="M19" s="2" t="n"/>
    </row>
    <row r="20">
      <c r="A20" s="2" t="n"/>
      <c r="B20" s="2" t="n"/>
      <c r="C20" s="2" t="n"/>
      <c r="D20" s="2" t="n"/>
      <c r="E20" s="10" t="n"/>
      <c r="F20" s="2" t="n"/>
      <c r="G20" s="11" t="n"/>
      <c r="H20" s="11" t="n"/>
      <c r="I20" s="8" t="n"/>
      <c r="J20" s="2" t="n"/>
      <c r="K20" s="8" t="n"/>
      <c r="L20" s="2" t="n"/>
      <c r="M20" s="2" t="n"/>
    </row>
    <row r="21">
      <c r="A21" s="2" t="n"/>
      <c r="B21" s="2" t="n"/>
      <c r="C21" s="2" t="n"/>
      <c r="D21" s="2" t="n"/>
      <c r="E21" s="10" t="n"/>
      <c r="F21" s="2" t="n"/>
      <c r="G21" s="11" t="n"/>
      <c r="H21" s="11" t="n"/>
      <c r="I21" s="8" t="n"/>
      <c r="J21" s="2" t="n"/>
      <c r="K21" s="8" t="n"/>
      <c r="L21" s="2" t="n"/>
      <c r="M21" s="2" t="n"/>
    </row>
    <row r="22">
      <c r="A22" s="2" t="n"/>
      <c r="B22" s="2" t="n"/>
      <c r="C22" s="2" t="n"/>
      <c r="D22" s="2" t="n"/>
      <c r="E22" s="10" t="n"/>
      <c r="F22" s="2" t="n"/>
      <c r="G22" s="11" t="n"/>
      <c r="H22" s="11" t="n"/>
      <c r="I22" s="8" t="n"/>
      <c r="J22" s="2" t="n"/>
      <c r="K22" s="8" t="n"/>
      <c r="L22" s="2" t="n"/>
      <c r="M22" s="2" t="n"/>
    </row>
    <row r="23">
      <c r="A23" s="2" t="n"/>
      <c r="B23" s="2" t="n"/>
      <c r="C23" s="2" t="n"/>
      <c r="D23" s="2" t="n"/>
      <c r="E23" s="10" t="n"/>
      <c r="F23" s="2" t="n"/>
      <c r="G23" s="11" t="n"/>
      <c r="H23" s="11" t="n"/>
      <c r="I23" s="8" t="n"/>
      <c r="J23" s="2" t="n"/>
      <c r="K23" s="8" t="n"/>
      <c r="L23" s="2" t="n"/>
      <c r="M23" s="2" t="n"/>
    </row>
    <row r="24">
      <c r="A24" s="2" t="n"/>
      <c r="B24" s="2" t="n"/>
      <c r="C24" s="2" t="n"/>
      <c r="D24" s="2" t="n"/>
      <c r="E24" s="10" t="n"/>
      <c r="F24" s="2" t="n"/>
      <c r="G24" s="11" t="n"/>
      <c r="H24" s="11" t="n"/>
      <c r="I24" s="8" t="n"/>
      <c r="J24" s="2" t="n"/>
      <c r="K24" s="8" t="n"/>
      <c r="L24" s="2" t="n"/>
      <c r="M24" s="2" t="n"/>
    </row>
    <row r="25">
      <c r="A25" s="2" t="n"/>
      <c r="B25" s="2" t="n"/>
      <c r="C25" s="2" t="n"/>
      <c r="D25" s="2" t="n"/>
      <c r="E25" s="10" t="n"/>
      <c r="F25" s="2" t="n"/>
      <c r="G25" s="11" t="n"/>
      <c r="H25" s="11" t="n"/>
      <c r="I25" s="8" t="n"/>
      <c r="J25" s="2" t="n"/>
      <c r="K25" s="8" t="n"/>
      <c r="L25" s="2" t="n"/>
      <c r="M25" s="2" t="n"/>
    </row>
    <row r="26">
      <c r="A26" s="2" t="n"/>
      <c r="B26" s="2" t="n"/>
      <c r="C26" s="2" t="n"/>
      <c r="D26" s="2" t="n"/>
      <c r="E26" s="10" t="n"/>
      <c r="F26" s="2" t="n"/>
      <c r="G26" s="11" t="n"/>
      <c r="H26" s="11" t="n"/>
      <c r="I26" s="8" t="n"/>
      <c r="J26" s="2" t="n"/>
      <c r="K26" s="8" t="n"/>
      <c r="L26" s="2" t="n"/>
      <c r="M26" s="2" t="n"/>
    </row>
    <row r="27">
      <c r="A27" s="2" t="n"/>
      <c r="B27" s="2" t="n"/>
      <c r="C27" s="2" t="n"/>
      <c r="D27" s="2" t="n"/>
      <c r="E27" s="10" t="n"/>
      <c r="F27" s="2" t="n"/>
      <c r="G27" s="11" t="n"/>
      <c r="H27" s="11" t="n"/>
      <c r="I27" s="8" t="n"/>
      <c r="J27" s="2" t="n"/>
      <c r="K27" s="8" t="n"/>
      <c r="L27" s="2" t="n"/>
      <c r="M27" s="2" t="n"/>
    </row>
    <row r="28">
      <c r="A28" s="2" t="n"/>
      <c r="B28" s="2" t="n"/>
      <c r="C28" s="2" t="n"/>
      <c r="D28" s="2" t="n"/>
      <c r="E28" s="10" t="n"/>
      <c r="F28" s="2" t="n"/>
      <c r="G28" s="11" t="n"/>
      <c r="H28" s="11" t="n"/>
      <c r="I28" s="8" t="n"/>
      <c r="J28" s="2" t="n"/>
      <c r="K28" s="8" t="n"/>
      <c r="L28" s="2" t="n"/>
      <c r="M28" s="2" t="n"/>
    </row>
    <row r="29">
      <c r="A29" s="2" t="n"/>
      <c r="B29" s="2" t="n"/>
      <c r="C29" s="2" t="n"/>
      <c r="D29" s="2" t="n"/>
      <c r="E29" s="10" t="n"/>
      <c r="F29" s="2" t="n"/>
      <c r="G29" s="11" t="n"/>
      <c r="H29" s="11" t="n"/>
      <c r="I29" s="8" t="n"/>
      <c r="J29" s="2" t="n"/>
      <c r="K29" s="8" t="n"/>
      <c r="L29" s="2" t="n"/>
      <c r="M29" s="2" t="n"/>
    </row>
    <row r="30">
      <c r="A30" s="2" t="n"/>
      <c r="B30" s="2" t="n"/>
      <c r="C30" s="2" t="n"/>
      <c r="D30" s="2" t="n"/>
      <c r="E30" s="10" t="n"/>
      <c r="F30" s="2" t="n"/>
      <c r="G30" s="11" t="n"/>
      <c r="H30" s="11" t="n"/>
      <c r="I30" s="8" t="n"/>
      <c r="J30" s="2" t="n"/>
      <c r="K30" s="8" t="n"/>
      <c r="L30" s="2" t="n"/>
      <c r="M30" s="2" t="n"/>
    </row>
    <row r="31">
      <c r="A31" s="2" t="n"/>
      <c r="B31" s="2" t="n"/>
      <c r="C31" s="2" t="n"/>
      <c r="D31" s="2" t="n"/>
      <c r="E31" s="10" t="n"/>
      <c r="F31" s="2" t="n"/>
      <c r="G31" s="11" t="n"/>
      <c r="H31" s="11" t="n"/>
      <c r="I31" s="8" t="n"/>
      <c r="J31" s="2" t="n"/>
      <c r="K31" s="8" t="n"/>
      <c r="L31" s="2" t="n"/>
      <c r="M31" s="2" t="n"/>
    </row>
    <row r="32">
      <c r="A32" s="2" t="n"/>
      <c r="B32" s="2" t="n"/>
      <c r="C32" s="2" t="n"/>
      <c r="D32" s="2" t="n"/>
      <c r="E32" s="10" t="n"/>
      <c r="F32" s="2" t="n"/>
      <c r="G32" s="11" t="n"/>
      <c r="H32" s="11" t="n"/>
      <c r="I32" s="8" t="n"/>
      <c r="J32" s="2" t="n"/>
      <c r="K32" s="8" t="n"/>
      <c r="L32" s="2" t="n"/>
      <c r="M32" s="2" t="n"/>
    </row>
    <row r="33">
      <c r="A33" s="2" t="n"/>
      <c r="B33" s="2" t="n"/>
      <c r="C33" s="2" t="n"/>
      <c r="D33" s="2" t="n"/>
      <c r="E33" s="10" t="n"/>
      <c r="F33" s="2" t="n"/>
      <c r="G33" s="11" t="n"/>
      <c r="H33" s="11" t="n"/>
      <c r="I33" s="8" t="n"/>
      <c r="J33" s="2" t="n"/>
      <c r="K33" s="8" t="n"/>
      <c r="L33" s="2" t="n"/>
      <c r="M33" s="2" t="n"/>
    </row>
    <row r="34">
      <c r="A34" s="2" t="n"/>
      <c r="B34" s="2" t="n"/>
      <c r="C34" s="2" t="n"/>
      <c r="D34" s="2" t="n"/>
      <c r="E34" s="10" t="n"/>
      <c r="F34" s="2" t="n"/>
      <c r="G34" s="11" t="n"/>
      <c r="H34" s="11" t="n"/>
      <c r="I34" s="8" t="n"/>
      <c r="J34" s="2" t="n"/>
      <c r="K34" s="8" t="n"/>
      <c r="L34" s="2" t="n"/>
      <c r="M34" s="2" t="n"/>
    </row>
    <row r="35">
      <c r="A35" s="2" t="n"/>
      <c r="B35" s="2" t="n"/>
      <c r="C35" s="2" t="n"/>
      <c r="D35" s="2" t="n"/>
      <c r="E35" s="10" t="n"/>
      <c r="F35" s="2" t="n"/>
      <c r="G35" s="11" t="n"/>
      <c r="H35" s="11" t="n"/>
      <c r="I35" s="8" t="n"/>
      <c r="J35" s="2" t="n"/>
      <c r="K35" s="8" t="n"/>
      <c r="L35" s="2" t="n"/>
      <c r="M35" s="2" t="n"/>
    </row>
    <row r="36">
      <c r="A36" s="2" t="n"/>
      <c r="B36" s="2" t="n"/>
      <c r="C36" s="2" t="n"/>
      <c r="D36" s="2" t="n"/>
      <c r="E36" s="10" t="n"/>
      <c r="F36" s="2" t="n"/>
      <c r="G36" s="11" t="n"/>
      <c r="H36" s="11" t="n"/>
      <c r="I36" s="8" t="n"/>
      <c r="J36" s="2" t="n"/>
      <c r="K36" s="8" t="n"/>
      <c r="L36" s="2" t="n"/>
      <c r="M36" s="2" t="n"/>
    </row>
    <row r="37">
      <c r="A37" s="2" t="n"/>
      <c r="B37" s="2" t="n"/>
      <c r="C37" s="2" t="n"/>
      <c r="D37" s="2" t="n"/>
      <c r="E37" s="10" t="n"/>
      <c r="F37" s="2" t="n"/>
      <c r="G37" s="11" t="n"/>
      <c r="H37" s="11" t="n"/>
      <c r="I37" s="8" t="n"/>
      <c r="J37" s="2" t="n"/>
      <c r="K37" s="8" t="n"/>
      <c r="L37" s="2" t="n"/>
      <c r="M37" s="2" t="n"/>
    </row>
    <row r="38">
      <c r="A38" s="2" t="n"/>
      <c r="B38" s="2" t="n"/>
      <c r="C38" s="2" t="n"/>
      <c r="D38" s="2" t="n"/>
      <c r="E38" s="10" t="n"/>
      <c r="F38" s="2" t="n"/>
      <c r="G38" s="11" t="n"/>
      <c r="H38" s="11" t="n"/>
      <c r="I38" s="8" t="n"/>
      <c r="J38" s="2" t="n"/>
      <c r="K38" s="8" t="n"/>
      <c r="L38" s="2" t="n"/>
      <c r="M38" s="2" t="n"/>
    </row>
    <row r="39">
      <c r="A39" s="2" t="n"/>
      <c r="B39" s="2" t="n"/>
      <c r="C39" s="2" t="n"/>
      <c r="D39" s="2" t="n"/>
      <c r="E39" s="10" t="n"/>
      <c r="F39" s="2" t="n"/>
      <c r="G39" s="11" t="n"/>
      <c r="H39" s="11" t="n"/>
      <c r="I39" s="8" t="n"/>
      <c r="J39" s="2" t="n"/>
      <c r="K39" s="8" t="n"/>
      <c r="L39" s="2" t="n"/>
      <c r="M39" s="2" t="n"/>
    </row>
    <row r="40">
      <c r="A40" s="2" t="n"/>
      <c r="B40" s="2" t="n"/>
      <c r="C40" s="2" t="n"/>
      <c r="D40" s="2" t="n"/>
      <c r="E40" s="10" t="n"/>
      <c r="F40" s="2" t="n"/>
      <c r="G40" s="11" t="n"/>
      <c r="H40" s="11" t="n"/>
      <c r="I40" s="8" t="n"/>
      <c r="J40" s="2" t="n"/>
      <c r="K40" s="8" t="n"/>
      <c r="L40" s="2" t="n"/>
      <c r="M40" s="2" t="n"/>
    </row>
    <row r="41">
      <c r="A41" s="2" t="n"/>
      <c r="B41" s="2" t="n"/>
      <c r="C41" s="2" t="n"/>
      <c r="D41" s="2" t="n"/>
      <c r="E41" s="10" t="n"/>
      <c r="F41" s="2" t="n"/>
      <c r="G41" s="11" t="n"/>
      <c r="H41" s="11" t="n"/>
      <c r="I41" s="8" t="n"/>
      <c r="J41" s="2" t="n"/>
      <c r="K41" s="8" t="n"/>
      <c r="L41" s="2" t="n"/>
      <c r="M41" s="2" t="n"/>
    </row>
    <row r="42">
      <c r="A42" s="2" t="n"/>
      <c r="B42" s="2" t="n"/>
      <c r="C42" s="2" t="n"/>
      <c r="D42" s="2" t="n"/>
      <c r="E42" s="10" t="n"/>
      <c r="F42" s="2" t="n"/>
      <c r="G42" s="11" t="n"/>
      <c r="H42" s="11" t="n"/>
      <c r="I42" s="8" t="n"/>
      <c r="J42" s="2" t="n"/>
      <c r="K42" s="8" t="n"/>
      <c r="L42" s="2" t="n"/>
      <c r="M42" s="2" t="n"/>
    </row>
    <row r="43">
      <c r="A43" s="2" t="n"/>
      <c r="B43" s="2" t="n"/>
      <c r="C43" s="2" t="n"/>
      <c r="D43" s="2" t="n"/>
      <c r="E43" s="10" t="n"/>
      <c r="F43" s="2" t="n"/>
      <c r="G43" s="11" t="n"/>
      <c r="H43" s="11" t="n"/>
      <c r="I43" s="8" t="n"/>
      <c r="J43" s="2" t="n"/>
      <c r="K43" s="8" t="n"/>
      <c r="L43" s="2" t="n"/>
      <c r="M43" s="2" t="n"/>
    </row>
    <row r="44">
      <c r="A44" s="2" t="n"/>
      <c r="B44" s="2" t="n"/>
      <c r="C44" s="2" t="n"/>
      <c r="D44" s="2" t="n"/>
      <c r="E44" s="10" t="n"/>
      <c r="F44" s="2" t="n"/>
      <c r="G44" s="11" t="n"/>
      <c r="H44" s="11" t="n"/>
      <c r="I44" s="8" t="n"/>
      <c r="J44" s="2" t="n"/>
      <c r="K44" s="8" t="n"/>
      <c r="L44" s="2" t="n"/>
      <c r="M44" s="2" t="n"/>
    </row>
    <row r="45">
      <c r="A45" s="2" t="n"/>
      <c r="B45" s="2" t="n"/>
      <c r="C45" s="2" t="n"/>
      <c r="D45" s="2" t="n"/>
      <c r="E45" s="10" t="n"/>
      <c r="F45" s="2" t="n"/>
      <c r="G45" s="11" t="n"/>
      <c r="H45" s="11" t="n"/>
      <c r="I45" s="8" t="n"/>
      <c r="J45" s="2" t="n"/>
      <c r="K45" s="8" t="n"/>
      <c r="L45" s="2" t="n"/>
      <c r="M45" s="2" t="n"/>
    </row>
    <row r="46">
      <c r="A46" s="2" t="n"/>
      <c r="B46" s="2" t="n"/>
      <c r="C46" s="2" t="n"/>
      <c r="D46" s="2" t="n"/>
      <c r="E46" s="10" t="n"/>
      <c r="F46" s="2" t="n"/>
      <c r="G46" s="11" t="n"/>
      <c r="H46" s="11" t="n"/>
      <c r="I46" s="8" t="n"/>
      <c r="J46" s="2" t="n"/>
      <c r="K46" s="8" t="n"/>
      <c r="L46" s="2" t="n"/>
      <c r="M46" s="2" t="n"/>
    </row>
    <row r="47">
      <c r="A47" s="2" t="n"/>
      <c r="B47" s="2" t="n"/>
      <c r="C47" s="2" t="n"/>
      <c r="D47" s="2" t="n"/>
      <c r="E47" s="10" t="n"/>
      <c r="F47" s="2" t="n"/>
      <c r="G47" s="11" t="n"/>
      <c r="H47" s="11" t="n"/>
      <c r="I47" s="8" t="n"/>
      <c r="J47" s="2" t="n"/>
      <c r="K47" s="8" t="n"/>
      <c r="L47" s="2" t="n"/>
      <c r="M47" s="2" t="n"/>
    </row>
    <row r="48">
      <c r="A48" s="2" t="n"/>
      <c r="B48" s="2" t="n"/>
      <c r="C48" s="2" t="n"/>
      <c r="D48" s="2" t="n"/>
      <c r="E48" s="10" t="n"/>
      <c r="F48" s="2" t="n"/>
      <c r="G48" s="11" t="n"/>
      <c r="H48" s="11" t="n"/>
      <c r="I48" s="8" t="n"/>
      <c r="J48" s="2" t="n"/>
      <c r="K48" s="8" t="n"/>
      <c r="L48" s="2" t="n"/>
      <c r="M48" s="2" t="n"/>
    </row>
    <row r="49">
      <c r="A49" s="2" t="n"/>
      <c r="B49" s="2" t="n"/>
      <c r="C49" s="2" t="n"/>
      <c r="D49" s="2" t="n"/>
      <c r="E49" s="10" t="n"/>
      <c r="F49" s="2" t="n"/>
      <c r="G49" s="11" t="n"/>
      <c r="H49" s="11" t="n"/>
      <c r="I49" s="8" t="n"/>
      <c r="J49" s="2" t="n"/>
      <c r="K49" s="8" t="n"/>
      <c r="L49" s="2" t="n"/>
      <c r="M49" s="2" t="n"/>
    </row>
    <row r="50">
      <c r="A50" s="2" t="n"/>
      <c r="B50" s="2" t="n"/>
      <c r="C50" s="2" t="n"/>
      <c r="D50" s="2" t="n"/>
      <c r="E50" s="10" t="n"/>
      <c r="F50" s="2" t="n"/>
      <c r="G50" s="11" t="n"/>
      <c r="H50" s="11" t="n"/>
      <c r="I50" s="8" t="n"/>
      <c r="J50" s="2" t="n"/>
      <c r="K50" s="8" t="n"/>
      <c r="L50" s="2" t="n"/>
      <c r="M50" s="2" t="n"/>
    </row>
    <row r="51">
      <c r="A51" s="2" t="n"/>
      <c r="B51" s="2" t="n"/>
      <c r="C51" s="2" t="n"/>
      <c r="D51" s="2" t="n"/>
      <c r="E51" s="10" t="n"/>
      <c r="F51" s="2" t="n"/>
      <c r="G51" s="11" t="n"/>
      <c r="H51" s="11" t="n"/>
      <c r="I51" s="8" t="n"/>
      <c r="J51" s="2" t="n"/>
      <c r="K51" s="8" t="n"/>
      <c r="L51" s="2" t="n"/>
      <c r="M51" s="2" t="n"/>
    </row>
    <row r="52">
      <c r="A52" s="2" t="n"/>
      <c r="B52" s="2" t="n"/>
      <c r="C52" s="2" t="n"/>
      <c r="D52" s="2" t="n"/>
      <c r="E52" s="10" t="n"/>
      <c r="F52" s="2" t="n"/>
      <c r="G52" s="11" t="n"/>
      <c r="H52" s="11" t="n"/>
      <c r="I52" s="8" t="n"/>
      <c r="J52" s="2" t="n"/>
      <c r="K52" s="8" t="n"/>
      <c r="L52" s="2" t="n"/>
      <c r="M52" s="2" t="n"/>
    </row>
    <row r="53">
      <c r="A53" s="2" t="n"/>
      <c r="B53" s="2" t="n"/>
      <c r="C53" s="2" t="n"/>
      <c r="D53" s="2" t="n"/>
      <c r="E53" s="10" t="n"/>
      <c r="F53" s="2" t="n"/>
      <c r="G53" s="11" t="n"/>
      <c r="H53" s="11" t="n"/>
      <c r="I53" s="8" t="n"/>
      <c r="J53" s="2" t="n"/>
      <c r="K53" s="8" t="n"/>
      <c r="L53" s="2" t="n"/>
      <c r="M53" s="2" t="n"/>
    </row>
    <row r="54">
      <c r="A54" s="2" t="n"/>
      <c r="B54" s="2" t="n"/>
      <c r="C54" s="2" t="n"/>
      <c r="D54" s="2" t="n"/>
      <c r="E54" s="10" t="n"/>
      <c r="F54" s="2" t="n"/>
      <c r="G54" s="11" t="n"/>
      <c r="H54" s="11" t="n"/>
      <c r="I54" s="8" t="n"/>
      <c r="J54" s="2" t="n"/>
      <c r="K54" s="8" t="n"/>
      <c r="L54" s="2" t="n"/>
      <c r="M54" s="2" t="n"/>
    </row>
    <row r="55">
      <c r="A55" s="2" t="n"/>
      <c r="B55" s="2" t="n"/>
      <c r="C55" s="2" t="n"/>
      <c r="D55" s="2" t="n"/>
      <c r="E55" s="10" t="n"/>
      <c r="F55" s="2" t="n"/>
      <c r="G55" s="11" t="n"/>
      <c r="H55" s="11" t="n"/>
      <c r="I55" s="8" t="n"/>
      <c r="J55" s="2" t="n"/>
      <c r="K55" s="8" t="n"/>
      <c r="L55" s="2" t="n"/>
      <c r="M55" s="2" t="n"/>
    </row>
    <row r="56">
      <c r="A56" s="2" t="n"/>
      <c r="B56" s="2" t="n"/>
      <c r="C56" s="2" t="n"/>
      <c r="D56" s="2" t="n"/>
      <c r="E56" s="10" t="n"/>
      <c r="F56" s="2" t="n"/>
      <c r="G56" s="11" t="n"/>
      <c r="H56" s="11" t="n"/>
      <c r="I56" s="8" t="n"/>
      <c r="J56" s="2" t="n"/>
      <c r="K56" s="8" t="n"/>
      <c r="L56" s="2" t="n"/>
      <c r="M56" s="2" t="n"/>
    </row>
    <row r="57">
      <c r="A57" s="2" t="n"/>
      <c r="B57" s="2" t="n"/>
      <c r="C57" s="2" t="n"/>
      <c r="D57" s="2" t="n"/>
      <c r="E57" s="10" t="n"/>
      <c r="F57" s="2" t="n"/>
      <c r="G57" s="11" t="n"/>
      <c r="H57" s="11" t="n"/>
      <c r="I57" s="8" t="n"/>
      <c r="J57" s="2" t="n"/>
      <c r="K57" s="8" t="n"/>
      <c r="L57" s="2" t="n"/>
      <c r="M57" s="2" t="n"/>
    </row>
    <row r="58">
      <c r="A58" s="2" t="n"/>
      <c r="B58" s="2" t="n"/>
      <c r="C58" s="2" t="n"/>
      <c r="D58" s="2" t="n"/>
      <c r="E58" s="10" t="n"/>
      <c r="F58" s="2" t="n"/>
      <c r="G58" s="11" t="n"/>
      <c r="H58" s="11" t="n"/>
      <c r="I58" s="8" t="n"/>
      <c r="J58" s="2" t="n"/>
      <c r="K58" s="8" t="n"/>
      <c r="L58" s="2" t="n"/>
      <c r="M58" s="2" t="n"/>
    </row>
    <row r="59">
      <c r="A59" s="2" t="n"/>
      <c r="B59" s="2" t="n"/>
      <c r="C59" s="2" t="n"/>
      <c r="D59" s="2" t="n"/>
      <c r="E59" s="10" t="n"/>
      <c r="F59" s="2" t="n"/>
      <c r="G59" s="11" t="n"/>
      <c r="H59" s="11" t="n"/>
      <c r="I59" s="8" t="n"/>
      <c r="J59" s="2" t="n"/>
      <c r="K59" s="8" t="n"/>
      <c r="L59" s="2" t="n"/>
      <c r="M59" s="2" t="n"/>
    </row>
    <row r="60">
      <c r="A60" s="2" t="n"/>
      <c r="B60" s="2" t="n"/>
      <c r="C60" s="2" t="n"/>
      <c r="D60" s="2" t="n"/>
      <c r="E60" s="10" t="n"/>
      <c r="F60" s="2" t="n"/>
      <c r="G60" s="11" t="n"/>
      <c r="H60" s="11" t="n"/>
      <c r="I60" s="8" t="n"/>
      <c r="J60" s="2" t="n"/>
      <c r="K60" s="8" t="n"/>
      <c r="L60" s="2" t="n"/>
      <c r="M60" s="2" t="n"/>
    </row>
    <row r="61">
      <c r="A61" s="2" t="n"/>
      <c r="B61" s="2" t="n"/>
      <c r="C61" s="2" t="n"/>
      <c r="D61" s="2" t="n"/>
      <c r="E61" s="10" t="n"/>
      <c r="F61" s="2" t="n"/>
      <c r="G61" s="11" t="n"/>
      <c r="H61" s="11" t="n"/>
      <c r="I61" s="8" t="n"/>
      <c r="J61" s="2" t="n"/>
      <c r="K61" s="8" t="n"/>
      <c r="L61" s="2" t="n"/>
      <c r="M61" s="2" t="n"/>
    </row>
    <row r="62">
      <c r="A62" s="2" t="n"/>
      <c r="B62" s="2" t="n"/>
      <c r="C62" s="2" t="n"/>
      <c r="D62" s="2" t="n"/>
      <c r="E62" s="10" t="n"/>
      <c r="F62" s="2" t="n"/>
      <c r="G62" s="11" t="n"/>
      <c r="H62" s="11" t="n"/>
      <c r="I62" s="8" t="n"/>
      <c r="J62" s="2" t="n"/>
      <c r="K62" s="8" t="n"/>
      <c r="L62" s="2" t="n"/>
      <c r="M62" s="2" t="n"/>
    </row>
    <row r="63">
      <c r="A63" s="2" t="n"/>
      <c r="B63" s="2" t="n"/>
      <c r="C63" s="2" t="n"/>
      <c r="D63" s="2" t="n"/>
      <c r="E63" s="10" t="n"/>
      <c r="F63" s="2" t="n"/>
      <c r="G63" s="11" t="n"/>
      <c r="H63" s="11" t="n"/>
      <c r="I63" s="8" t="n"/>
      <c r="J63" s="2" t="n"/>
      <c r="K63" s="8" t="n"/>
      <c r="L63" s="2" t="n"/>
      <c r="M63" s="2" t="n"/>
    </row>
    <row r="64">
      <c r="A64" s="2" t="n"/>
      <c r="B64" s="2" t="n"/>
      <c r="C64" s="2" t="n"/>
      <c r="D64" s="2" t="n"/>
      <c r="E64" s="10" t="n"/>
      <c r="F64" s="2" t="n"/>
      <c r="G64" s="11" t="n"/>
      <c r="H64" s="11" t="n"/>
      <c r="I64" s="8" t="n"/>
      <c r="J64" s="2" t="n"/>
      <c r="K64" s="8" t="n"/>
      <c r="L64" s="2" t="n"/>
      <c r="M64" s="2" t="n"/>
    </row>
    <row r="65">
      <c r="A65" s="2" t="n"/>
      <c r="B65" s="2" t="n"/>
      <c r="C65" s="2" t="n"/>
      <c r="D65" s="2" t="n"/>
      <c r="E65" s="10" t="n"/>
      <c r="F65" s="2" t="n"/>
      <c r="G65" s="11" t="n"/>
      <c r="H65" s="11" t="n"/>
      <c r="I65" s="8" t="n"/>
      <c r="J65" s="2" t="n"/>
      <c r="K65" s="8" t="n"/>
      <c r="L65" s="2" t="n"/>
      <c r="M65" s="2" t="n"/>
    </row>
    <row r="66">
      <c r="A66" s="2" t="n"/>
      <c r="B66" s="2" t="n"/>
      <c r="C66" s="2" t="n"/>
      <c r="D66" s="2" t="n"/>
      <c r="E66" s="10" t="n"/>
      <c r="F66" s="2" t="n"/>
      <c r="G66" s="11" t="n"/>
      <c r="H66" s="11" t="n"/>
      <c r="I66" s="8" t="n"/>
      <c r="J66" s="2" t="n"/>
      <c r="K66" s="8" t="n"/>
      <c r="L66" s="2" t="n"/>
      <c r="M66" s="2" t="n"/>
    </row>
    <row r="67">
      <c r="A67" s="2" t="n"/>
      <c r="B67" s="2" t="n"/>
      <c r="C67" s="2" t="n"/>
      <c r="D67" s="2" t="n"/>
      <c r="E67" s="10" t="n"/>
      <c r="F67" s="2" t="n"/>
      <c r="G67" s="11" t="n"/>
      <c r="H67" s="11" t="n"/>
      <c r="I67" s="8" t="n"/>
      <c r="J67" s="2" t="n"/>
      <c r="K67" s="8" t="n"/>
      <c r="L67" s="2" t="n"/>
      <c r="M67" s="2" t="n"/>
    </row>
    <row r="68">
      <c r="A68" s="2" t="n"/>
      <c r="B68" s="2" t="n"/>
      <c r="C68" s="2" t="n"/>
      <c r="D68" s="2" t="n"/>
      <c r="E68" s="10" t="n"/>
      <c r="F68" s="2" t="n"/>
      <c r="G68" s="11" t="n"/>
      <c r="H68" s="11" t="n"/>
      <c r="I68" s="8" t="n"/>
      <c r="J68" s="2" t="n"/>
      <c r="K68" s="8" t="n"/>
      <c r="L68" s="2" t="n"/>
      <c r="M68" s="2" t="n"/>
    </row>
    <row r="69">
      <c r="A69" s="2" t="n"/>
      <c r="B69" s="2" t="n"/>
      <c r="C69" s="2" t="n"/>
      <c r="D69" s="2" t="n"/>
      <c r="E69" s="10" t="n"/>
      <c r="F69" s="2" t="n"/>
      <c r="G69" s="11" t="n"/>
      <c r="H69" s="11" t="n"/>
      <c r="I69" s="8" t="n"/>
      <c r="J69" s="2" t="n"/>
      <c r="K69" s="8" t="n"/>
      <c r="L69" s="2" t="n"/>
      <c r="M69" s="2" t="n"/>
    </row>
    <row r="70">
      <c r="A70" s="2" t="n"/>
      <c r="B70" s="2" t="n"/>
      <c r="C70" s="2" t="n"/>
      <c r="D70" s="2" t="n"/>
      <c r="E70" s="10" t="n"/>
      <c r="F70" s="2" t="n"/>
      <c r="G70" s="11" t="n"/>
      <c r="H70" s="11" t="n"/>
      <c r="I70" s="8" t="n"/>
      <c r="J70" s="2" t="n"/>
      <c r="K70" s="8" t="n"/>
      <c r="L70" s="2" t="n"/>
      <c r="M70" s="2" t="n"/>
    </row>
    <row r="71">
      <c r="A71" s="2" t="n"/>
      <c r="B71" s="2" t="n"/>
      <c r="C71" s="2" t="n"/>
      <c r="D71" s="2" t="n"/>
      <c r="E71" s="10" t="n"/>
      <c r="F71" s="2" t="n"/>
      <c r="G71" s="11" t="n"/>
      <c r="H71" s="11" t="n"/>
      <c r="I71" s="8" t="n"/>
      <c r="J71" s="2" t="n"/>
      <c r="K71" s="8" t="n"/>
      <c r="L71" s="2" t="n"/>
      <c r="M71" s="2" t="n"/>
    </row>
    <row r="72">
      <c r="A72" s="2" t="n"/>
      <c r="B72" s="2" t="n"/>
      <c r="C72" s="2" t="n"/>
      <c r="D72" s="2" t="n"/>
      <c r="E72" s="10" t="n"/>
      <c r="F72" s="2" t="n"/>
      <c r="G72" s="11" t="n"/>
      <c r="H72" s="11" t="n"/>
      <c r="I72" s="8" t="n"/>
      <c r="J72" s="2" t="n"/>
      <c r="K72" s="8" t="n"/>
      <c r="L72" s="2" t="n"/>
      <c r="M72" s="2" t="n"/>
    </row>
    <row r="73">
      <c r="A73" s="2" t="n"/>
      <c r="B73" s="2" t="n"/>
      <c r="C73" s="2" t="n"/>
      <c r="D73" s="2" t="n"/>
      <c r="E73" s="10" t="n"/>
      <c r="F73" s="2" t="n"/>
      <c r="G73" s="11" t="n"/>
      <c r="H73" s="11" t="n"/>
      <c r="I73" s="8" t="n"/>
      <c r="J73" s="2" t="n"/>
      <c r="K73" s="8" t="n"/>
      <c r="L73" s="2" t="n"/>
      <c r="M73" s="2" t="n"/>
    </row>
    <row r="74">
      <c r="A74" s="2" t="n"/>
      <c r="B74" s="2" t="n"/>
      <c r="C74" s="2" t="n"/>
      <c r="D74" s="2" t="n"/>
      <c r="E74" s="10" t="n"/>
      <c r="F74" s="2" t="n"/>
      <c r="G74" s="11" t="n"/>
      <c r="H74" s="11" t="n"/>
      <c r="I74" s="8" t="n"/>
      <c r="J74" s="2" t="n"/>
      <c r="K74" s="8" t="n"/>
      <c r="L74" s="2" t="n"/>
      <c r="M74" s="2" t="n"/>
    </row>
    <row r="75">
      <c r="A75" s="2" t="n"/>
      <c r="B75" s="2" t="n"/>
      <c r="C75" s="2" t="n"/>
      <c r="D75" s="2" t="n"/>
      <c r="E75" s="10" t="n"/>
      <c r="F75" s="2" t="n"/>
      <c r="G75" s="11" t="n"/>
      <c r="H75" s="11" t="n"/>
      <c r="I75" s="8" t="n"/>
      <c r="J75" s="2" t="n"/>
      <c r="K75" s="8" t="n"/>
      <c r="L75" s="2" t="n"/>
      <c r="M75" s="2" t="n"/>
    </row>
    <row r="76">
      <c r="A76" s="2" t="n"/>
      <c r="B76" s="2" t="n"/>
      <c r="C76" s="2" t="n"/>
      <c r="D76" s="2" t="n"/>
      <c r="E76" s="10" t="n"/>
      <c r="F76" s="2" t="n"/>
      <c r="G76" s="11" t="n"/>
      <c r="H76" s="11" t="n"/>
      <c r="I76" s="8" t="n"/>
      <c r="J76" s="2" t="n"/>
      <c r="K76" s="8" t="n"/>
      <c r="L76" s="2" t="n"/>
      <c r="M76" s="2" t="n"/>
    </row>
    <row r="77">
      <c r="A77" s="2" t="n"/>
      <c r="B77" s="2" t="n"/>
      <c r="C77" s="2" t="n"/>
      <c r="D77" s="2" t="n"/>
      <c r="E77" s="10" t="n"/>
      <c r="F77" s="2" t="n"/>
      <c r="G77" s="11" t="n"/>
      <c r="H77" s="11" t="n"/>
      <c r="I77" s="8" t="n"/>
      <c r="J77" s="2" t="n"/>
      <c r="K77" s="8" t="n"/>
      <c r="L77" s="2" t="n"/>
      <c r="M77" s="2" t="n"/>
    </row>
    <row r="78">
      <c r="A78" s="2" t="n"/>
      <c r="B78" s="2" t="n"/>
      <c r="C78" s="2" t="n"/>
      <c r="D78" s="2" t="n"/>
      <c r="E78" s="10" t="n"/>
      <c r="F78" s="2" t="n"/>
      <c r="G78" s="11" t="n"/>
      <c r="H78" s="11" t="n"/>
      <c r="I78" s="8" t="n"/>
      <c r="J78" s="2" t="n"/>
      <c r="K78" s="8" t="n"/>
      <c r="L78" s="2" t="n"/>
      <c r="M78" s="2" t="n"/>
    </row>
    <row r="79">
      <c r="A79" s="2" t="n"/>
      <c r="B79" s="2" t="n"/>
      <c r="C79" s="2" t="n"/>
      <c r="D79" s="2" t="n"/>
      <c r="E79" s="10" t="n"/>
      <c r="F79" s="2" t="n"/>
      <c r="G79" s="11" t="n"/>
      <c r="H79" s="11" t="n"/>
      <c r="I79" s="8" t="n"/>
      <c r="J79" s="2" t="n"/>
      <c r="K79" s="8" t="n"/>
      <c r="L79" s="2" t="n"/>
      <c r="M79" s="2" t="n"/>
    </row>
    <row r="80">
      <c r="A80" s="2" t="n"/>
      <c r="B80" s="2" t="n"/>
      <c r="C80" s="2" t="n"/>
      <c r="D80" s="2" t="n"/>
      <c r="E80" s="10" t="n"/>
      <c r="F80" s="2" t="n"/>
      <c r="G80" s="11" t="n"/>
      <c r="H80" s="11" t="n"/>
      <c r="I80" s="8" t="n"/>
      <c r="J80" s="2" t="n"/>
      <c r="K80" s="8" t="n"/>
      <c r="L80" s="2" t="n"/>
      <c r="M80" s="2" t="n"/>
    </row>
    <row r="81">
      <c r="A81" s="2" t="n"/>
      <c r="B81" s="2" t="n"/>
      <c r="C81" s="2" t="n"/>
      <c r="D81" s="2" t="n"/>
      <c r="E81" s="10" t="n"/>
      <c r="F81" s="2" t="n"/>
      <c r="G81" s="11" t="n"/>
      <c r="H81" s="11" t="n"/>
      <c r="I81" s="8" t="n"/>
      <c r="J81" s="2" t="n"/>
      <c r="K81" s="8" t="n"/>
      <c r="L81" s="2" t="n"/>
      <c r="M81" s="2" t="n"/>
    </row>
    <row r="82">
      <c r="A82" s="2" t="n"/>
      <c r="B82" s="2" t="n"/>
      <c r="C82" s="2" t="n"/>
      <c r="D82" s="2" t="n"/>
      <c r="E82" s="10" t="n"/>
      <c r="F82" s="2" t="n"/>
      <c r="G82" s="11" t="n"/>
      <c r="H82" s="11" t="n"/>
      <c r="I82" s="8" t="n"/>
      <c r="J82" s="2" t="n"/>
      <c r="K82" s="8" t="n"/>
      <c r="L82" s="2" t="n"/>
      <c r="M82" s="2" t="n"/>
    </row>
    <row r="83">
      <c r="A83" s="2" t="n"/>
      <c r="B83" s="2" t="n"/>
      <c r="C83" s="2" t="n"/>
      <c r="D83" s="2" t="n"/>
      <c r="E83" s="10" t="n"/>
      <c r="F83" s="2" t="n"/>
      <c r="G83" s="11" t="n"/>
      <c r="H83" s="11" t="n"/>
      <c r="I83" s="8" t="n"/>
      <c r="J83" s="2" t="n"/>
      <c r="K83" s="8" t="n"/>
      <c r="L83" s="2" t="n"/>
      <c r="M83" s="2" t="n"/>
    </row>
    <row r="84">
      <c r="A84" s="2" t="n"/>
      <c r="B84" s="2" t="n"/>
      <c r="C84" s="2" t="n"/>
      <c r="D84" s="2" t="n"/>
      <c r="E84" s="10" t="n"/>
      <c r="F84" s="2" t="n"/>
      <c r="G84" s="11" t="n"/>
      <c r="H84" s="11" t="n"/>
      <c r="I84" s="8" t="n"/>
      <c r="J84" s="2" t="n"/>
      <c r="K84" s="8" t="n"/>
      <c r="L84" s="2" t="n"/>
      <c r="M84" s="2" t="n"/>
    </row>
    <row r="85">
      <c r="A85" s="2" t="n"/>
      <c r="B85" s="2" t="n"/>
      <c r="C85" s="2" t="n"/>
      <c r="D85" s="2" t="n"/>
      <c r="E85" s="10" t="n"/>
      <c r="F85" s="2" t="n"/>
      <c r="G85" s="11" t="n"/>
      <c r="H85" s="11" t="n"/>
      <c r="I85" s="8" t="n"/>
      <c r="J85" s="2" t="n"/>
      <c r="K85" s="8" t="n"/>
      <c r="L85" s="2" t="n"/>
      <c r="M85" s="2" t="n"/>
    </row>
    <row r="86">
      <c r="A86" s="2" t="n"/>
      <c r="B86" s="2" t="n"/>
      <c r="C86" s="2" t="n"/>
      <c r="D86" s="2" t="n"/>
      <c r="E86" s="10" t="n"/>
      <c r="F86" s="2" t="n"/>
      <c r="G86" s="11" t="n"/>
      <c r="H86" s="11" t="n"/>
      <c r="I86" s="8" t="n"/>
      <c r="J86" s="2" t="n"/>
      <c r="K86" s="8" t="n"/>
      <c r="L86" s="2" t="n"/>
      <c r="M86" s="2" t="n"/>
    </row>
    <row r="87">
      <c r="A87" s="2" t="n"/>
      <c r="B87" s="2" t="n"/>
      <c r="C87" s="2" t="n"/>
      <c r="D87" s="2" t="n"/>
      <c r="E87" s="10" t="n"/>
      <c r="F87" s="2" t="n"/>
      <c r="G87" s="11" t="n"/>
      <c r="H87" s="11" t="n"/>
      <c r="I87" s="8" t="n"/>
      <c r="J87" s="2" t="n"/>
      <c r="K87" s="8" t="n"/>
      <c r="L87" s="2" t="n"/>
      <c r="M87" s="2" t="n"/>
    </row>
    <row r="88">
      <c r="A88" s="2" t="n"/>
      <c r="B88" s="2" t="n"/>
      <c r="C88" s="2" t="n"/>
      <c r="D88" s="2" t="n"/>
      <c r="E88" s="10" t="n"/>
      <c r="F88" s="2" t="n"/>
      <c r="G88" s="11" t="n"/>
      <c r="H88" s="11" t="n"/>
      <c r="I88" s="8" t="n"/>
      <c r="J88" s="2" t="n"/>
      <c r="K88" s="8" t="n"/>
      <c r="L88" s="2" t="n"/>
      <c r="M88" s="2" t="n"/>
    </row>
    <row r="89">
      <c r="A89" s="2" t="n"/>
      <c r="B89" s="2" t="n"/>
      <c r="C89" s="2" t="n"/>
      <c r="D89" s="2" t="n"/>
      <c r="E89" s="10" t="n"/>
      <c r="F89" s="2" t="n"/>
      <c r="G89" s="11" t="n"/>
      <c r="H89" s="11" t="n"/>
      <c r="I89" s="8" t="n"/>
      <c r="J89" s="2" t="n"/>
      <c r="K89" s="8" t="n"/>
      <c r="L89" s="2" t="n"/>
      <c r="M89" s="2" t="n"/>
    </row>
    <row r="90">
      <c r="A90" s="2" t="n"/>
      <c r="B90" s="2" t="n"/>
      <c r="C90" s="2" t="n"/>
      <c r="D90" s="2" t="n"/>
      <c r="E90" s="10" t="n"/>
      <c r="F90" s="2" t="n"/>
      <c r="G90" s="11" t="n"/>
      <c r="H90" s="11" t="n"/>
      <c r="I90" s="8" t="n"/>
      <c r="J90" s="2" t="n"/>
      <c r="K90" s="8" t="n"/>
      <c r="L90" s="2" t="n"/>
      <c r="M90" s="2" t="n"/>
    </row>
    <row r="91">
      <c r="A91" s="2" t="n"/>
      <c r="B91" s="2" t="n"/>
      <c r="C91" s="2" t="n"/>
      <c r="D91" s="2" t="n"/>
      <c r="E91" s="10" t="n"/>
      <c r="F91" s="2" t="n"/>
      <c r="G91" s="11" t="n"/>
      <c r="H91" s="11" t="n"/>
      <c r="I91" s="8" t="n"/>
      <c r="J91" s="2" t="n"/>
      <c r="K91" s="8" t="n"/>
      <c r="L91" s="2" t="n"/>
      <c r="M91" s="2" t="n"/>
    </row>
    <row r="92">
      <c r="A92" s="2" t="n"/>
      <c r="B92" s="2" t="n"/>
      <c r="C92" s="2" t="n"/>
      <c r="D92" s="2" t="n"/>
      <c r="E92" s="10" t="n"/>
      <c r="F92" s="2" t="n"/>
      <c r="G92" s="11" t="n"/>
      <c r="H92" s="11" t="n"/>
      <c r="I92" s="8" t="n"/>
      <c r="J92" s="2" t="n"/>
      <c r="K92" s="8" t="n"/>
      <c r="L92" s="2" t="n"/>
      <c r="M92" s="2" t="n"/>
    </row>
    <row r="93">
      <c r="A93" s="2" t="n"/>
      <c r="B93" s="2" t="n"/>
      <c r="C93" s="2" t="n"/>
      <c r="D93" s="2" t="n"/>
      <c r="E93" s="10" t="n"/>
      <c r="F93" s="2" t="n"/>
      <c r="G93" s="11" t="n"/>
      <c r="H93" s="11" t="n"/>
      <c r="I93" s="8" t="n"/>
      <c r="J93" s="2" t="n"/>
      <c r="K93" s="8" t="n"/>
      <c r="L93" s="2" t="n"/>
      <c r="M93" s="2" t="n"/>
    </row>
    <row r="94">
      <c r="A94" s="2" t="n"/>
      <c r="B94" s="2" t="n"/>
      <c r="C94" s="2" t="n"/>
      <c r="D94" s="2" t="n"/>
      <c r="E94" s="10" t="n"/>
      <c r="F94" s="2" t="n"/>
      <c r="G94" s="11" t="n"/>
      <c r="H94" s="11" t="n"/>
      <c r="I94" s="8" t="n"/>
      <c r="J94" s="2" t="n"/>
      <c r="K94" s="8" t="n"/>
      <c r="L94" s="2" t="n"/>
      <c r="M94" s="2" t="n"/>
    </row>
    <row r="95">
      <c r="A95" s="2" t="n"/>
      <c r="B95" s="2" t="n"/>
      <c r="C95" s="2" t="n"/>
      <c r="D95" s="2" t="n"/>
      <c r="E95" s="10" t="n"/>
      <c r="F95" s="2" t="n"/>
      <c r="G95" s="11" t="n"/>
      <c r="H95" s="11" t="n"/>
      <c r="I95" s="8" t="n"/>
      <c r="J95" s="2" t="n"/>
      <c r="K95" s="8" t="n"/>
      <c r="L95" s="2" t="n"/>
      <c r="M95" s="2" t="n"/>
    </row>
    <row r="96">
      <c r="A96" s="2" t="n"/>
      <c r="B96" s="2" t="n"/>
      <c r="C96" s="2" t="n"/>
      <c r="D96" s="2" t="n"/>
      <c r="E96" s="10" t="n"/>
      <c r="F96" s="2" t="n"/>
      <c r="G96" s="11" t="n"/>
      <c r="H96" s="11" t="n"/>
      <c r="I96" s="8" t="n"/>
      <c r="J96" s="2" t="n"/>
      <c r="K96" s="8" t="n"/>
      <c r="L96" s="2" t="n"/>
      <c r="M96" s="2" t="n"/>
    </row>
    <row r="97">
      <c r="A97" s="2" t="n"/>
      <c r="B97" s="2" t="n"/>
      <c r="C97" s="2" t="n"/>
      <c r="D97" s="2" t="n"/>
      <c r="E97" s="10" t="n"/>
      <c r="F97" s="2" t="n"/>
      <c r="G97" s="11" t="n"/>
      <c r="H97" s="11" t="n"/>
      <c r="I97" s="8" t="n"/>
      <c r="J97" s="2" t="n"/>
      <c r="K97" s="8" t="n"/>
      <c r="L97" s="2" t="n"/>
      <c r="M97" s="2" t="n"/>
    </row>
    <row r="98">
      <c r="A98" s="2" t="n"/>
      <c r="B98" s="2" t="n"/>
      <c r="C98" s="2" t="n"/>
      <c r="D98" s="2" t="n"/>
      <c r="E98" s="10" t="n"/>
      <c r="F98" s="2" t="n"/>
      <c r="G98" s="11" t="n"/>
      <c r="H98" s="11" t="n"/>
      <c r="I98" s="8" t="n"/>
      <c r="J98" s="2" t="n"/>
      <c r="K98" s="8" t="n"/>
      <c r="L98" s="2" t="n"/>
      <c r="M98" s="2" t="n"/>
    </row>
    <row r="99">
      <c r="A99" s="2" t="n"/>
      <c r="B99" s="2" t="n"/>
      <c r="C99" s="2" t="n"/>
      <c r="D99" s="2" t="n"/>
      <c r="E99" s="10" t="n"/>
      <c r="F99" s="2" t="n"/>
      <c r="G99" s="11" t="n"/>
      <c r="H99" s="11" t="n"/>
      <c r="I99" s="8" t="n"/>
      <c r="J99" s="2" t="n"/>
      <c r="K99" s="8" t="n"/>
      <c r="L99" s="2" t="n"/>
      <c r="M99" s="2" t="n"/>
    </row>
    <row r="100">
      <c r="A100" s="2" t="n"/>
      <c r="B100" s="2" t="n"/>
      <c r="C100" s="2" t="n"/>
      <c r="D100" s="2" t="n"/>
      <c r="E100" s="10" t="n"/>
      <c r="F100" s="2" t="n"/>
      <c r="G100" s="11" t="n"/>
      <c r="H100" s="11" t="n"/>
      <c r="I100" s="8" t="n"/>
      <c r="J100" s="2" t="n"/>
      <c r="K100" s="8" t="n"/>
      <c r="L100" s="2" t="n"/>
      <c r="M100" s="2" t="n"/>
    </row>
    <row r="101">
      <c r="A101" s="2" t="n"/>
      <c r="B101" s="2" t="n"/>
      <c r="C101" s="2" t="n"/>
      <c r="D101" s="2" t="n"/>
      <c r="E101" s="10" t="n"/>
      <c r="F101" s="2" t="n"/>
      <c r="G101" s="11" t="n"/>
      <c r="H101" s="11" t="n"/>
      <c r="I101" s="8" t="n"/>
      <c r="J101" s="2" t="n"/>
      <c r="K101" s="8" t="n"/>
      <c r="L101" s="2" t="n"/>
      <c r="M101" s="2" t="n"/>
    </row>
    <row r="102">
      <c r="A102" s="2" t="n"/>
      <c r="B102" s="2" t="n"/>
      <c r="C102" s="2" t="n"/>
      <c r="D102" s="2" t="n"/>
      <c r="E102" s="10" t="n"/>
      <c r="F102" s="2" t="n"/>
      <c r="G102" s="11" t="n"/>
      <c r="H102" s="11" t="n"/>
      <c r="I102" s="8" t="n"/>
      <c r="J102" s="2" t="n"/>
      <c r="K102" s="8" t="n"/>
      <c r="L102" s="2" t="n"/>
      <c r="M102" s="2" t="n"/>
    </row>
    <row r="103">
      <c r="A103" s="2" t="n"/>
      <c r="B103" s="2" t="n"/>
      <c r="C103" s="2" t="n"/>
      <c r="D103" s="2" t="n"/>
      <c r="E103" s="10" t="n"/>
      <c r="F103" s="2" t="n"/>
      <c r="G103" s="11" t="n"/>
      <c r="H103" s="11" t="n"/>
      <c r="I103" s="8" t="n"/>
      <c r="J103" s="2" t="n"/>
      <c r="K103" s="8" t="n"/>
      <c r="L103" s="2" t="n"/>
      <c r="M103" s="2" t="n"/>
    </row>
    <row r="104">
      <c r="A104" s="2" t="n"/>
      <c r="B104" s="2" t="n"/>
      <c r="C104" s="2" t="n"/>
      <c r="D104" s="2" t="n"/>
      <c r="E104" s="10" t="n"/>
      <c r="F104" s="2" t="n"/>
      <c r="G104" s="11" t="n"/>
      <c r="H104" s="11" t="n"/>
      <c r="I104" s="8" t="n"/>
      <c r="J104" s="2" t="n"/>
      <c r="K104" s="8" t="n"/>
      <c r="L104" s="2" t="n"/>
      <c r="M104" s="2" t="n"/>
    </row>
    <row r="105">
      <c r="A105" s="2" t="n"/>
      <c r="B105" s="2" t="n"/>
      <c r="C105" s="2" t="n"/>
      <c r="D105" s="2" t="n"/>
      <c r="E105" s="10" t="n"/>
      <c r="F105" s="2" t="n"/>
      <c r="G105" s="11" t="n"/>
      <c r="H105" s="11" t="n"/>
      <c r="I105" s="8" t="n"/>
      <c r="J105" s="2" t="n"/>
      <c r="K105" s="8" t="n"/>
      <c r="L105" s="2" t="n"/>
      <c r="M105" s="2" t="n"/>
    </row>
    <row r="106">
      <c r="A106" s="2" t="n"/>
      <c r="B106" s="2" t="n"/>
      <c r="C106" s="2" t="n"/>
      <c r="D106" s="2" t="n"/>
      <c r="E106" s="10" t="n"/>
      <c r="F106" s="2" t="n"/>
      <c r="G106" s="11" t="n"/>
      <c r="H106" s="11" t="n"/>
      <c r="I106" s="8" t="n"/>
      <c r="J106" s="2" t="n"/>
      <c r="K106" s="8" t="n"/>
      <c r="L106" s="2" t="n"/>
      <c r="M106" s="2" t="n"/>
    </row>
    <row r="107">
      <c r="A107" s="2" t="n"/>
      <c r="B107" s="2" t="n"/>
      <c r="C107" s="2" t="n"/>
      <c r="D107" s="2" t="n"/>
      <c r="E107" s="10" t="n"/>
      <c r="F107" s="2" t="n"/>
      <c r="G107" s="11" t="n"/>
      <c r="H107" s="11" t="n"/>
      <c r="I107" s="8" t="n"/>
      <c r="J107" s="2" t="n"/>
      <c r="K107" s="8" t="n"/>
      <c r="L107" s="2" t="n"/>
      <c r="M107" s="2" t="n"/>
    </row>
    <row r="108">
      <c r="A108" s="2" t="n"/>
      <c r="B108" s="2" t="n"/>
      <c r="C108" s="2" t="n"/>
      <c r="D108" s="2" t="n"/>
      <c r="E108" s="10" t="n"/>
      <c r="F108" s="2" t="n"/>
      <c r="G108" s="11" t="n"/>
      <c r="H108" s="11" t="n"/>
      <c r="I108" s="8" t="n"/>
      <c r="J108" s="2" t="n"/>
      <c r="K108" s="8" t="n"/>
      <c r="L108" s="2" t="n"/>
      <c r="M108" s="2" t="n"/>
    </row>
    <row r="109">
      <c r="A109" s="2" t="n"/>
      <c r="B109" s="2" t="n"/>
      <c r="C109" s="2" t="n"/>
      <c r="D109" s="2" t="n"/>
      <c r="E109" s="10" t="n"/>
      <c r="F109" s="2" t="n"/>
      <c r="G109" s="11" t="n"/>
      <c r="H109" s="11" t="n"/>
      <c r="I109" s="8" t="n"/>
      <c r="J109" s="2" t="n"/>
      <c r="K109" s="8" t="n"/>
      <c r="L109" s="2" t="n"/>
      <c r="M109" s="2" t="n"/>
    </row>
    <row r="110">
      <c r="A110" s="2" t="n"/>
      <c r="B110" s="2" t="n"/>
      <c r="C110" s="2" t="n"/>
      <c r="D110" s="2" t="n"/>
      <c r="E110" s="10" t="n"/>
      <c r="F110" s="2" t="n"/>
      <c r="G110" s="11" t="n"/>
      <c r="H110" s="11" t="n"/>
      <c r="I110" s="8" t="n"/>
      <c r="J110" s="2" t="n"/>
      <c r="K110" s="8" t="n"/>
      <c r="L110" s="2" t="n"/>
      <c r="M110" s="2" t="n"/>
    </row>
    <row r="111">
      <c r="A111" s="2" t="n"/>
      <c r="B111" s="2" t="n"/>
      <c r="C111" s="2" t="n"/>
      <c r="D111" s="2" t="n"/>
      <c r="E111" s="10" t="n"/>
      <c r="F111" s="2" t="n"/>
      <c r="G111" s="11" t="n"/>
      <c r="H111" s="11" t="n"/>
      <c r="I111" s="8" t="n"/>
      <c r="J111" s="2" t="n"/>
      <c r="K111" s="8" t="n"/>
      <c r="L111" s="2" t="n"/>
      <c r="M111" s="2" t="n"/>
    </row>
    <row r="112">
      <c r="A112" s="2" t="n"/>
      <c r="B112" s="2" t="n"/>
      <c r="C112" s="2" t="n"/>
      <c r="D112" s="2" t="n"/>
      <c r="E112" s="10" t="n"/>
      <c r="F112" s="2" t="n"/>
      <c r="G112" s="11" t="n"/>
      <c r="H112" s="11" t="n"/>
      <c r="I112" s="8" t="n"/>
      <c r="J112" s="2" t="n"/>
      <c r="K112" s="8" t="n"/>
      <c r="L112" s="2" t="n"/>
      <c r="M112" s="2" t="n"/>
    </row>
    <row r="113">
      <c r="A113" s="2" t="n"/>
      <c r="B113" s="2" t="n"/>
      <c r="C113" s="2" t="n"/>
      <c r="D113" s="2" t="n"/>
      <c r="E113" s="10" t="n"/>
      <c r="F113" s="2" t="n"/>
      <c r="G113" s="11" t="n"/>
      <c r="H113" s="11" t="n"/>
      <c r="I113" s="8" t="n"/>
      <c r="J113" s="2" t="n"/>
      <c r="K113" s="8" t="n"/>
      <c r="L113" s="2" t="n"/>
      <c r="M113" s="2" t="n"/>
    </row>
    <row r="114">
      <c r="A114" s="2" t="n"/>
      <c r="B114" s="2" t="n"/>
      <c r="C114" s="2" t="n"/>
      <c r="D114" s="2" t="n"/>
      <c r="E114" s="10" t="n"/>
      <c r="F114" s="2" t="n"/>
      <c r="G114" s="11" t="n"/>
      <c r="H114" s="11" t="n"/>
      <c r="I114" s="8" t="n"/>
      <c r="J114" s="2" t="n"/>
      <c r="K114" s="8" t="n"/>
      <c r="L114" s="2" t="n"/>
      <c r="M114" s="2" t="n"/>
    </row>
    <row r="115">
      <c r="A115" s="2" t="n"/>
      <c r="B115" s="2" t="n"/>
      <c r="C115" s="2" t="n"/>
      <c r="D115" s="2" t="n"/>
      <c r="E115" s="10" t="n"/>
      <c r="F115" s="2" t="n"/>
      <c r="G115" s="11" t="n"/>
      <c r="H115" s="11" t="n"/>
      <c r="I115" s="8" t="n"/>
      <c r="J115" s="2" t="n"/>
      <c r="K115" s="8" t="n"/>
      <c r="L115" s="2" t="n"/>
      <c r="M115" s="2" t="n"/>
    </row>
    <row r="116">
      <c r="A116" s="2" t="n"/>
      <c r="B116" s="2" t="n"/>
      <c r="C116" s="2" t="n"/>
      <c r="D116" s="2" t="n"/>
      <c r="E116" s="10" t="n"/>
      <c r="F116" s="2" t="n"/>
      <c r="G116" s="11" t="n"/>
      <c r="H116" s="11" t="n"/>
      <c r="I116" s="8" t="n"/>
      <c r="J116" s="2" t="n"/>
      <c r="K116" s="8" t="n"/>
      <c r="L116" s="2" t="n"/>
      <c r="M116" s="2" t="n"/>
    </row>
    <row r="117">
      <c r="A117" s="2" t="n"/>
      <c r="B117" s="2" t="n"/>
      <c r="C117" s="2" t="n"/>
      <c r="D117" s="2" t="n"/>
      <c r="E117" s="10" t="n"/>
      <c r="F117" s="2" t="n"/>
      <c r="G117" s="11" t="n"/>
      <c r="H117" s="11" t="n"/>
      <c r="I117" s="8" t="n"/>
      <c r="J117" s="2" t="n"/>
      <c r="K117" s="8" t="n"/>
      <c r="L117" s="2" t="n"/>
      <c r="M117" s="2" t="n"/>
    </row>
    <row r="118">
      <c r="A118" s="2" t="n"/>
      <c r="B118" s="2" t="n"/>
      <c r="C118" s="2" t="n"/>
      <c r="D118" s="2" t="n"/>
      <c r="E118" s="10" t="n"/>
      <c r="F118" s="2" t="n"/>
      <c r="G118" s="11" t="n"/>
      <c r="H118" s="11" t="n"/>
      <c r="I118" s="8" t="n"/>
      <c r="J118" s="2" t="n"/>
      <c r="K118" s="8" t="n"/>
      <c r="L118" s="2" t="n"/>
      <c r="M118" s="2" t="n"/>
    </row>
    <row r="119">
      <c r="A119" s="2" t="n"/>
      <c r="B119" s="2" t="n"/>
      <c r="C119" s="2" t="n"/>
      <c r="D119" s="2" t="n"/>
      <c r="E119" s="10" t="n"/>
      <c r="F119" s="2" t="n"/>
      <c r="G119" s="11" t="n"/>
      <c r="H119" s="11" t="n"/>
      <c r="I119" s="8" t="n"/>
      <c r="J119" s="2" t="n"/>
      <c r="K119" s="8" t="n"/>
      <c r="L119" s="2" t="n"/>
      <c r="M119" s="2" t="n"/>
    </row>
    <row r="120">
      <c r="A120" s="2" t="n"/>
      <c r="B120" s="2" t="n"/>
      <c r="C120" s="2" t="n"/>
      <c r="D120" s="2" t="n"/>
      <c r="E120" s="10" t="n"/>
      <c r="F120" s="2" t="n"/>
      <c r="G120" s="11" t="n"/>
      <c r="H120" s="11" t="n"/>
      <c r="I120" s="8" t="n"/>
      <c r="J120" s="2" t="n"/>
      <c r="K120" s="8" t="n"/>
      <c r="L120" s="2" t="n"/>
      <c r="M120" s="2" t="n"/>
    </row>
    <row r="121">
      <c r="A121" s="2" t="n"/>
      <c r="B121" s="2" t="n"/>
      <c r="C121" s="2" t="n"/>
      <c r="D121" s="2" t="n"/>
      <c r="E121" s="10" t="n"/>
      <c r="F121" s="2" t="n"/>
      <c r="G121" s="11" t="n"/>
      <c r="H121" s="11" t="n"/>
      <c r="I121" s="8" t="n"/>
      <c r="J121" s="2" t="n"/>
      <c r="K121" s="8" t="n"/>
      <c r="L121" s="2" t="n"/>
      <c r="M121" s="2" t="n"/>
    </row>
    <row r="122">
      <c r="A122" s="2" t="n"/>
      <c r="B122" s="2" t="n"/>
      <c r="C122" s="2" t="n"/>
      <c r="D122" s="2" t="n"/>
      <c r="E122" s="10" t="n"/>
      <c r="F122" s="2" t="n"/>
      <c r="G122" s="11" t="n"/>
      <c r="H122" s="11" t="n"/>
      <c r="I122" s="8" t="n"/>
      <c r="J122" s="2" t="n"/>
      <c r="K122" s="8" t="n"/>
      <c r="L122" s="2" t="n"/>
      <c r="M122" s="2" t="n"/>
    </row>
    <row r="123">
      <c r="A123" s="2" t="n"/>
      <c r="B123" s="2" t="n"/>
      <c r="C123" s="2" t="n"/>
      <c r="D123" s="2" t="n"/>
      <c r="E123" s="10" t="n"/>
      <c r="F123" s="2" t="n"/>
      <c r="G123" s="11" t="n"/>
      <c r="H123" s="11" t="n"/>
      <c r="I123" s="8" t="n"/>
      <c r="J123" s="2" t="n"/>
      <c r="K123" s="8" t="n"/>
      <c r="L123" s="2" t="n"/>
      <c r="M123" s="2" t="n"/>
    </row>
    <row r="124">
      <c r="A124" s="2" t="n"/>
      <c r="B124" s="2" t="n"/>
      <c r="C124" s="2" t="n"/>
      <c r="D124" s="2" t="n"/>
      <c r="E124" s="10" t="n"/>
      <c r="F124" s="2" t="n"/>
      <c r="G124" s="11" t="n"/>
      <c r="H124" s="11" t="n"/>
      <c r="I124" s="8" t="n"/>
      <c r="J124" s="2" t="n"/>
      <c r="K124" s="8" t="n"/>
      <c r="L124" s="2" t="n"/>
      <c r="M124" s="2" t="n"/>
    </row>
    <row r="125">
      <c r="A125" s="2" t="n"/>
      <c r="B125" s="2" t="n"/>
      <c r="C125" s="2" t="n"/>
      <c r="D125" s="2" t="n"/>
      <c r="E125" s="10" t="n"/>
      <c r="F125" s="2" t="n"/>
      <c r="G125" s="11" t="n"/>
      <c r="H125" s="11" t="n"/>
      <c r="I125" s="8" t="n"/>
      <c r="J125" s="2" t="n"/>
      <c r="K125" s="8" t="n"/>
      <c r="L125" s="2" t="n"/>
      <c r="M125" s="2" t="n"/>
    </row>
    <row r="126">
      <c r="A126" s="2" t="n"/>
      <c r="B126" s="2" t="n"/>
      <c r="C126" s="2" t="n"/>
      <c r="D126" s="2" t="n"/>
      <c r="E126" s="10" t="n"/>
      <c r="F126" s="2" t="n"/>
      <c r="G126" s="11" t="n"/>
      <c r="H126" s="11" t="n"/>
      <c r="I126" s="8" t="n"/>
      <c r="J126" s="2" t="n"/>
      <c r="K126" s="8" t="n"/>
      <c r="L126" s="2" t="n"/>
      <c r="M126" s="2" t="n"/>
    </row>
    <row r="127">
      <c r="A127" s="2" t="n"/>
      <c r="B127" s="2" t="n"/>
      <c r="C127" s="2" t="n"/>
      <c r="D127" s="2" t="n"/>
      <c r="E127" s="10" t="n"/>
      <c r="F127" s="2" t="n"/>
      <c r="G127" s="11" t="n"/>
      <c r="H127" s="11" t="n"/>
      <c r="I127" s="8" t="n"/>
      <c r="J127" s="2" t="n"/>
      <c r="K127" s="8" t="n"/>
      <c r="L127" s="2" t="n"/>
      <c r="M127" s="2" t="n"/>
    </row>
    <row r="128">
      <c r="A128" s="2" t="n"/>
      <c r="B128" s="2" t="n"/>
      <c r="C128" s="2" t="n"/>
      <c r="D128" s="2" t="n"/>
      <c r="E128" s="10" t="n"/>
      <c r="F128" s="2" t="n"/>
      <c r="G128" s="11" t="n"/>
      <c r="H128" s="11" t="n"/>
      <c r="I128" s="8" t="n"/>
      <c r="J128" s="2" t="n"/>
      <c r="K128" s="8" t="n"/>
      <c r="L128" s="2" t="n"/>
      <c r="M128" s="2" t="n"/>
    </row>
    <row r="129">
      <c r="A129" s="2" t="n"/>
      <c r="B129" s="2" t="n"/>
      <c r="C129" s="2" t="n"/>
      <c r="D129" s="2" t="n"/>
      <c r="E129" s="10" t="n"/>
      <c r="F129" s="2" t="n"/>
      <c r="G129" s="11" t="n"/>
      <c r="H129" s="11" t="n"/>
      <c r="I129" s="8" t="n"/>
      <c r="J129" s="2" t="n"/>
      <c r="K129" s="8" t="n"/>
      <c r="L129" s="2" t="n"/>
      <c r="M129" s="2" t="n"/>
    </row>
    <row r="130">
      <c r="A130" s="2" t="n"/>
      <c r="B130" s="2" t="n"/>
      <c r="C130" s="2" t="n"/>
      <c r="D130" s="2" t="n"/>
      <c r="E130" s="10" t="n"/>
      <c r="F130" s="2" t="n"/>
      <c r="G130" s="11" t="n"/>
      <c r="H130" s="11" t="n"/>
      <c r="I130" s="8" t="n"/>
      <c r="J130" s="2" t="n"/>
      <c r="K130" s="8" t="n"/>
      <c r="L130" s="2" t="n"/>
      <c r="M130" s="2" t="n"/>
    </row>
    <row r="131">
      <c r="A131" s="2" t="n"/>
      <c r="B131" s="2" t="n"/>
      <c r="C131" s="2" t="n"/>
      <c r="D131" s="2" t="n"/>
      <c r="E131" s="10" t="n"/>
      <c r="F131" s="2" t="n"/>
      <c r="G131" s="11" t="n"/>
      <c r="H131" s="11" t="n"/>
      <c r="I131" s="8" t="n"/>
      <c r="J131" s="2" t="n"/>
      <c r="K131" s="8" t="n"/>
      <c r="L131" s="2" t="n"/>
      <c r="M131" s="2" t="n"/>
    </row>
    <row r="132">
      <c r="A132" s="2" t="n"/>
      <c r="B132" s="2" t="n"/>
      <c r="C132" s="2" t="n"/>
      <c r="D132" s="2" t="n"/>
      <c r="E132" s="10" t="n"/>
      <c r="F132" s="2" t="n"/>
      <c r="G132" s="11" t="n"/>
      <c r="H132" s="11" t="n"/>
      <c r="I132" s="8" t="n"/>
      <c r="J132" s="2" t="n"/>
      <c r="K132" s="8" t="n"/>
      <c r="L132" s="2" t="n"/>
      <c r="M132" s="2" t="n"/>
    </row>
    <row r="133">
      <c r="A133" s="2" t="n"/>
      <c r="B133" s="2" t="n"/>
      <c r="C133" s="2" t="n"/>
      <c r="D133" s="2" t="n"/>
      <c r="E133" s="10" t="n"/>
      <c r="F133" s="2" t="n"/>
      <c r="G133" s="11" t="n"/>
      <c r="H133" s="11" t="n"/>
      <c r="I133" s="8" t="n"/>
      <c r="J133" s="2" t="n"/>
      <c r="K133" s="8" t="n"/>
      <c r="L133" s="2" t="n"/>
      <c r="M133" s="2" t="n"/>
    </row>
    <row r="134">
      <c r="A134" s="2" t="n"/>
      <c r="B134" s="2" t="n"/>
      <c r="C134" s="2" t="n"/>
      <c r="D134" s="2" t="n"/>
      <c r="E134" s="10" t="n"/>
      <c r="F134" s="2" t="n"/>
      <c r="G134" s="11" t="n"/>
      <c r="H134" s="11" t="n"/>
      <c r="I134" s="8" t="n"/>
      <c r="J134" s="2" t="n"/>
      <c r="K134" s="8" t="n"/>
      <c r="L134" s="2" t="n"/>
      <c r="M134" s="2" t="n"/>
    </row>
    <row r="135">
      <c r="A135" s="2" t="n"/>
      <c r="B135" s="2" t="n"/>
      <c r="C135" s="2" t="n"/>
      <c r="D135" s="2" t="n"/>
      <c r="E135" s="10" t="n"/>
      <c r="F135" s="2" t="n"/>
      <c r="G135" s="11" t="n"/>
      <c r="H135" s="11" t="n"/>
      <c r="I135" s="8" t="n"/>
      <c r="J135" s="2" t="n"/>
      <c r="K135" s="8" t="n"/>
      <c r="L135" s="2" t="n"/>
      <c r="M135" s="2" t="n"/>
    </row>
    <row r="136">
      <c r="A136" s="2" t="n"/>
      <c r="B136" s="2" t="n"/>
      <c r="C136" s="2" t="n"/>
      <c r="D136" s="2" t="n"/>
      <c r="E136" s="10" t="n"/>
      <c r="F136" s="2" t="n"/>
      <c r="G136" s="11" t="n"/>
      <c r="H136" s="11" t="n"/>
      <c r="I136" s="8" t="n"/>
      <c r="J136" s="2" t="n"/>
      <c r="K136" s="8" t="n"/>
      <c r="L136" s="2" t="n"/>
      <c r="M136" s="2" t="n"/>
    </row>
    <row r="137">
      <c r="A137" s="2" t="n"/>
      <c r="B137" s="2" t="n"/>
      <c r="C137" s="2" t="n"/>
      <c r="D137" s="2" t="n"/>
      <c r="E137" s="10" t="n"/>
      <c r="F137" s="2" t="n"/>
      <c r="G137" s="11" t="n"/>
      <c r="H137" s="11" t="n"/>
      <c r="I137" s="8" t="n"/>
      <c r="J137" s="2" t="n"/>
      <c r="K137" s="8" t="n"/>
      <c r="L137" s="2" t="n"/>
      <c r="M137" s="2" t="n"/>
    </row>
    <row r="138">
      <c r="A138" s="2" t="n"/>
      <c r="B138" s="2" t="n"/>
      <c r="C138" s="2" t="n"/>
      <c r="D138" s="2" t="n"/>
      <c r="E138" s="10" t="n"/>
      <c r="F138" s="2" t="n"/>
      <c r="G138" s="11" t="n"/>
      <c r="H138" s="11" t="n"/>
      <c r="I138" s="8" t="n"/>
      <c r="J138" s="2" t="n"/>
      <c r="K138" s="8" t="n"/>
      <c r="L138" s="2" t="n"/>
      <c r="M138" s="2" t="n"/>
    </row>
    <row r="139">
      <c r="A139" s="2" t="n"/>
      <c r="B139" s="2" t="n"/>
      <c r="C139" s="2" t="n"/>
      <c r="D139" s="2" t="n"/>
      <c r="E139" s="10" t="n"/>
      <c r="F139" s="2" t="n"/>
      <c r="G139" s="11" t="n"/>
      <c r="H139" s="11" t="n"/>
      <c r="I139" s="8" t="n"/>
      <c r="J139" s="2" t="n"/>
      <c r="K139" s="8" t="n"/>
      <c r="L139" s="2" t="n"/>
      <c r="M139" s="2" t="n"/>
    </row>
    <row r="140">
      <c r="A140" s="2" t="n"/>
      <c r="B140" s="2" t="n"/>
      <c r="C140" s="2" t="n"/>
      <c r="D140" s="2" t="n"/>
      <c r="E140" s="10" t="n"/>
      <c r="F140" s="2" t="n"/>
      <c r="G140" s="11" t="n"/>
      <c r="H140" s="11" t="n"/>
      <c r="I140" s="8" t="n"/>
      <c r="J140" s="2" t="n"/>
      <c r="K140" s="8" t="n"/>
      <c r="L140" s="2" t="n"/>
      <c r="M140" s="2" t="n"/>
    </row>
    <row r="141">
      <c r="A141" s="2" t="n"/>
      <c r="B141" s="2" t="n"/>
      <c r="C141" s="2" t="n"/>
      <c r="D141" s="2" t="n"/>
      <c r="E141" s="10" t="n"/>
      <c r="F141" s="2" t="n"/>
      <c r="G141" s="11" t="n"/>
      <c r="H141" s="11" t="n"/>
      <c r="I141" s="8" t="n"/>
      <c r="J141" s="2" t="n"/>
      <c r="K141" s="8" t="n"/>
      <c r="L141" s="2" t="n"/>
      <c r="M141" s="2" t="n"/>
    </row>
    <row r="142">
      <c r="A142" s="2" t="n"/>
      <c r="B142" s="2" t="n"/>
      <c r="C142" s="2" t="n"/>
      <c r="D142" s="2" t="n"/>
      <c r="E142" s="10" t="n"/>
      <c r="F142" s="2" t="n"/>
      <c r="G142" s="11" t="n"/>
      <c r="H142" s="11" t="n"/>
      <c r="I142" s="8" t="n"/>
      <c r="J142" s="2" t="n"/>
      <c r="K142" s="8" t="n"/>
      <c r="L142" s="2" t="n"/>
      <c r="M142" s="2" t="n"/>
    </row>
    <row r="143">
      <c r="A143" s="2" t="n"/>
      <c r="B143" s="2" t="n"/>
      <c r="C143" s="2" t="n"/>
      <c r="D143" s="2" t="n"/>
      <c r="E143" s="10" t="n"/>
      <c r="F143" s="2" t="n"/>
      <c r="G143" s="11" t="n"/>
      <c r="H143" s="11" t="n"/>
      <c r="I143" s="8" t="n"/>
      <c r="J143" s="2" t="n"/>
      <c r="K143" s="8" t="n"/>
      <c r="L143" s="2" t="n"/>
      <c r="M143" s="2" t="n"/>
    </row>
    <row r="144">
      <c r="A144" s="2" t="n"/>
      <c r="B144" s="2" t="n"/>
      <c r="C144" s="2" t="n"/>
      <c r="D144" s="2" t="n"/>
      <c r="E144" s="10" t="n"/>
      <c r="F144" s="2" t="n"/>
      <c r="G144" s="11" t="n"/>
      <c r="H144" s="11" t="n"/>
      <c r="I144" s="8" t="n"/>
      <c r="J144" s="2" t="n"/>
      <c r="K144" s="8" t="n"/>
      <c r="L144" s="2" t="n"/>
      <c r="M144" s="2" t="n"/>
    </row>
    <row r="145">
      <c r="A145" s="2" t="n"/>
      <c r="B145" s="2" t="n"/>
      <c r="C145" s="2" t="n"/>
      <c r="D145" s="2" t="n"/>
      <c r="E145" s="10" t="n"/>
      <c r="F145" s="2" t="n"/>
      <c r="G145" s="11" t="n"/>
      <c r="H145" s="11" t="n"/>
      <c r="I145" s="8" t="n"/>
      <c r="J145" s="2" t="n"/>
      <c r="K145" s="8" t="n"/>
      <c r="L145" s="2" t="n"/>
      <c r="M145" s="2" t="n"/>
    </row>
    <row r="146">
      <c r="A146" s="2" t="n"/>
      <c r="B146" s="2" t="n"/>
      <c r="C146" s="2" t="n"/>
      <c r="D146" s="2" t="n"/>
      <c r="E146" s="10" t="n"/>
      <c r="F146" s="2" t="n"/>
      <c r="G146" s="11" t="n"/>
      <c r="H146" s="11" t="n"/>
      <c r="I146" s="8" t="n"/>
      <c r="J146" s="2" t="n"/>
      <c r="K146" s="8" t="n"/>
      <c r="L146" s="2" t="n"/>
      <c r="M146" s="2" t="n"/>
    </row>
    <row r="147">
      <c r="A147" s="2" t="n"/>
      <c r="B147" s="2" t="n"/>
      <c r="C147" s="2" t="n"/>
      <c r="D147" s="2" t="n"/>
      <c r="E147" s="10" t="n"/>
      <c r="F147" s="2" t="n"/>
      <c r="G147" s="11" t="n"/>
      <c r="H147" s="11" t="n"/>
      <c r="I147" s="8" t="n"/>
      <c r="J147" s="2" t="n"/>
      <c r="K147" s="8" t="n"/>
      <c r="L147" s="2" t="n"/>
      <c r="M147" s="2" t="n"/>
    </row>
    <row r="148">
      <c r="A148" s="2" t="n"/>
      <c r="B148" s="2" t="n"/>
      <c r="C148" s="2" t="n"/>
      <c r="D148" s="2" t="n"/>
      <c r="E148" s="10" t="n"/>
      <c r="F148" s="2" t="n"/>
      <c r="G148" s="11" t="n"/>
      <c r="H148" s="11" t="n"/>
      <c r="I148" s="8" t="n"/>
      <c r="J148" s="2" t="n"/>
      <c r="K148" s="8" t="n"/>
      <c r="L148" s="2" t="n"/>
      <c r="M148" s="2" t="n"/>
    </row>
    <row r="149">
      <c r="A149" s="2" t="n"/>
      <c r="B149" s="2" t="n"/>
      <c r="C149" s="2" t="n"/>
      <c r="D149" s="2" t="n"/>
      <c r="E149" s="10" t="n"/>
      <c r="F149" s="2" t="n"/>
      <c r="G149" s="11" t="n"/>
      <c r="H149" s="11" t="n"/>
      <c r="I149" s="8" t="n"/>
      <c r="J149" s="2" t="n"/>
      <c r="K149" s="8" t="n"/>
      <c r="L149" s="2" t="n"/>
      <c r="M149" s="2" t="n"/>
    </row>
    <row r="150">
      <c r="A150" s="2" t="n"/>
      <c r="B150" s="2" t="n"/>
      <c r="C150" s="2" t="n"/>
      <c r="D150" s="2" t="n"/>
      <c r="E150" s="10" t="n"/>
      <c r="F150" s="2" t="n"/>
      <c r="G150" s="11" t="n"/>
      <c r="H150" s="11" t="n"/>
      <c r="I150" s="8" t="n"/>
      <c r="J150" s="2" t="n"/>
      <c r="K150" s="8" t="n"/>
      <c r="L150" s="2" t="n"/>
      <c r="M150" s="2" t="n"/>
    </row>
    <row r="151">
      <c r="A151" s="2" t="n"/>
      <c r="B151" s="2" t="n"/>
      <c r="C151" s="2" t="n"/>
      <c r="D151" s="2" t="n"/>
      <c r="E151" s="10" t="n"/>
      <c r="F151" s="2" t="n"/>
      <c r="G151" s="11" t="n"/>
      <c r="H151" s="11" t="n"/>
      <c r="I151" s="8" t="n"/>
      <c r="J151" s="2" t="n"/>
      <c r="K151" s="8" t="n"/>
      <c r="L151" s="2" t="n"/>
      <c r="M151" s="2" t="n"/>
    </row>
    <row r="152">
      <c r="A152" s="2" t="n"/>
      <c r="B152" s="2" t="n"/>
      <c r="C152" s="2" t="n"/>
      <c r="D152" s="2" t="n"/>
      <c r="E152" s="10" t="n"/>
      <c r="F152" s="2" t="n"/>
      <c r="G152" s="11" t="n"/>
      <c r="H152" s="11" t="n"/>
      <c r="I152" s="8" t="n"/>
      <c r="J152" s="2" t="n"/>
      <c r="K152" s="8" t="n"/>
      <c r="L152" s="2" t="n"/>
      <c r="M152" s="2" t="n"/>
    </row>
    <row r="153">
      <c r="A153" s="2" t="n"/>
      <c r="B153" s="2" t="n"/>
      <c r="C153" s="2" t="n"/>
      <c r="D153" s="2" t="n"/>
      <c r="E153" s="10" t="n"/>
      <c r="F153" s="2" t="n"/>
      <c r="G153" s="11" t="n"/>
      <c r="H153" s="11" t="n"/>
      <c r="I153" s="8" t="n"/>
      <c r="J153" s="2" t="n"/>
      <c r="K153" s="8" t="n"/>
      <c r="L153" s="2" t="n"/>
      <c r="M153" s="2" t="n"/>
    </row>
    <row r="154">
      <c r="A154" s="2" t="n"/>
      <c r="B154" s="2" t="n"/>
      <c r="C154" s="2" t="n"/>
      <c r="D154" s="2" t="n"/>
      <c r="E154" s="10" t="n"/>
      <c r="F154" s="2" t="n"/>
      <c r="G154" s="11" t="n"/>
      <c r="H154" s="11" t="n"/>
      <c r="I154" s="8" t="n"/>
      <c r="J154" s="2" t="n"/>
      <c r="K154" s="8" t="n"/>
      <c r="L154" s="2" t="n"/>
      <c r="M154" s="2" t="n"/>
    </row>
    <row r="155">
      <c r="A155" s="2" t="n"/>
      <c r="B155" s="2" t="n"/>
      <c r="C155" s="2" t="n"/>
      <c r="D155" s="2" t="n"/>
      <c r="E155" s="10" t="n"/>
      <c r="F155" s="2" t="n"/>
      <c r="G155" s="11" t="n"/>
      <c r="H155" s="11" t="n"/>
      <c r="I155" s="8" t="n"/>
      <c r="J155" s="2" t="n"/>
      <c r="K155" s="8" t="n"/>
      <c r="L155" s="2" t="n"/>
      <c r="M155" s="2" t="n"/>
    </row>
    <row r="156">
      <c r="A156" s="2" t="n"/>
      <c r="B156" s="2" t="n"/>
      <c r="C156" s="2" t="n"/>
      <c r="D156" s="2" t="n"/>
      <c r="E156" s="10" t="n"/>
      <c r="F156" s="2" t="n"/>
      <c r="G156" s="11" t="n"/>
      <c r="H156" s="11" t="n"/>
      <c r="I156" s="8" t="n"/>
      <c r="J156" s="2" t="n"/>
      <c r="K156" s="8" t="n"/>
      <c r="L156" s="2" t="n"/>
      <c r="M156" s="2" t="n"/>
    </row>
    <row r="157">
      <c r="A157" s="2" t="n"/>
      <c r="B157" s="2" t="n"/>
      <c r="C157" s="2" t="n"/>
      <c r="D157" s="2" t="n"/>
      <c r="E157" s="10" t="n"/>
      <c r="F157" s="2" t="n"/>
      <c r="G157" s="11" t="n"/>
      <c r="H157" s="11" t="n"/>
      <c r="I157" s="8" t="n"/>
      <c r="J157" s="2" t="n"/>
      <c r="K157" s="8" t="n"/>
      <c r="L157" s="2" t="n"/>
      <c r="M157" s="2" t="n"/>
    </row>
    <row r="158">
      <c r="A158" s="2" t="n"/>
      <c r="B158" s="2" t="n"/>
      <c r="C158" s="2" t="n"/>
      <c r="D158" s="2" t="n"/>
      <c r="E158" s="10" t="n"/>
      <c r="F158" s="2" t="n"/>
      <c r="G158" s="11" t="n"/>
      <c r="H158" s="11" t="n"/>
      <c r="I158" s="8" t="n"/>
      <c r="J158" s="2" t="n"/>
      <c r="K158" s="8" t="n"/>
      <c r="L158" s="2" t="n"/>
      <c r="M158" s="2" t="n"/>
    </row>
    <row r="159">
      <c r="A159" s="2" t="n"/>
      <c r="B159" s="2" t="n"/>
      <c r="C159" s="2" t="n"/>
      <c r="D159" s="2" t="n"/>
      <c r="E159" s="10" t="n"/>
      <c r="F159" s="2" t="n"/>
      <c r="G159" s="11" t="n"/>
      <c r="H159" s="11" t="n"/>
      <c r="I159" s="8" t="n"/>
      <c r="J159" s="2" t="n"/>
      <c r="K159" s="8" t="n"/>
      <c r="L159" s="2" t="n"/>
      <c r="M159" s="2" t="n"/>
    </row>
    <row r="160">
      <c r="A160" s="2" t="n"/>
      <c r="B160" s="2" t="n"/>
      <c r="C160" s="2" t="n"/>
      <c r="D160" s="2" t="n"/>
      <c r="E160" s="10" t="n"/>
      <c r="F160" s="2" t="n"/>
      <c r="G160" s="11" t="n"/>
      <c r="H160" s="11" t="n"/>
      <c r="I160" s="8" t="n"/>
      <c r="J160" s="2" t="n"/>
      <c r="K160" s="8" t="n"/>
      <c r="L160" s="2" t="n"/>
      <c r="M160" s="2" t="n"/>
    </row>
    <row r="161">
      <c r="A161" s="2" t="n"/>
      <c r="B161" s="2" t="n"/>
      <c r="C161" s="2" t="n"/>
      <c r="D161" s="2" t="n"/>
      <c r="E161" s="10" t="n"/>
      <c r="F161" s="2" t="n"/>
      <c r="G161" s="11" t="n"/>
      <c r="H161" s="11" t="n"/>
      <c r="I161" s="8" t="n"/>
      <c r="J161" s="2" t="n"/>
      <c r="K161" s="8" t="n"/>
      <c r="L161" s="2" t="n"/>
      <c r="M161" s="2" t="n"/>
    </row>
    <row r="162">
      <c r="A162" s="2" t="n"/>
      <c r="B162" s="2" t="n"/>
      <c r="C162" s="2" t="n"/>
      <c r="D162" s="2" t="n"/>
      <c r="E162" s="10" t="n"/>
      <c r="F162" s="2" t="n"/>
      <c r="G162" s="11" t="n"/>
      <c r="H162" s="11" t="n"/>
      <c r="I162" s="8" t="n"/>
      <c r="J162" s="2" t="n"/>
      <c r="K162" s="8" t="n"/>
      <c r="L162" s="2" t="n"/>
      <c r="M162" s="2" t="n"/>
    </row>
    <row r="163">
      <c r="A163" s="2" t="n"/>
      <c r="B163" s="2" t="n"/>
      <c r="C163" s="2" t="n"/>
      <c r="D163" s="2" t="n"/>
      <c r="E163" s="10" t="n"/>
      <c r="F163" s="2" t="n"/>
      <c r="G163" s="11" t="n"/>
      <c r="H163" s="11" t="n"/>
      <c r="I163" s="8" t="n"/>
      <c r="J163" s="2" t="n"/>
      <c r="K163" s="8" t="n"/>
      <c r="L163" s="2" t="n"/>
      <c r="M163" s="2" t="n"/>
    </row>
    <row r="164">
      <c r="A164" s="2" t="n"/>
      <c r="B164" s="2" t="n"/>
      <c r="C164" s="2" t="n"/>
      <c r="D164" s="2" t="n"/>
      <c r="E164" s="10" t="n"/>
      <c r="F164" s="2" t="n"/>
      <c r="G164" s="11" t="n"/>
      <c r="H164" s="11" t="n"/>
      <c r="I164" s="8" t="n"/>
      <c r="J164" s="2" t="n"/>
      <c r="K164" s="8" t="n"/>
      <c r="L164" s="2" t="n"/>
      <c r="M164" s="2" t="n"/>
    </row>
    <row r="165">
      <c r="A165" s="2" t="n"/>
      <c r="B165" s="2" t="n"/>
      <c r="C165" s="2" t="n"/>
      <c r="D165" s="2" t="n"/>
      <c r="E165" s="10" t="n"/>
      <c r="F165" s="2" t="n"/>
      <c r="G165" s="11" t="n"/>
      <c r="H165" s="11" t="n"/>
      <c r="I165" s="8" t="n"/>
      <c r="J165" s="2" t="n"/>
      <c r="K165" s="8" t="n"/>
      <c r="L165" s="2" t="n"/>
      <c r="M165" s="2" t="n"/>
    </row>
    <row r="166">
      <c r="A166" s="2" t="n"/>
      <c r="B166" s="2" t="n"/>
      <c r="C166" s="2" t="n"/>
      <c r="D166" s="2" t="n"/>
      <c r="E166" s="10" t="n"/>
      <c r="F166" s="2" t="n"/>
      <c r="G166" s="11" t="n"/>
      <c r="H166" s="11" t="n"/>
      <c r="I166" s="8" t="n"/>
      <c r="J166" s="2" t="n"/>
      <c r="K166" s="8" t="n"/>
      <c r="L166" s="2" t="n"/>
      <c r="M166" s="2" t="n"/>
    </row>
    <row r="167">
      <c r="A167" s="2" t="n"/>
      <c r="B167" s="2" t="n"/>
      <c r="C167" s="2" t="n"/>
      <c r="D167" s="2" t="n"/>
      <c r="E167" s="10" t="n"/>
      <c r="F167" s="2" t="n"/>
      <c r="G167" s="11" t="n"/>
      <c r="H167" s="11" t="n"/>
      <c r="I167" s="8" t="n"/>
      <c r="J167" s="2" t="n"/>
      <c r="K167" s="8" t="n"/>
      <c r="L167" s="2" t="n"/>
      <c r="M167" s="2" t="n"/>
    </row>
    <row r="168">
      <c r="A168" s="2" t="n"/>
      <c r="B168" s="2" t="n"/>
      <c r="C168" s="2" t="n"/>
      <c r="D168" s="2" t="n"/>
      <c r="E168" s="10" t="n"/>
      <c r="F168" s="2" t="n"/>
      <c r="G168" s="11" t="n"/>
      <c r="H168" s="11" t="n"/>
      <c r="I168" s="8" t="n"/>
      <c r="J168" s="2" t="n"/>
      <c r="K168" s="8" t="n"/>
      <c r="L168" s="2" t="n"/>
      <c r="M168" s="2" t="n"/>
    </row>
    <row r="169">
      <c r="A169" s="2" t="n"/>
      <c r="B169" s="2" t="n"/>
      <c r="C169" s="2" t="n"/>
      <c r="D169" s="2" t="n"/>
      <c r="E169" s="10" t="n"/>
      <c r="F169" s="2" t="n"/>
      <c r="G169" s="11" t="n"/>
      <c r="H169" s="11" t="n"/>
      <c r="I169" s="8" t="n"/>
      <c r="J169" s="2" t="n"/>
      <c r="K169" s="8" t="n"/>
      <c r="L169" s="2" t="n"/>
      <c r="M169" s="2" t="n"/>
    </row>
    <row r="170">
      <c r="A170" s="2" t="n"/>
      <c r="B170" s="2" t="n"/>
      <c r="C170" s="2" t="n"/>
      <c r="D170" s="2" t="n"/>
      <c r="E170" s="10" t="n"/>
      <c r="F170" s="2" t="n"/>
      <c r="G170" s="11" t="n"/>
      <c r="H170" s="11" t="n"/>
      <c r="I170" s="8" t="n"/>
      <c r="J170" s="2" t="n"/>
      <c r="K170" s="8" t="n"/>
      <c r="L170" s="2" t="n"/>
      <c r="M170" s="2" t="n"/>
    </row>
    <row r="171">
      <c r="A171" s="2" t="n"/>
      <c r="B171" s="2" t="n"/>
      <c r="C171" s="2" t="n"/>
      <c r="D171" s="2" t="n"/>
      <c r="E171" s="10" t="n"/>
      <c r="F171" s="2" t="n"/>
      <c r="G171" s="11" t="n"/>
      <c r="H171" s="11" t="n"/>
      <c r="I171" s="8" t="n"/>
      <c r="J171" s="2" t="n"/>
      <c r="K171" s="8" t="n"/>
      <c r="L171" s="2" t="n"/>
      <c r="M171" s="2" t="n"/>
    </row>
    <row r="172">
      <c r="A172" s="2" t="n"/>
      <c r="B172" s="2" t="n"/>
      <c r="C172" s="2" t="n"/>
      <c r="D172" s="2" t="n"/>
      <c r="E172" s="10" t="n"/>
      <c r="F172" s="2" t="n"/>
      <c r="G172" s="11" t="n"/>
      <c r="H172" s="11" t="n"/>
      <c r="I172" s="8" t="n"/>
      <c r="J172" s="2" t="n"/>
      <c r="K172" s="8" t="n"/>
      <c r="L172" s="2" t="n"/>
      <c r="M172" s="2" t="n"/>
    </row>
    <row r="173">
      <c r="A173" s="2" t="n"/>
      <c r="B173" s="2" t="n"/>
      <c r="C173" s="2" t="n"/>
      <c r="D173" s="2" t="n"/>
      <c r="E173" s="10" t="n"/>
      <c r="F173" s="2" t="n"/>
      <c r="G173" s="11" t="n"/>
      <c r="H173" s="11" t="n"/>
      <c r="I173" s="8" t="n"/>
      <c r="J173" s="2" t="n"/>
      <c r="K173" s="8" t="n"/>
      <c r="L173" s="2" t="n"/>
      <c r="M173" s="2" t="n"/>
    </row>
    <row r="174">
      <c r="A174" s="2" t="n"/>
      <c r="B174" s="2" t="n"/>
      <c r="C174" s="2" t="n"/>
      <c r="D174" s="2" t="n"/>
      <c r="E174" s="10" t="n"/>
      <c r="F174" s="2" t="n"/>
      <c r="G174" s="11" t="n"/>
      <c r="H174" s="11" t="n"/>
      <c r="I174" s="8" t="n"/>
      <c r="J174" s="2" t="n"/>
      <c r="K174" s="8" t="n"/>
      <c r="L174" s="2" t="n"/>
      <c r="M174" s="2" t="n"/>
    </row>
    <row r="175">
      <c r="A175" s="2" t="n"/>
      <c r="B175" s="2" t="n"/>
      <c r="C175" s="2" t="n"/>
      <c r="D175" s="2" t="n"/>
      <c r="E175" s="10" t="n"/>
      <c r="F175" s="2" t="n"/>
      <c r="G175" s="11" t="n"/>
      <c r="H175" s="11" t="n"/>
      <c r="I175" s="8" t="n"/>
      <c r="J175" s="2" t="n"/>
      <c r="K175" s="8" t="n"/>
      <c r="L175" s="2" t="n"/>
      <c r="M175" s="2" t="n"/>
    </row>
    <row r="176">
      <c r="A176" s="2" t="n"/>
      <c r="B176" s="2" t="n"/>
      <c r="C176" s="2" t="n"/>
      <c r="D176" s="2" t="n"/>
      <c r="E176" s="10" t="n"/>
      <c r="F176" s="2" t="n"/>
      <c r="G176" s="11" t="n"/>
      <c r="H176" s="11" t="n"/>
      <c r="I176" s="8" t="n"/>
      <c r="J176" s="2" t="n"/>
      <c r="K176" s="8" t="n"/>
      <c r="L176" s="2" t="n"/>
      <c r="M176" s="2" t="n"/>
    </row>
    <row r="177">
      <c r="A177" s="2" t="n"/>
      <c r="B177" s="2" t="n"/>
      <c r="C177" s="2" t="n"/>
      <c r="D177" s="2" t="n"/>
      <c r="E177" s="10" t="n"/>
      <c r="F177" s="2" t="n"/>
      <c r="G177" s="11" t="n"/>
      <c r="H177" s="11" t="n"/>
      <c r="I177" s="8" t="n"/>
      <c r="J177" s="2" t="n"/>
      <c r="K177" s="8" t="n"/>
      <c r="L177" s="2" t="n"/>
      <c r="M177" s="2" t="n"/>
    </row>
    <row r="178">
      <c r="A178" s="2" t="n"/>
      <c r="B178" s="2" t="n"/>
      <c r="C178" s="2" t="n"/>
      <c r="D178" s="2" t="n"/>
      <c r="E178" s="10" t="n"/>
      <c r="F178" s="2" t="n"/>
      <c r="G178" s="11" t="n"/>
      <c r="H178" s="11" t="n"/>
      <c r="I178" s="8" t="n"/>
      <c r="J178" s="2" t="n"/>
      <c r="K178" s="8" t="n"/>
      <c r="L178" s="2" t="n"/>
      <c r="M178" s="2" t="n"/>
    </row>
    <row r="179">
      <c r="A179" s="2" t="n"/>
      <c r="B179" s="2" t="n"/>
      <c r="C179" s="2" t="n"/>
      <c r="D179" s="2" t="n"/>
      <c r="E179" s="10" t="n"/>
      <c r="F179" s="2" t="n"/>
      <c r="G179" s="11" t="n"/>
      <c r="H179" s="11" t="n"/>
      <c r="I179" s="8" t="n"/>
      <c r="J179" s="2" t="n"/>
      <c r="K179" s="8" t="n"/>
      <c r="L179" s="2" t="n"/>
      <c r="M179" s="2" t="n"/>
    </row>
    <row r="180">
      <c r="A180" s="2" t="n"/>
      <c r="B180" s="2" t="n"/>
      <c r="C180" s="2" t="n"/>
      <c r="D180" s="2" t="n"/>
      <c r="E180" s="10" t="n"/>
      <c r="F180" s="2" t="n"/>
      <c r="G180" s="11" t="n"/>
      <c r="H180" s="11" t="n"/>
      <c r="I180" s="8" t="n"/>
      <c r="J180" s="2" t="n"/>
      <c r="K180" s="8" t="n"/>
      <c r="L180" s="2" t="n"/>
      <c r="M180" s="2" t="n"/>
    </row>
    <row r="181">
      <c r="A181" s="2" t="n"/>
      <c r="B181" s="2" t="n"/>
      <c r="C181" s="2" t="n"/>
      <c r="D181" s="2" t="n"/>
      <c r="E181" s="10" t="n"/>
      <c r="F181" s="2" t="n"/>
      <c r="G181" s="11" t="n"/>
      <c r="H181" s="11" t="n"/>
      <c r="I181" s="8" t="n"/>
      <c r="J181" s="2" t="n"/>
      <c r="K181" s="8" t="n"/>
      <c r="L181" s="2" t="n"/>
      <c r="M181" s="2" t="n"/>
    </row>
    <row r="182">
      <c r="A182" s="2" t="n"/>
      <c r="B182" s="2" t="n"/>
      <c r="C182" s="2" t="n"/>
      <c r="D182" s="2" t="n"/>
      <c r="E182" s="10" t="n"/>
      <c r="F182" s="2" t="n"/>
      <c r="G182" s="11" t="n"/>
      <c r="H182" s="11" t="n"/>
      <c r="I182" s="8" t="n"/>
      <c r="J182" s="2" t="n"/>
      <c r="K182" s="8" t="n"/>
      <c r="L182" s="2" t="n"/>
      <c r="M182" s="2" t="n"/>
    </row>
    <row r="183">
      <c r="A183" s="2" t="n"/>
      <c r="B183" s="2" t="n"/>
      <c r="C183" s="2" t="n"/>
      <c r="D183" s="2" t="n"/>
      <c r="E183" s="10" t="n"/>
      <c r="F183" s="2" t="n"/>
      <c r="G183" s="11" t="n"/>
      <c r="H183" s="11" t="n"/>
      <c r="I183" s="8" t="n"/>
      <c r="J183" s="2" t="n"/>
      <c r="K183" s="8" t="n"/>
      <c r="L183" s="2" t="n"/>
      <c r="M183" s="2" t="n"/>
    </row>
    <row r="184">
      <c r="A184" s="2" t="n"/>
      <c r="B184" s="2" t="n"/>
      <c r="C184" s="2" t="n"/>
      <c r="D184" s="2" t="n"/>
      <c r="E184" s="10" t="n"/>
      <c r="F184" s="2" t="n"/>
      <c r="G184" s="11" t="n"/>
      <c r="H184" s="11" t="n"/>
      <c r="I184" s="8" t="n"/>
      <c r="J184" s="2" t="n"/>
      <c r="K184" s="8" t="n"/>
      <c r="L184" s="2" t="n"/>
      <c r="M184" s="2" t="n"/>
    </row>
    <row r="185">
      <c r="A185" s="2" t="n"/>
      <c r="B185" s="2" t="n"/>
      <c r="C185" s="2" t="n"/>
      <c r="D185" s="2" t="n"/>
      <c r="E185" s="10" t="n"/>
      <c r="F185" s="2" t="n"/>
      <c r="G185" s="11" t="n"/>
      <c r="H185" s="11" t="n"/>
      <c r="I185" s="8" t="n"/>
      <c r="J185" s="2" t="n"/>
      <c r="K185" s="8" t="n"/>
      <c r="L185" s="2" t="n"/>
      <c r="M185" s="2" t="n"/>
    </row>
    <row r="186">
      <c r="A186" s="2" t="n"/>
      <c r="B186" s="2" t="n"/>
      <c r="C186" s="2" t="n"/>
      <c r="D186" s="2" t="n"/>
      <c r="E186" s="10" t="n"/>
      <c r="F186" s="2" t="n"/>
      <c r="G186" s="11" t="n"/>
      <c r="H186" s="11" t="n"/>
      <c r="I186" s="8" t="n"/>
      <c r="J186" s="2" t="n"/>
      <c r="K186" s="8" t="n"/>
      <c r="L186" s="2" t="n"/>
      <c r="M186" s="2" t="n"/>
    </row>
    <row r="187">
      <c r="A187" s="2" t="n"/>
      <c r="B187" s="2" t="n"/>
      <c r="C187" s="2" t="n"/>
      <c r="D187" s="2" t="n"/>
      <c r="E187" s="10" t="n"/>
      <c r="F187" s="2" t="n"/>
      <c r="G187" s="11" t="n"/>
      <c r="H187" s="11" t="n"/>
      <c r="I187" s="8" t="n"/>
      <c r="J187" s="2" t="n"/>
      <c r="K187" s="8" t="n"/>
      <c r="L187" s="2" t="n"/>
      <c r="M187" s="2" t="n"/>
    </row>
    <row r="188">
      <c r="A188" s="2" t="n"/>
      <c r="B188" s="2" t="n"/>
      <c r="C188" s="2" t="n"/>
      <c r="D188" s="2" t="n"/>
      <c r="E188" s="10" t="n"/>
      <c r="F188" s="2" t="n"/>
      <c r="G188" s="11" t="n"/>
      <c r="H188" s="11" t="n"/>
      <c r="I188" s="8" t="n"/>
      <c r="J188" s="2" t="n"/>
      <c r="K188" s="8" t="n"/>
      <c r="L188" s="2" t="n"/>
      <c r="M188" s="2" t="n"/>
    </row>
    <row r="189">
      <c r="A189" s="2" t="n"/>
      <c r="B189" s="2" t="n"/>
      <c r="C189" s="2" t="n"/>
      <c r="D189" s="2" t="n"/>
      <c r="E189" s="10" t="n"/>
      <c r="F189" s="2" t="n"/>
      <c r="G189" s="11" t="n"/>
      <c r="H189" s="11" t="n"/>
      <c r="I189" s="8" t="n"/>
      <c r="J189" s="2" t="n"/>
      <c r="K189" s="8" t="n"/>
      <c r="L189" s="2" t="n"/>
      <c r="M189" s="2" t="n"/>
    </row>
    <row r="190">
      <c r="A190" s="2" t="n"/>
      <c r="B190" s="2" t="n"/>
      <c r="C190" s="2" t="n"/>
      <c r="D190" s="2" t="n"/>
      <c r="E190" s="10" t="n"/>
      <c r="F190" s="2" t="n"/>
      <c r="G190" s="11" t="n"/>
      <c r="H190" s="11" t="n"/>
      <c r="I190" s="8" t="n"/>
      <c r="J190" s="2" t="n"/>
      <c r="K190" s="8" t="n"/>
      <c r="L190" s="2" t="n"/>
      <c r="M190" s="2" t="n"/>
    </row>
    <row r="191">
      <c r="A191" s="2" t="n"/>
      <c r="B191" s="2" t="n"/>
      <c r="C191" s="2" t="n"/>
      <c r="D191" s="2" t="n"/>
      <c r="E191" s="10" t="n"/>
      <c r="F191" s="2" t="n"/>
      <c r="G191" s="11" t="n"/>
      <c r="H191" s="11" t="n"/>
      <c r="I191" s="8" t="n"/>
      <c r="J191" s="2" t="n"/>
      <c r="K191" s="8" t="n"/>
      <c r="L191" s="2" t="n"/>
      <c r="M191" s="2" t="n"/>
    </row>
    <row r="192">
      <c r="A192" s="2" t="n"/>
      <c r="B192" s="2" t="n"/>
      <c r="C192" s="2" t="n"/>
      <c r="D192" s="2" t="n"/>
      <c r="E192" s="10" t="n"/>
      <c r="F192" s="2" t="n"/>
      <c r="G192" s="11" t="n"/>
      <c r="H192" s="11" t="n"/>
      <c r="I192" s="8" t="n"/>
      <c r="J192" s="2" t="n"/>
      <c r="K192" s="8" t="n"/>
      <c r="L192" s="2" t="n"/>
      <c r="M192" s="2" t="n"/>
    </row>
    <row r="193">
      <c r="A193" s="2" t="n"/>
      <c r="B193" s="2" t="n"/>
      <c r="C193" s="2" t="n"/>
      <c r="D193" s="2" t="n"/>
      <c r="E193" s="10" t="n"/>
      <c r="F193" s="2" t="n"/>
      <c r="G193" s="11" t="n"/>
      <c r="H193" s="11" t="n"/>
      <c r="I193" s="8" t="n"/>
      <c r="J193" s="2" t="n"/>
      <c r="K193" s="8" t="n"/>
      <c r="L193" s="2" t="n"/>
      <c r="M193" s="2" t="n"/>
    </row>
    <row r="194">
      <c r="A194" s="2" t="n"/>
      <c r="B194" s="2" t="n"/>
      <c r="C194" s="2" t="n"/>
      <c r="D194" s="2" t="n"/>
      <c r="E194" s="10" t="n"/>
      <c r="F194" s="2" t="n"/>
      <c r="G194" s="11" t="n"/>
      <c r="H194" s="11" t="n"/>
      <c r="I194" s="8" t="n"/>
      <c r="J194" s="2" t="n"/>
      <c r="K194" s="8" t="n"/>
      <c r="L194" s="2" t="n"/>
      <c r="M194" s="2" t="n"/>
    </row>
    <row r="195">
      <c r="A195" s="2" t="n"/>
      <c r="B195" s="2" t="n"/>
      <c r="C195" s="2" t="n"/>
      <c r="D195" s="2" t="n"/>
      <c r="E195" s="10" t="n"/>
      <c r="F195" s="2" t="n"/>
      <c r="G195" s="11" t="n"/>
      <c r="H195" s="11" t="n"/>
      <c r="I195" s="8" t="n"/>
      <c r="J195" s="2" t="n"/>
      <c r="K195" s="8" t="n"/>
      <c r="L195" s="2" t="n"/>
      <c r="M195" s="2" t="n"/>
    </row>
    <row r="196">
      <c r="A196" s="2" t="n"/>
      <c r="B196" s="2" t="n"/>
      <c r="C196" s="2" t="n"/>
      <c r="D196" s="2" t="n"/>
      <c r="E196" s="10" t="n"/>
      <c r="F196" s="2" t="n"/>
      <c r="G196" s="11" t="n"/>
      <c r="H196" s="11" t="n"/>
      <c r="I196" s="8" t="n"/>
      <c r="J196" s="2" t="n"/>
      <c r="K196" s="8" t="n"/>
      <c r="L196" s="2" t="n"/>
      <c r="M196" s="2" t="n"/>
    </row>
    <row r="197">
      <c r="A197" s="2" t="n"/>
      <c r="B197" s="2" t="n"/>
      <c r="C197" s="2" t="n"/>
      <c r="D197" s="2" t="n"/>
      <c r="E197" s="10" t="n"/>
      <c r="F197" s="2" t="n"/>
      <c r="G197" s="11" t="n"/>
      <c r="H197" s="11" t="n"/>
      <c r="I197" s="8" t="n"/>
      <c r="J197" s="2" t="n"/>
      <c r="K197" s="8" t="n"/>
      <c r="L197" s="2" t="n"/>
      <c r="M197" s="2" t="n"/>
    </row>
    <row r="198">
      <c r="A198" s="2" t="n"/>
      <c r="B198" s="2" t="n"/>
      <c r="C198" s="2" t="n"/>
      <c r="D198" s="2" t="n"/>
      <c r="E198" s="10" t="n"/>
      <c r="F198" s="2" t="n"/>
      <c r="G198" s="11" t="n"/>
      <c r="H198" s="11" t="n"/>
      <c r="I198" s="8" t="n"/>
      <c r="J198" s="2" t="n"/>
      <c r="K198" s="8" t="n"/>
      <c r="L198" s="2" t="n"/>
      <c r="M198" s="2" t="n"/>
    </row>
    <row r="199">
      <c r="A199" s="2" t="n"/>
      <c r="B199" s="2" t="n"/>
      <c r="C199" s="2" t="n"/>
      <c r="D199" s="2" t="n"/>
      <c r="E199" s="10" t="n"/>
      <c r="F199" s="2" t="n"/>
      <c r="G199" s="11" t="n"/>
      <c r="H199" s="11" t="n"/>
      <c r="I199" s="8" t="n"/>
      <c r="J199" s="2" t="n"/>
      <c r="K199" s="8" t="n"/>
      <c r="L199" s="2" t="n"/>
      <c r="M199" s="2" t="n"/>
    </row>
    <row r="200">
      <c r="A200" s="2" t="n"/>
      <c r="B200" s="2" t="n"/>
      <c r="C200" s="2" t="n"/>
      <c r="D200" s="2" t="n"/>
      <c r="E200" s="10" t="n"/>
      <c r="F200" s="2" t="n"/>
      <c r="G200" s="11" t="n"/>
      <c r="H200" s="11" t="n"/>
      <c r="I200" s="8" t="n"/>
      <c r="J200" s="2" t="n"/>
      <c r="K200" s="8" t="n"/>
      <c r="L200" s="2" t="n"/>
      <c r="M200" s="2" t="n"/>
    </row>
    <row r="201">
      <c r="A201" s="2" t="n"/>
      <c r="B201" s="2" t="n"/>
      <c r="C201" s="2" t="n"/>
      <c r="D201" s="2" t="n"/>
      <c r="E201" s="10" t="n"/>
      <c r="F201" s="2" t="n"/>
      <c r="G201" s="11" t="n"/>
      <c r="H201" s="11" t="n"/>
      <c r="I201" s="8" t="n"/>
      <c r="J201" s="2" t="n"/>
      <c r="K201" s="8" t="n"/>
      <c r="L201" s="2" t="n"/>
      <c r="M201" s="2" t="n"/>
    </row>
    <row r="202">
      <c r="A202" s="2" t="n"/>
      <c r="B202" s="2" t="n"/>
      <c r="C202" s="2" t="n"/>
      <c r="D202" s="2" t="n"/>
      <c r="E202" s="10" t="n"/>
      <c r="F202" s="2" t="n"/>
      <c r="G202" s="11" t="n"/>
      <c r="H202" s="11" t="n"/>
      <c r="I202" s="8" t="n"/>
      <c r="J202" s="2" t="n"/>
      <c r="K202" s="8" t="n"/>
      <c r="L202" s="2" t="n"/>
      <c r="M202" s="2" t="n"/>
    </row>
    <row r="203">
      <c r="A203" s="2" t="n"/>
      <c r="B203" s="2" t="n"/>
      <c r="C203" s="2" t="n"/>
      <c r="D203" s="2" t="n"/>
      <c r="E203" s="10" t="n"/>
      <c r="F203" s="2" t="n"/>
      <c r="G203" s="11" t="n"/>
      <c r="H203" s="11" t="n"/>
      <c r="I203" s="8" t="n"/>
      <c r="J203" s="2" t="n"/>
      <c r="K203" s="8" t="n"/>
      <c r="L203" s="2" t="n"/>
      <c r="M203" s="2" t="n"/>
    </row>
    <row r="204">
      <c r="A204" s="2" t="n"/>
      <c r="B204" s="2" t="n"/>
      <c r="C204" s="2" t="n"/>
      <c r="D204" s="2" t="n"/>
      <c r="E204" s="10" t="n"/>
      <c r="F204" s="2" t="n"/>
      <c r="G204" s="11" t="n"/>
      <c r="H204" s="11" t="n"/>
      <c r="I204" s="8" t="n"/>
      <c r="J204" s="2" t="n"/>
      <c r="K204" s="8" t="n"/>
      <c r="L204" s="2" t="n"/>
      <c r="M204" s="2" t="n"/>
    </row>
    <row r="205">
      <c r="A205" s="2" t="n"/>
      <c r="B205" s="2" t="n"/>
      <c r="C205" s="2" t="n"/>
      <c r="D205" s="2" t="n"/>
      <c r="E205" s="10" t="n"/>
      <c r="F205" s="2" t="n"/>
      <c r="G205" s="11" t="n"/>
      <c r="H205" s="11" t="n"/>
      <c r="I205" s="8" t="n"/>
      <c r="J205" s="2" t="n"/>
      <c r="K205" s="8" t="n"/>
      <c r="L205" s="2" t="n"/>
      <c r="M205" s="2" t="n"/>
    </row>
    <row r="206">
      <c r="A206" s="2" t="n"/>
      <c r="B206" s="2" t="n"/>
      <c r="C206" s="2" t="n"/>
      <c r="D206" s="2" t="n"/>
      <c r="E206" s="10" t="n"/>
      <c r="F206" s="2" t="n"/>
      <c r="G206" s="11" t="n"/>
      <c r="H206" s="11" t="n"/>
      <c r="I206" s="8" t="n"/>
      <c r="J206" s="2" t="n"/>
      <c r="K206" s="8" t="n"/>
      <c r="L206" s="2" t="n"/>
      <c r="M206" s="2" t="n"/>
    </row>
    <row r="207">
      <c r="A207" s="2" t="n"/>
      <c r="B207" s="2" t="n"/>
      <c r="C207" s="2" t="n"/>
      <c r="D207" s="2" t="n"/>
      <c r="E207" s="10" t="n"/>
      <c r="F207" s="2" t="n"/>
      <c r="G207" s="11" t="n"/>
      <c r="H207" s="11" t="n"/>
      <c r="I207" s="8" t="n"/>
      <c r="J207" s="2" t="n"/>
      <c r="K207" s="8" t="n"/>
      <c r="L207" s="2" t="n"/>
      <c r="M207" s="2" t="n"/>
    </row>
    <row r="208">
      <c r="A208" s="2" t="n"/>
      <c r="B208" s="2" t="n"/>
      <c r="C208" s="2" t="n"/>
      <c r="D208" s="2" t="n"/>
      <c r="E208" s="10" t="n"/>
      <c r="F208" s="2" t="n"/>
      <c r="G208" s="11" t="n"/>
      <c r="H208" s="11" t="n"/>
      <c r="I208" s="8" t="n"/>
      <c r="J208" s="2" t="n"/>
      <c r="K208" s="8" t="n"/>
      <c r="L208" s="2" t="n"/>
      <c r="M208" s="2" t="n"/>
    </row>
    <row r="209">
      <c r="A209" s="2" t="n"/>
      <c r="B209" s="2" t="n"/>
      <c r="C209" s="2" t="n"/>
      <c r="D209" s="2" t="n"/>
      <c r="E209" s="10" t="n"/>
      <c r="F209" s="2" t="n"/>
      <c r="G209" s="11" t="n"/>
      <c r="H209" s="11" t="n"/>
      <c r="I209" s="8" t="n"/>
      <c r="J209" s="2" t="n"/>
      <c r="K209" s="8" t="n"/>
      <c r="L209" s="2" t="n"/>
      <c r="M209" s="2" t="n"/>
    </row>
    <row r="210">
      <c r="A210" s="2" t="n"/>
      <c r="B210" s="2" t="n"/>
      <c r="C210" s="2" t="n"/>
      <c r="D210" s="2" t="n"/>
      <c r="E210" s="10" t="n"/>
      <c r="F210" s="2" t="n"/>
      <c r="G210" s="11" t="n"/>
      <c r="H210" s="11" t="n"/>
      <c r="I210" s="8" t="n"/>
      <c r="J210" s="2" t="n"/>
      <c r="K210" s="8" t="n"/>
      <c r="L210" s="2" t="n"/>
      <c r="M210" s="2" t="n"/>
    </row>
    <row r="211">
      <c r="A211" s="2" t="n"/>
      <c r="B211" s="2" t="n"/>
      <c r="C211" s="2" t="n"/>
      <c r="D211" s="2" t="n"/>
      <c r="E211" s="10" t="n"/>
      <c r="F211" s="2" t="n"/>
      <c r="G211" s="11" t="n"/>
      <c r="H211" s="11" t="n"/>
      <c r="I211" s="8" t="n"/>
      <c r="J211" s="2" t="n"/>
      <c r="K211" s="8" t="n"/>
      <c r="L211" s="2" t="n"/>
      <c r="M211" s="2" t="n"/>
    </row>
    <row r="212">
      <c r="A212" s="2" t="n"/>
      <c r="B212" s="2" t="n"/>
      <c r="C212" s="2" t="n"/>
      <c r="D212" s="2" t="n"/>
      <c r="E212" s="10" t="n"/>
      <c r="F212" s="2" t="n"/>
      <c r="G212" s="11" t="n"/>
      <c r="H212" s="11" t="n"/>
      <c r="I212" s="8" t="n"/>
      <c r="J212" s="2" t="n"/>
      <c r="K212" s="8" t="n"/>
      <c r="L212" s="2" t="n"/>
      <c r="M212" s="2" t="n"/>
    </row>
    <row r="213">
      <c r="A213" s="2" t="n"/>
      <c r="B213" s="2" t="n"/>
      <c r="C213" s="2" t="n"/>
      <c r="D213" s="2" t="n"/>
      <c r="E213" s="10" t="n"/>
      <c r="F213" s="2" t="n"/>
      <c r="G213" s="11" t="n"/>
      <c r="H213" s="11" t="n"/>
      <c r="I213" s="8" t="n"/>
      <c r="J213" s="2" t="n"/>
      <c r="K213" s="8" t="n"/>
      <c r="L213" s="2" t="n"/>
      <c r="M213" s="2" t="n"/>
    </row>
    <row r="214">
      <c r="A214" s="2" t="n"/>
      <c r="B214" s="2" t="n"/>
      <c r="C214" s="2" t="n"/>
      <c r="D214" s="2" t="n"/>
      <c r="E214" s="10" t="n"/>
      <c r="F214" s="2" t="n"/>
      <c r="G214" s="11" t="n"/>
      <c r="H214" s="11" t="n"/>
      <c r="I214" s="8" t="n"/>
      <c r="J214" s="2" t="n"/>
      <c r="K214" s="8" t="n"/>
      <c r="L214" s="2" t="n"/>
      <c r="M214" s="2" t="n"/>
    </row>
    <row r="215">
      <c r="A215" s="2" t="n"/>
      <c r="B215" s="2" t="n"/>
      <c r="C215" s="2" t="n"/>
      <c r="D215" s="2" t="n"/>
      <c r="E215" s="10" t="n"/>
      <c r="F215" s="2" t="n"/>
      <c r="G215" s="11" t="n"/>
      <c r="H215" s="11" t="n"/>
      <c r="I215" s="8" t="n"/>
      <c r="J215" s="2" t="n"/>
      <c r="K215" s="8" t="n"/>
      <c r="L215" s="2" t="n"/>
      <c r="M215" s="2" t="n"/>
    </row>
    <row r="216">
      <c r="A216" s="2" t="n"/>
      <c r="B216" s="2" t="n"/>
      <c r="C216" s="2" t="n"/>
      <c r="D216" s="2" t="n"/>
      <c r="E216" s="10" t="n"/>
      <c r="F216" s="2" t="n"/>
      <c r="G216" s="11" t="n"/>
      <c r="H216" s="11" t="n"/>
      <c r="I216" s="8" t="n"/>
      <c r="J216" s="2" t="n"/>
      <c r="K216" s="8" t="n"/>
      <c r="L216" s="2" t="n"/>
      <c r="M216" s="2" t="n"/>
    </row>
    <row r="217">
      <c r="A217" s="2" t="n"/>
      <c r="B217" s="2" t="n"/>
      <c r="C217" s="2" t="n"/>
      <c r="D217" s="2" t="n"/>
      <c r="E217" s="10" t="n"/>
      <c r="F217" s="2" t="n"/>
      <c r="G217" s="11" t="n"/>
      <c r="H217" s="11" t="n"/>
      <c r="I217" s="8" t="n"/>
      <c r="J217" s="2" t="n"/>
      <c r="K217" s="8" t="n"/>
      <c r="L217" s="2" t="n"/>
      <c r="M217" s="2" t="n"/>
    </row>
    <row r="218">
      <c r="A218" s="2" t="n"/>
      <c r="B218" s="2" t="n"/>
      <c r="C218" s="2" t="n"/>
      <c r="D218" s="2" t="n"/>
      <c r="E218" s="10" t="n"/>
      <c r="F218" s="2" t="n"/>
      <c r="G218" s="11" t="n"/>
      <c r="H218" s="11" t="n"/>
      <c r="I218" s="8" t="n"/>
      <c r="J218" s="2" t="n"/>
      <c r="K218" s="8" t="n"/>
      <c r="L218" s="2" t="n"/>
      <c r="M218" s="2" t="n"/>
    </row>
    <row r="219">
      <c r="A219" s="2" t="n"/>
      <c r="B219" s="2" t="n"/>
      <c r="C219" s="2" t="n"/>
      <c r="D219" s="2" t="n"/>
      <c r="E219" s="10" t="n"/>
      <c r="F219" s="2" t="n"/>
      <c r="G219" s="11" t="n"/>
      <c r="H219" s="11" t="n"/>
      <c r="I219" s="8" t="n"/>
      <c r="J219" s="2" t="n"/>
      <c r="K219" s="8" t="n"/>
      <c r="L219" s="2" t="n"/>
      <c r="M219" s="2" t="n"/>
    </row>
    <row r="220">
      <c r="A220" s="2" t="n"/>
      <c r="B220" s="2" t="n"/>
      <c r="C220" s="2" t="n"/>
      <c r="D220" s="2" t="n"/>
      <c r="E220" s="10" t="n"/>
      <c r="F220" s="2" t="n"/>
      <c r="G220" s="11" t="n"/>
      <c r="H220" s="11" t="n"/>
      <c r="I220" s="8" t="n"/>
      <c r="J220" s="2" t="n"/>
      <c r="K220" s="8" t="n"/>
      <c r="L220" s="2" t="n"/>
      <c r="M220" s="2" t="n"/>
    </row>
    <row r="221">
      <c r="A221" s="2" t="n"/>
      <c r="B221" s="2" t="n"/>
      <c r="C221" s="2" t="n"/>
      <c r="D221" s="2" t="n"/>
      <c r="E221" s="10" t="n"/>
      <c r="F221" s="2" t="n"/>
      <c r="G221" s="11" t="n"/>
      <c r="H221" s="11" t="n"/>
      <c r="I221" s="8" t="n"/>
      <c r="J221" s="2" t="n"/>
      <c r="K221" s="8" t="n"/>
      <c r="L221" s="2" t="n"/>
      <c r="M221" s="2" t="n"/>
    </row>
    <row r="222">
      <c r="A222" s="2" t="n"/>
      <c r="B222" s="2" t="n"/>
      <c r="C222" s="2" t="n"/>
      <c r="D222" s="2" t="n"/>
      <c r="E222" s="10" t="n"/>
      <c r="F222" s="2" t="n"/>
      <c r="G222" s="11" t="n"/>
      <c r="H222" s="11" t="n"/>
      <c r="I222" s="8" t="n"/>
      <c r="J222" s="2" t="n"/>
      <c r="K222" s="8" t="n"/>
      <c r="L222" s="2" t="n"/>
      <c r="M222" s="2" t="n"/>
    </row>
    <row r="223">
      <c r="A223" s="2" t="n"/>
      <c r="B223" s="2" t="n"/>
      <c r="C223" s="2" t="n"/>
      <c r="D223" s="2" t="n"/>
      <c r="E223" s="10" t="n"/>
      <c r="F223" s="2" t="n"/>
      <c r="G223" s="11" t="n"/>
      <c r="H223" s="11" t="n"/>
      <c r="I223" s="8" t="n"/>
      <c r="J223" s="2" t="n"/>
      <c r="K223" s="8" t="n"/>
      <c r="L223" s="2" t="n"/>
      <c r="M223" s="2" t="n"/>
    </row>
    <row r="224">
      <c r="A224" s="2" t="n"/>
      <c r="B224" s="2" t="n"/>
      <c r="C224" s="2" t="n"/>
      <c r="D224" s="2" t="n"/>
      <c r="E224" s="10" t="n"/>
      <c r="F224" s="2" t="n"/>
      <c r="G224" s="11" t="n"/>
      <c r="H224" s="11" t="n"/>
      <c r="I224" s="8" t="n"/>
      <c r="J224" s="2" t="n"/>
      <c r="K224" s="8" t="n"/>
      <c r="L224" s="2" t="n"/>
      <c r="M224" s="2" t="n"/>
    </row>
    <row r="225">
      <c r="A225" s="2" t="n"/>
      <c r="B225" s="2" t="n"/>
      <c r="C225" s="2" t="n"/>
      <c r="D225" s="2" t="n"/>
      <c r="E225" s="10" t="n"/>
      <c r="F225" s="2" t="n"/>
      <c r="G225" s="11" t="n"/>
      <c r="H225" s="11" t="n"/>
      <c r="I225" s="8" t="n"/>
      <c r="J225" s="2" t="n"/>
      <c r="K225" s="8" t="n"/>
      <c r="L225" s="2" t="n"/>
      <c r="M225" s="2" t="n"/>
    </row>
    <row r="226">
      <c r="A226" s="2" t="n"/>
      <c r="B226" s="2" t="n"/>
      <c r="C226" s="2" t="n"/>
      <c r="D226" s="2" t="n"/>
      <c r="E226" s="10" t="n"/>
      <c r="F226" s="2" t="n"/>
      <c r="G226" s="11" t="n"/>
      <c r="H226" s="11" t="n"/>
      <c r="I226" s="8" t="n"/>
      <c r="J226" s="2" t="n"/>
      <c r="K226" s="8" t="n"/>
      <c r="L226" s="2" t="n"/>
      <c r="M226" s="2" t="n"/>
    </row>
    <row r="227">
      <c r="A227" s="2" t="n"/>
      <c r="B227" s="2" t="n"/>
      <c r="C227" s="2" t="n"/>
      <c r="D227" s="2" t="n"/>
      <c r="E227" s="10" t="n"/>
      <c r="F227" s="2" t="n"/>
      <c r="G227" s="11" t="n"/>
      <c r="H227" s="11" t="n"/>
      <c r="I227" s="8" t="n"/>
      <c r="J227" s="2" t="n"/>
      <c r="K227" s="8" t="n"/>
      <c r="L227" s="2" t="n"/>
      <c r="M227" s="2" t="n"/>
    </row>
    <row r="228">
      <c r="A228" s="2" t="n"/>
      <c r="B228" s="2" t="n"/>
      <c r="C228" s="2" t="n"/>
      <c r="D228" s="2" t="n"/>
      <c r="E228" s="10" t="n"/>
      <c r="F228" s="2" t="n"/>
      <c r="G228" s="11" t="n"/>
      <c r="H228" s="11" t="n"/>
      <c r="I228" s="8" t="n"/>
      <c r="J228" s="2" t="n"/>
      <c r="K228" s="8" t="n"/>
      <c r="L228" s="2" t="n"/>
      <c r="M228" s="2" t="n"/>
    </row>
    <row r="229">
      <c r="A229" s="2" t="n"/>
      <c r="B229" s="2" t="n"/>
      <c r="C229" s="2" t="n"/>
      <c r="D229" s="2" t="n"/>
      <c r="E229" s="10" t="n"/>
      <c r="F229" s="2" t="n"/>
      <c r="G229" s="11" t="n"/>
      <c r="H229" s="11" t="n"/>
      <c r="I229" s="8" t="n"/>
      <c r="J229" s="2" t="n"/>
      <c r="K229" s="8" t="n"/>
      <c r="L229" s="2" t="n"/>
      <c r="M229" s="2" t="n"/>
    </row>
    <row r="230">
      <c r="A230" s="2" t="n"/>
      <c r="B230" s="2" t="n"/>
      <c r="C230" s="2" t="n"/>
      <c r="D230" s="2" t="n"/>
      <c r="E230" s="10" t="n"/>
      <c r="F230" s="2" t="n"/>
      <c r="G230" s="11" t="n"/>
      <c r="H230" s="11" t="n"/>
      <c r="I230" s="8" t="n"/>
      <c r="J230" s="2" t="n"/>
      <c r="K230" s="8" t="n"/>
      <c r="L230" s="2" t="n"/>
      <c r="M230" s="2" t="n"/>
    </row>
    <row r="231">
      <c r="A231" s="2" t="n"/>
      <c r="B231" s="2" t="n"/>
      <c r="C231" s="2" t="n"/>
      <c r="D231" s="2" t="n"/>
      <c r="E231" s="10" t="n"/>
      <c r="F231" s="2" t="n"/>
      <c r="G231" s="11" t="n"/>
      <c r="H231" s="11" t="n"/>
      <c r="I231" s="8" t="n"/>
      <c r="J231" s="2" t="n"/>
      <c r="K231" s="8" t="n"/>
      <c r="L231" s="2" t="n"/>
      <c r="M231" s="2" t="n"/>
    </row>
    <row r="232">
      <c r="A232" s="2" t="n"/>
      <c r="B232" s="2" t="n"/>
      <c r="C232" s="2" t="n"/>
      <c r="D232" s="2" t="n"/>
      <c r="E232" s="10" t="n"/>
      <c r="F232" s="2" t="n"/>
      <c r="G232" s="11" t="n"/>
      <c r="H232" s="11" t="n"/>
      <c r="I232" s="8" t="n"/>
      <c r="J232" s="2" t="n"/>
      <c r="K232" s="8" t="n"/>
      <c r="L232" s="2" t="n"/>
      <c r="M232" s="2" t="n"/>
    </row>
    <row r="233">
      <c r="A233" s="2" t="n"/>
      <c r="B233" s="2" t="n"/>
      <c r="C233" s="2" t="n"/>
      <c r="D233" s="2" t="n"/>
      <c r="E233" s="10" t="n"/>
      <c r="F233" s="2" t="n"/>
      <c r="G233" s="11" t="n"/>
      <c r="H233" s="11" t="n"/>
      <c r="I233" s="8" t="n"/>
      <c r="J233" s="2" t="n"/>
      <c r="K233" s="8" t="n"/>
      <c r="L233" s="2" t="n"/>
      <c r="M233" s="2" t="n"/>
    </row>
    <row r="234">
      <c r="A234" s="2" t="n"/>
      <c r="B234" s="2" t="n"/>
      <c r="C234" s="2" t="n"/>
      <c r="D234" s="2" t="n"/>
      <c r="E234" s="10" t="n"/>
      <c r="F234" s="2" t="n"/>
      <c r="G234" s="11" t="n"/>
      <c r="H234" s="11" t="n"/>
      <c r="I234" s="8" t="n"/>
      <c r="J234" s="2" t="n"/>
      <c r="K234" s="8" t="n"/>
      <c r="L234" s="2" t="n"/>
      <c r="M234" s="2" t="n"/>
    </row>
    <row r="235">
      <c r="A235" s="2" t="n"/>
      <c r="B235" s="2" t="n"/>
      <c r="C235" s="2" t="n"/>
      <c r="D235" s="2" t="n"/>
      <c r="E235" s="10" t="n"/>
      <c r="F235" s="2" t="n"/>
      <c r="G235" s="11" t="n"/>
      <c r="H235" s="11" t="n"/>
      <c r="I235" s="8" t="n"/>
      <c r="J235" s="2" t="n"/>
      <c r="K235" s="8" t="n"/>
      <c r="L235" s="2" t="n"/>
      <c r="M235" s="2" t="n"/>
    </row>
    <row r="236">
      <c r="A236" s="2" t="n"/>
      <c r="B236" s="2" t="n"/>
      <c r="C236" s="2" t="n"/>
      <c r="D236" s="2" t="n"/>
      <c r="E236" s="10" t="n"/>
      <c r="F236" s="2" t="n"/>
      <c r="G236" s="11" t="n"/>
      <c r="H236" s="11" t="n"/>
      <c r="I236" s="8" t="n"/>
      <c r="J236" s="2" t="n"/>
      <c r="K236" s="8" t="n"/>
      <c r="L236" s="2" t="n"/>
      <c r="M236" s="2" t="n"/>
    </row>
    <row r="237">
      <c r="A237" s="2" t="n"/>
      <c r="B237" s="2" t="n"/>
      <c r="C237" s="2" t="n"/>
      <c r="D237" s="2" t="n"/>
      <c r="E237" s="10" t="n"/>
      <c r="F237" s="2" t="n"/>
      <c r="G237" s="11" t="n"/>
      <c r="H237" s="11" t="n"/>
      <c r="I237" s="8" t="n"/>
      <c r="J237" s="2" t="n"/>
      <c r="K237" s="8" t="n"/>
      <c r="L237" s="2" t="n"/>
      <c r="M237" s="2" t="n"/>
    </row>
    <row r="238">
      <c r="A238" s="2" t="n"/>
      <c r="B238" s="2" t="n"/>
      <c r="C238" s="2" t="n"/>
      <c r="D238" s="2" t="n"/>
      <c r="E238" s="10" t="n"/>
      <c r="F238" s="2" t="n"/>
      <c r="G238" s="11" t="n"/>
      <c r="H238" s="11" t="n"/>
      <c r="I238" s="8" t="n"/>
      <c r="J238" s="2" t="n"/>
      <c r="K238" s="8" t="n"/>
      <c r="L238" s="2" t="n"/>
      <c r="M238" s="2" t="n"/>
    </row>
    <row r="239">
      <c r="A239" s="2" t="n"/>
      <c r="B239" s="2" t="n"/>
      <c r="C239" s="2" t="n"/>
      <c r="D239" s="2" t="n"/>
      <c r="E239" s="10" t="n"/>
      <c r="F239" s="2" t="n"/>
      <c r="G239" s="11" t="n"/>
      <c r="H239" s="11" t="n"/>
      <c r="I239" s="8" t="n"/>
      <c r="J239" s="2" t="n"/>
      <c r="K239" s="8" t="n"/>
      <c r="L239" s="2" t="n"/>
      <c r="M239" s="2" t="n"/>
    </row>
    <row r="240">
      <c r="A240" s="2" t="n"/>
      <c r="B240" s="2" t="n"/>
      <c r="C240" s="2" t="n"/>
      <c r="D240" s="2" t="n"/>
      <c r="E240" s="10" t="n"/>
      <c r="F240" s="2" t="n"/>
      <c r="G240" s="11" t="n"/>
      <c r="H240" s="11" t="n"/>
      <c r="I240" s="8" t="n"/>
      <c r="J240" s="2" t="n"/>
      <c r="K240" s="8" t="n"/>
      <c r="L240" s="2" t="n"/>
      <c r="M240" s="2" t="n"/>
    </row>
    <row r="241">
      <c r="A241" s="2" t="n"/>
      <c r="B241" s="2" t="n"/>
      <c r="C241" s="2" t="n"/>
      <c r="D241" s="2" t="n"/>
      <c r="E241" s="10" t="n"/>
      <c r="F241" s="2" t="n"/>
      <c r="G241" s="11" t="n"/>
      <c r="H241" s="11" t="n"/>
      <c r="I241" s="8" t="n"/>
      <c r="J241" s="2" t="n"/>
      <c r="K241" s="8" t="n"/>
      <c r="L241" s="2" t="n"/>
      <c r="M241" s="2" t="n"/>
    </row>
    <row r="242">
      <c r="A242" s="2" t="n"/>
      <c r="B242" s="2" t="n"/>
      <c r="C242" s="2" t="n"/>
      <c r="D242" s="2" t="n"/>
      <c r="E242" s="10" t="n"/>
      <c r="F242" s="2" t="n"/>
      <c r="G242" s="11" t="n"/>
      <c r="H242" s="11" t="n"/>
      <c r="I242" s="8" t="n"/>
      <c r="J242" s="2" t="n"/>
      <c r="K242" s="8" t="n"/>
      <c r="L242" s="2" t="n"/>
      <c r="M242" s="2" t="n"/>
    </row>
    <row r="243">
      <c r="A243" s="2" t="n"/>
      <c r="B243" s="2" t="n"/>
      <c r="C243" s="2" t="n"/>
      <c r="D243" s="2" t="n"/>
      <c r="E243" s="10" t="n"/>
      <c r="F243" s="2" t="n"/>
      <c r="G243" s="11" t="n"/>
      <c r="H243" s="11" t="n"/>
      <c r="I243" s="8" t="n"/>
      <c r="J243" s="2" t="n"/>
      <c r="K243" s="8" t="n"/>
      <c r="L243" s="2" t="n"/>
      <c r="M243" s="2" t="n"/>
    </row>
    <row r="244">
      <c r="A244" s="2" t="n"/>
      <c r="B244" s="2" t="n"/>
      <c r="C244" s="2" t="n"/>
      <c r="D244" s="2" t="n"/>
      <c r="E244" s="10" t="n"/>
      <c r="F244" s="2" t="n"/>
      <c r="G244" s="11" t="n"/>
      <c r="H244" s="11" t="n"/>
      <c r="I244" s="8" t="n"/>
      <c r="J244" s="2" t="n"/>
      <c r="K244" s="8" t="n"/>
      <c r="L244" s="2" t="n"/>
      <c r="M244" s="2" t="n"/>
    </row>
    <row r="245">
      <c r="A245" s="2" t="n"/>
      <c r="B245" s="2" t="n"/>
      <c r="C245" s="2" t="n"/>
      <c r="D245" s="2" t="n"/>
      <c r="E245" s="10" t="n"/>
      <c r="F245" s="2" t="n"/>
      <c r="G245" s="11" t="n"/>
      <c r="H245" s="11" t="n"/>
      <c r="I245" s="8" t="n"/>
      <c r="J245" s="2" t="n"/>
      <c r="K245" s="8" t="n"/>
      <c r="L245" s="2" t="n"/>
      <c r="M245" s="2" t="n"/>
    </row>
    <row r="246">
      <c r="A246" s="2" t="n"/>
      <c r="B246" s="2" t="n"/>
      <c r="C246" s="2" t="n"/>
      <c r="D246" s="2" t="n"/>
      <c r="E246" s="10" t="n"/>
      <c r="F246" s="2" t="n"/>
      <c r="G246" s="11" t="n"/>
      <c r="H246" s="11" t="n"/>
      <c r="I246" s="8" t="n"/>
      <c r="J246" s="2" t="n"/>
      <c r="K246" s="8" t="n"/>
      <c r="L246" s="2" t="n"/>
      <c r="M246" s="2" t="n"/>
    </row>
    <row r="247">
      <c r="A247" s="2" t="n"/>
      <c r="B247" s="2" t="n"/>
      <c r="C247" s="2" t="n"/>
      <c r="D247" s="2" t="n"/>
      <c r="E247" s="10" t="n"/>
      <c r="F247" s="2" t="n"/>
      <c r="G247" s="11" t="n"/>
      <c r="H247" s="11" t="n"/>
      <c r="I247" s="8" t="n"/>
      <c r="J247" s="2" t="n"/>
      <c r="K247" s="8" t="n"/>
      <c r="L247" s="2" t="n"/>
      <c r="M247" s="2" t="n"/>
    </row>
    <row r="248">
      <c r="A248" s="2" t="n"/>
      <c r="B248" s="2" t="n"/>
      <c r="C248" s="2" t="n"/>
      <c r="D248" s="2" t="n"/>
      <c r="E248" s="10" t="n"/>
      <c r="F248" s="2" t="n"/>
      <c r="G248" s="11" t="n"/>
      <c r="H248" s="11" t="n"/>
      <c r="I248" s="8" t="n"/>
      <c r="J248" s="2" t="n"/>
      <c r="K248" s="8" t="n"/>
      <c r="L248" s="2" t="n"/>
      <c r="M248" s="2" t="n"/>
    </row>
    <row r="249">
      <c r="A249" s="2" t="n"/>
      <c r="B249" s="2" t="n"/>
      <c r="C249" s="2" t="n"/>
      <c r="D249" s="2" t="n"/>
      <c r="E249" s="10" t="n"/>
      <c r="F249" s="2" t="n"/>
      <c r="G249" s="11" t="n"/>
      <c r="H249" s="11" t="n"/>
      <c r="I249" s="8" t="n"/>
      <c r="J249" s="2" t="n"/>
      <c r="K249" s="8" t="n"/>
      <c r="L249" s="2" t="n"/>
      <c r="M249" s="2" t="n"/>
    </row>
    <row r="250">
      <c r="A250" s="2" t="n"/>
      <c r="B250" s="2" t="n"/>
      <c r="C250" s="2" t="n"/>
      <c r="D250" s="2" t="n"/>
      <c r="E250" s="10" t="n"/>
      <c r="F250" s="2" t="n"/>
      <c r="G250" s="11" t="n"/>
      <c r="H250" s="11" t="n"/>
      <c r="I250" s="8" t="n"/>
      <c r="J250" s="2" t="n"/>
      <c r="K250" s="8" t="n"/>
      <c r="L250" s="2" t="n"/>
      <c r="M250" s="2" t="n"/>
    </row>
  </sheetData>
  <dataValidations count="2">
    <dataValidation sqref="F2:F250" showDropDown="0" showInputMessage="0" showErrorMessage="0" allowBlank="1" type="list">
      <formula1>"CLP,UF,USD"</formula1>
    </dataValidation>
    <dataValidation sqref="M2:M250" showDropDown="0" showInputMessage="0" showErrorMessage="0" allowBlank="1" type="list">
      <formula1>"Persona Natural,EIRL,SpA"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13" customWidth="1" min="4" max="4"/>
    <col width="10" customWidth="1" min="5" max="5"/>
    <col width="16" customWidth="1" min="6" max="6"/>
    <col width="35" customWidth="1" min="7" max="7"/>
    <col width="11" customWidth="1" min="8" max="8"/>
    <col width="15" customWidth="1" min="9" max="9"/>
    <col width="23" customWidth="1" min="10" max="10"/>
    <col width="19" customWidth="1" min="11" max="11"/>
    <col width="11" customWidth="1" min="12" max="12"/>
    <col width="20" customWidth="1" min="13" max="13"/>
    <col width="15" customWidth="1" min="14" max="14"/>
  </cols>
  <sheetData>
    <row r="1">
      <c r="A1" s="4" t="inlineStr">
        <is>
          <t>ID_Item</t>
        </is>
      </c>
      <c r="B1" s="4" t="inlineStr">
        <is>
          <t>Categoria</t>
        </is>
      </c>
      <c r="C1" s="4" t="inlineStr">
        <is>
          <t>Item</t>
        </is>
      </c>
      <c r="D1" s="4" t="inlineStr">
        <is>
          <t>Descripcion</t>
        </is>
      </c>
      <c r="E1" s="4" t="inlineStr">
        <is>
          <t>Cantidad</t>
        </is>
      </c>
      <c r="F1" s="4" t="inlineStr">
        <is>
          <t>Valor_Unitario</t>
        </is>
      </c>
      <c r="G1" s="4" t="inlineStr">
        <is>
          <t>Subtotal</t>
        </is>
      </c>
      <c r="H1" s="4" t="inlineStr">
        <is>
          <t>Prioridad</t>
        </is>
      </c>
      <c r="I1" s="4" t="inlineStr">
        <is>
          <t>Estado_Compra</t>
        </is>
      </c>
      <c r="J1" s="4" t="inlineStr">
        <is>
          <t>Fecha_Estimada_Compra</t>
        </is>
      </c>
      <c r="K1" s="4" t="inlineStr">
        <is>
          <t>Fecha_Compra_Real</t>
        </is>
      </c>
      <c r="L1" s="4" t="inlineStr">
        <is>
          <t>Proveedor</t>
        </is>
      </c>
      <c r="M1" s="4" t="inlineStr">
        <is>
          <t>Documento_Respaldo</t>
        </is>
      </c>
      <c r="N1" s="4" t="inlineStr">
        <is>
          <t>Observaciones</t>
        </is>
      </c>
    </row>
    <row r="2">
      <c r="A2" s="2" t="inlineStr">
        <is>
          <t>PRE-001</t>
        </is>
      </c>
      <c r="B2" s="2" t="inlineStr">
        <is>
          <t>Topografia</t>
        </is>
      </c>
      <c r="C2" s="2" t="inlineStr">
        <is>
          <t>GPS RTK CHCNAV i73+ o equivalente</t>
        </is>
      </c>
      <c r="D2" s="2" t="inlineStr"/>
      <c r="E2" s="2" t="n">
        <v>1</v>
      </c>
      <c r="F2" s="8" t="n">
        <v>4500000</v>
      </c>
      <c r="G2" s="8">
        <f>IF(OR(E2="",F2=""),"",E2*F2)</f>
        <v/>
      </c>
      <c r="H2" s="2" t="inlineStr">
        <is>
          <t>Alta</t>
        </is>
      </c>
      <c r="I2" s="2" t="inlineStr">
        <is>
          <t>Pendiente</t>
        </is>
      </c>
      <c r="J2" s="10" t="inlineStr"/>
      <c r="K2" s="10" t="inlineStr"/>
      <c r="L2" s="2" t="inlineStr"/>
      <c r="M2" s="2" t="inlineStr"/>
      <c r="N2" s="2" t="inlineStr"/>
    </row>
    <row r="3">
      <c r="A3" s="2" t="inlineStr">
        <is>
          <t>PRE-002</t>
        </is>
      </c>
      <c r="B3" s="2" t="inlineStr">
        <is>
          <t>Topografia</t>
        </is>
      </c>
      <c r="C3" s="2" t="inlineStr">
        <is>
          <t>Tripode, baston, accesorios</t>
        </is>
      </c>
      <c r="D3" s="2" t="inlineStr"/>
      <c r="E3" s="2" t="n">
        <v>1</v>
      </c>
      <c r="F3" s="8" t="n">
        <v>500000</v>
      </c>
      <c r="G3" s="8">
        <f>IF(OR(E3="",F3=""),"",E3*F3)</f>
        <v/>
      </c>
      <c r="H3" s="2" t="inlineStr">
        <is>
          <t>Alta</t>
        </is>
      </c>
      <c r="I3" s="2" t="inlineStr">
        <is>
          <t>Pendiente</t>
        </is>
      </c>
      <c r="J3" s="10" t="inlineStr"/>
      <c r="K3" s="10" t="inlineStr"/>
      <c r="L3" s="2" t="inlineStr"/>
      <c r="M3" s="2" t="inlineStr"/>
      <c r="N3" s="2" t="inlineStr"/>
    </row>
    <row r="4">
      <c r="A4" s="2" t="inlineStr">
        <is>
          <t>PRE-003</t>
        </is>
      </c>
      <c r="B4" s="2" t="inlineStr">
        <is>
          <t>Topografia</t>
        </is>
      </c>
      <c r="C4" s="2" t="inlineStr">
        <is>
          <t>Capacitacion y puesta en marcha</t>
        </is>
      </c>
      <c r="D4" s="2" t="inlineStr"/>
      <c r="E4" s="2" t="n">
        <v>1</v>
      </c>
      <c r="F4" s="8" t="n">
        <v>300000</v>
      </c>
      <c r="G4" s="8">
        <f>IF(OR(E4="",F4=""),"",E4*F4)</f>
        <v/>
      </c>
      <c r="H4" s="2" t="inlineStr">
        <is>
          <t>Alta</t>
        </is>
      </c>
      <c r="I4" s="2" t="inlineStr">
        <is>
          <t>Pendiente</t>
        </is>
      </c>
      <c r="J4" s="10" t="inlineStr"/>
      <c r="K4" s="10" t="inlineStr"/>
      <c r="L4" s="2" t="inlineStr"/>
      <c r="M4" s="2" t="inlineStr"/>
      <c r="N4" s="2" t="inlineStr"/>
    </row>
    <row r="5">
      <c r="A5" s="2" t="inlineStr">
        <is>
          <t>PRE-004</t>
        </is>
      </c>
      <c r="B5" s="2" t="inlineStr">
        <is>
          <t>Computacion</t>
        </is>
      </c>
      <c r="C5" s="2" t="inlineStr">
        <is>
          <t>Notebook i7 / Ryzen 7, 32 GB RAM</t>
        </is>
      </c>
      <c r="D5" s="2" t="inlineStr"/>
      <c r="E5" s="2" t="n">
        <v>1</v>
      </c>
      <c r="F5" s="8" t="n">
        <v>1300000</v>
      </c>
      <c r="G5" s="8">
        <f>IF(OR(E5="",F5=""),"",E5*F5)</f>
        <v/>
      </c>
      <c r="H5" s="2" t="inlineStr">
        <is>
          <t>Alta</t>
        </is>
      </c>
      <c r="I5" s="2" t="inlineStr">
        <is>
          <t>Pendiente</t>
        </is>
      </c>
      <c r="J5" s="10" t="inlineStr"/>
      <c r="K5" s="10" t="inlineStr"/>
      <c r="L5" s="2" t="inlineStr"/>
      <c r="M5" s="2" t="inlineStr"/>
      <c r="N5" s="2" t="inlineStr"/>
    </row>
    <row r="6">
      <c r="A6" s="2" t="inlineStr">
        <is>
          <t>PRE-005</t>
        </is>
      </c>
      <c r="B6" s="2" t="inlineStr">
        <is>
          <t>Computacion</t>
        </is>
      </c>
      <c r="C6" s="2" t="inlineStr">
        <is>
          <t>SSD externo 2 TB</t>
        </is>
      </c>
      <c r="D6" s="2" t="inlineStr"/>
      <c r="E6" s="2" t="n">
        <v>1</v>
      </c>
      <c r="F6" s="8" t="n">
        <v>120000</v>
      </c>
      <c r="G6" s="8">
        <f>IF(OR(E6="",F6=""),"",E6*F6)</f>
        <v/>
      </c>
      <c r="H6" s="2" t="inlineStr">
        <is>
          <t>Alta</t>
        </is>
      </c>
      <c r="I6" s="2" t="inlineStr">
        <is>
          <t>Pendiente</t>
        </is>
      </c>
      <c r="J6" s="10" t="inlineStr"/>
      <c r="K6" s="10" t="inlineStr"/>
      <c r="L6" s="2" t="inlineStr"/>
      <c r="M6" s="2" t="inlineStr"/>
      <c r="N6" s="2" t="inlineStr"/>
    </row>
    <row r="7">
      <c r="A7" s="2" t="inlineStr">
        <is>
          <t>PRE-006</t>
        </is>
      </c>
      <c r="B7" s="2" t="inlineStr">
        <is>
          <t>Computacion</t>
        </is>
      </c>
      <c r="C7" s="2" t="inlineStr">
        <is>
          <t>Monitor 27 pulgadas</t>
        </is>
      </c>
      <c r="D7" s="2" t="inlineStr"/>
      <c r="E7" s="2" t="n">
        <v>1</v>
      </c>
      <c r="F7" s="8" t="n">
        <v>180000</v>
      </c>
      <c r="G7" s="8">
        <f>IF(OR(E7="",F7=""),"",E7*F7)</f>
        <v/>
      </c>
      <c r="H7" s="2" t="inlineStr">
        <is>
          <t>Alta</t>
        </is>
      </c>
      <c r="I7" s="2" t="inlineStr">
        <is>
          <t>Pendiente</t>
        </is>
      </c>
      <c r="J7" s="10" t="inlineStr"/>
      <c r="K7" s="10" t="inlineStr"/>
      <c r="L7" s="2" t="inlineStr"/>
      <c r="M7" s="2" t="inlineStr"/>
      <c r="N7" s="2" t="inlineStr"/>
    </row>
    <row r="8">
      <c r="A8" s="2" t="inlineStr">
        <is>
          <t>PRE-007</t>
        </is>
      </c>
      <c r="B8" s="2" t="inlineStr">
        <is>
          <t>Software</t>
        </is>
      </c>
      <c r="C8" s="2" t="inlineStr">
        <is>
          <t>Licencia anual Civil 3D</t>
        </is>
      </c>
      <c r="D8" s="2" t="inlineStr"/>
      <c r="E8" s="2" t="n">
        <v>1</v>
      </c>
      <c r="F8" s="8" t="n">
        <v>2500000</v>
      </c>
      <c r="G8" s="8">
        <f>IF(OR(E8="",F8=""),"",E8*F8)</f>
        <v/>
      </c>
      <c r="H8" s="2" t="inlineStr">
        <is>
          <t>Alta</t>
        </is>
      </c>
      <c r="I8" s="2" t="inlineStr">
        <is>
          <t>Pendiente</t>
        </is>
      </c>
      <c r="J8" s="10" t="inlineStr"/>
      <c r="K8" s="10" t="inlineStr"/>
      <c r="L8" s="2" t="inlineStr"/>
      <c r="M8" s="2" t="inlineStr"/>
      <c r="N8" s="2" t="inlineStr"/>
    </row>
    <row r="9">
      <c r="A9" s="2" t="inlineStr">
        <is>
          <t>PRE-008</t>
        </is>
      </c>
      <c r="B9" s="2" t="inlineStr">
        <is>
          <t>Software</t>
        </is>
      </c>
      <c r="C9" s="2" t="inlineStr">
        <is>
          <t>QGIS</t>
        </is>
      </c>
      <c r="D9" s="2" t="inlineStr"/>
      <c r="E9" s="2" t="n">
        <v>1</v>
      </c>
      <c r="F9" s="8" t="n">
        <v>0</v>
      </c>
      <c r="G9" s="8">
        <f>IF(OR(E9="",F9=""),"",E9*F9)</f>
        <v/>
      </c>
      <c r="H9" s="2" t="inlineStr">
        <is>
          <t>Alta</t>
        </is>
      </c>
      <c r="I9" s="2" t="inlineStr">
        <is>
          <t>Pendiente</t>
        </is>
      </c>
      <c r="J9" s="10" t="inlineStr"/>
      <c r="K9" s="10" t="inlineStr"/>
      <c r="L9" s="2" t="inlineStr"/>
      <c r="M9" s="2" t="inlineStr"/>
      <c r="N9" s="2" t="inlineStr"/>
    </row>
    <row r="10">
      <c r="A10" s="2" t="inlineStr">
        <is>
          <t>PRE-009</t>
        </is>
      </c>
      <c r="B10" s="2" t="inlineStr">
        <is>
          <t>Software</t>
        </is>
      </c>
      <c r="C10" s="2" t="inlineStr">
        <is>
          <t>CloudCompare</t>
        </is>
      </c>
      <c r="D10" s="2" t="inlineStr"/>
      <c r="E10" s="2" t="n">
        <v>1</v>
      </c>
      <c r="F10" s="8" t="n">
        <v>0</v>
      </c>
      <c r="G10" s="8">
        <f>IF(OR(E10="",F10=""),"",E10*F10)</f>
        <v/>
      </c>
      <c r="H10" s="2" t="inlineStr">
        <is>
          <t>Alta</t>
        </is>
      </c>
      <c r="I10" s="2" t="inlineStr">
        <is>
          <t>Pendiente</t>
        </is>
      </c>
      <c r="J10" s="10" t="inlineStr"/>
      <c r="K10" s="10" t="inlineStr"/>
      <c r="L10" s="2" t="inlineStr"/>
      <c r="M10" s="2" t="inlineStr"/>
      <c r="N10" s="2" t="inlineStr"/>
    </row>
    <row r="11">
      <c r="A11" s="2" t="inlineStr">
        <is>
          <t>PRE-010</t>
        </is>
      </c>
      <c r="B11" s="2" t="inlineStr">
        <is>
          <t>Software</t>
        </is>
      </c>
      <c r="C11" s="2" t="inlineStr">
        <is>
          <t>Google Earth Pro</t>
        </is>
      </c>
      <c r="D11" s="2" t="inlineStr"/>
      <c r="E11" s="2" t="n">
        <v>1</v>
      </c>
      <c r="F11" s="8" t="n">
        <v>0</v>
      </c>
      <c r="G11" s="8">
        <f>IF(OR(E11="",F11=""),"",E11*F11)</f>
        <v/>
      </c>
      <c r="H11" s="2" t="inlineStr">
        <is>
          <t>Alta</t>
        </is>
      </c>
      <c r="I11" s="2" t="inlineStr">
        <is>
          <t>Pendiente</t>
        </is>
      </c>
      <c r="J11" s="10" t="inlineStr"/>
      <c r="K11" s="10" t="inlineStr"/>
      <c r="L11" s="2" t="inlineStr"/>
      <c r="M11" s="2" t="inlineStr"/>
      <c r="N11" s="2" t="inlineStr"/>
    </row>
    <row r="12">
      <c r="A12" s="2" t="inlineStr">
        <is>
          <t>PRE-011</t>
        </is>
      </c>
      <c r="B12" s="2" t="inlineStr">
        <is>
          <t>Administracion y Comercial</t>
        </is>
      </c>
      <c r="C12" s="2" t="inlineStr">
        <is>
          <t>Constitucion SpA</t>
        </is>
      </c>
      <c r="D12" s="2" t="inlineStr"/>
      <c r="E12" s="2" t="n">
        <v>1</v>
      </c>
      <c r="F12" s="8" t="n">
        <v>150000</v>
      </c>
      <c r="G12" s="8">
        <f>IF(OR(E12="",F12=""),"",E12*F12)</f>
        <v/>
      </c>
      <c r="H12" s="2" t="inlineStr">
        <is>
          <t>Alta</t>
        </is>
      </c>
      <c r="I12" s="2" t="inlineStr">
        <is>
          <t>Pendiente</t>
        </is>
      </c>
      <c r="J12" s="10" t="inlineStr"/>
      <c r="K12" s="10" t="inlineStr"/>
      <c r="L12" s="2" t="inlineStr"/>
      <c r="M12" s="2" t="inlineStr"/>
      <c r="N12" s="2" t="inlineStr"/>
    </row>
    <row r="13">
      <c r="A13" s="2" t="inlineStr">
        <is>
          <t>PRE-012</t>
        </is>
      </c>
      <c r="B13" s="2" t="inlineStr">
        <is>
          <t>Administracion y Comercial</t>
        </is>
      </c>
      <c r="C13" s="2" t="inlineStr">
        <is>
          <t>Dominio web + hosting 1 año</t>
        </is>
      </c>
      <c r="D13" s="2" t="inlineStr"/>
      <c r="E13" s="2" t="n">
        <v>1</v>
      </c>
      <c r="F13" s="8" t="n">
        <v>80000</v>
      </c>
      <c r="G13" s="8">
        <f>IF(OR(E13="",F13=""),"",E13*F13)</f>
        <v/>
      </c>
      <c r="H13" s="2" t="inlineStr">
        <is>
          <t>Alta</t>
        </is>
      </c>
      <c r="I13" s="2" t="inlineStr">
        <is>
          <t>Pendiente</t>
        </is>
      </c>
      <c r="J13" s="10" t="inlineStr"/>
      <c r="K13" s="10" t="inlineStr"/>
      <c r="L13" s="2" t="inlineStr"/>
      <c r="M13" s="2" t="inlineStr"/>
      <c r="N13" s="2" t="inlineStr"/>
    </row>
    <row r="14">
      <c r="A14" s="2" t="inlineStr">
        <is>
          <t>PRE-013</t>
        </is>
      </c>
      <c r="B14" s="2" t="inlineStr">
        <is>
          <t>Administracion y Comercial</t>
        </is>
      </c>
      <c r="C14" s="2" t="inlineStr">
        <is>
          <t>Pagina web corporativa basica</t>
        </is>
      </c>
      <c r="D14" s="2" t="inlineStr"/>
      <c r="E14" s="2" t="n">
        <v>1</v>
      </c>
      <c r="F14" s="8" t="n">
        <v>150000</v>
      </c>
      <c r="G14" s="8">
        <f>IF(OR(E14="",F14=""),"",E14*F14)</f>
        <v/>
      </c>
      <c r="H14" s="2" t="inlineStr">
        <is>
          <t>Alta</t>
        </is>
      </c>
      <c r="I14" s="2" t="inlineStr">
        <is>
          <t>Pendiente</t>
        </is>
      </c>
      <c r="J14" s="10" t="inlineStr"/>
      <c r="K14" s="10" t="inlineStr"/>
      <c r="L14" s="2" t="inlineStr"/>
      <c r="M14" s="2" t="inlineStr"/>
      <c r="N14" s="2" t="inlineStr"/>
    </row>
    <row r="15">
      <c r="A15" s="2" t="inlineStr">
        <is>
          <t>PRE-014</t>
        </is>
      </c>
      <c r="B15" s="2" t="inlineStr">
        <is>
          <t>Administracion y Comercial</t>
        </is>
      </c>
      <c r="C15" s="2" t="inlineStr">
        <is>
          <t>Marketing inicial</t>
        </is>
      </c>
      <c r="D15" s="2" t="inlineStr"/>
      <c r="E15" s="2" t="n">
        <v>1</v>
      </c>
      <c r="F15" s="8" t="n">
        <v>300000</v>
      </c>
      <c r="G15" s="8">
        <f>IF(OR(E15="",F15=""),"",E15*F15)</f>
        <v/>
      </c>
      <c r="H15" s="2" t="inlineStr">
        <is>
          <t>Alta</t>
        </is>
      </c>
      <c r="I15" s="2" t="inlineStr">
        <is>
          <t>Pendiente</t>
        </is>
      </c>
      <c r="J15" s="10" t="inlineStr"/>
      <c r="K15" s="10" t="inlineStr"/>
      <c r="L15" s="2" t="inlineStr"/>
      <c r="M15" s="2" t="inlineStr"/>
      <c r="N15" s="2" t="inlineStr"/>
    </row>
    <row r="16">
      <c r="A16" s="2" t="inlineStr">
        <is>
          <t>PRE-015</t>
        </is>
      </c>
      <c r="B16" s="2" t="inlineStr">
        <is>
          <t>Administracion y Comercial</t>
        </is>
      </c>
      <c r="C16" s="2" t="inlineStr">
        <is>
          <t>Fondo contingencia / seguros</t>
        </is>
      </c>
      <c r="D16" s="2" t="inlineStr"/>
      <c r="E16" s="2" t="n">
        <v>1</v>
      </c>
      <c r="F16" s="8" t="n">
        <v>500000</v>
      </c>
      <c r="G16" s="8">
        <f>IF(OR(E16="",F16=""),"",E16*F16)</f>
        <v/>
      </c>
      <c r="H16" s="2" t="inlineStr">
        <is>
          <t>Alta</t>
        </is>
      </c>
      <c r="I16" s="2" t="inlineStr">
        <is>
          <t>Pendiente</t>
        </is>
      </c>
      <c r="J16" s="10" t="inlineStr"/>
      <c r="K16" s="10" t="inlineStr"/>
      <c r="L16" s="2" t="inlineStr"/>
      <c r="M16" s="2" t="inlineStr"/>
      <c r="N16" s="2" t="inlineStr"/>
    </row>
    <row r="17">
      <c r="A17" s="2" t="n"/>
      <c r="B17" s="2" t="n"/>
      <c r="C17" s="2" t="n"/>
      <c r="D17" s="2" t="n"/>
      <c r="E17" s="2" t="n"/>
      <c r="F17" s="8" t="n"/>
      <c r="G17" s="8">
        <f>IF(OR(E17="",F17=""),"",E17*F17)</f>
        <v/>
      </c>
      <c r="H17" s="2" t="n"/>
      <c r="I17" s="2" t="n"/>
      <c r="J17" s="10" t="n"/>
      <c r="K17" s="10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8" t="n"/>
      <c r="G18" s="8">
        <f>IF(OR(E18="",F18=""),"",E18*F18)</f>
        <v/>
      </c>
      <c r="H18" s="2" t="n"/>
      <c r="I18" s="2" t="n"/>
      <c r="J18" s="10" t="n"/>
      <c r="K18" s="10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8" t="n"/>
      <c r="G19" s="8">
        <f>IF(OR(E19="",F19=""),"",E19*F19)</f>
        <v/>
      </c>
      <c r="H19" s="2" t="n"/>
      <c r="I19" s="2" t="n"/>
      <c r="J19" s="10" t="n"/>
      <c r="K19" s="10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8" t="n"/>
      <c r="G20" s="8">
        <f>IF(OR(E20="",F20=""),"",E20*F20)</f>
        <v/>
      </c>
      <c r="H20" s="2" t="n"/>
      <c r="I20" s="2" t="n"/>
      <c r="J20" s="10" t="n"/>
      <c r="K20" s="10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8" t="n"/>
      <c r="G21" s="8">
        <f>IF(OR(E21="",F21=""),"",E21*F21)</f>
        <v/>
      </c>
      <c r="H21" s="2" t="n"/>
      <c r="I21" s="2" t="n"/>
      <c r="J21" s="10" t="n"/>
      <c r="K21" s="10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8" t="n"/>
      <c r="G22" s="8">
        <f>IF(OR(E22="",F22=""),"",E22*F22)</f>
        <v/>
      </c>
      <c r="H22" s="2" t="n"/>
      <c r="I22" s="2" t="n"/>
      <c r="J22" s="10" t="n"/>
      <c r="K22" s="10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8" t="n"/>
      <c r="G23" s="8">
        <f>IF(OR(E23="",F23=""),"",E23*F23)</f>
        <v/>
      </c>
      <c r="H23" s="2" t="n"/>
      <c r="I23" s="2" t="n"/>
      <c r="J23" s="10" t="n"/>
      <c r="K23" s="10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8" t="n"/>
      <c r="G24" s="8">
        <f>IF(OR(E24="",F24=""),"",E24*F24)</f>
        <v/>
      </c>
      <c r="H24" s="2" t="n"/>
      <c r="I24" s="2" t="n"/>
      <c r="J24" s="10" t="n"/>
      <c r="K24" s="10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8" t="n"/>
      <c r="G25" s="8">
        <f>IF(OR(E25="",F25=""),"",E25*F25)</f>
        <v/>
      </c>
      <c r="H25" s="2" t="n"/>
      <c r="I25" s="2" t="n"/>
      <c r="J25" s="10" t="n"/>
      <c r="K25" s="10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8" t="n"/>
      <c r="G26" s="8">
        <f>IF(OR(E26="",F26=""),"",E26*F26)</f>
        <v/>
      </c>
      <c r="H26" s="2" t="n"/>
      <c r="I26" s="2" t="n"/>
      <c r="J26" s="10" t="n"/>
      <c r="K26" s="10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8" t="n"/>
      <c r="G27" s="8">
        <f>IF(OR(E27="",F27=""),"",E27*F27)</f>
        <v/>
      </c>
      <c r="H27" s="2" t="n"/>
      <c r="I27" s="2" t="n"/>
      <c r="J27" s="10" t="n"/>
      <c r="K27" s="10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8" t="n"/>
      <c r="G28" s="8">
        <f>IF(OR(E28="",F28=""),"",E28*F28)</f>
        <v/>
      </c>
      <c r="H28" s="2" t="n"/>
      <c r="I28" s="2" t="n"/>
      <c r="J28" s="10" t="n"/>
      <c r="K28" s="10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8" t="n"/>
      <c r="G29" s="8">
        <f>IF(OR(E29="",F29=""),"",E29*F29)</f>
        <v/>
      </c>
      <c r="H29" s="2" t="n"/>
      <c r="I29" s="2" t="n"/>
      <c r="J29" s="10" t="n"/>
      <c r="K29" s="10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8" t="n"/>
      <c r="G30" s="8">
        <f>IF(OR(E30="",F30=""),"",E30*F30)</f>
        <v/>
      </c>
      <c r="H30" s="2" t="n"/>
      <c r="I30" s="2" t="n"/>
      <c r="J30" s="10" t="n"/>
      <c r="K30" s="10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8" t="n"/>
      <c r="G31" s="8">
        <f>IF(OR(E31="",F31=""),"",E31*F31)</f>
        <v/>
      </c>
      <c r="H31" s="2" t="n"/>
      <c r="I31" s="2" t="n"/>
      <c r="J31" s="10" t="n"/>
      <c r="K31" s="10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8" t="n"/>
      <c r="G32" s="8">
        <f>IF(OR(E32="",F32=""),"",E32*F32)</f>
        <v/>
      </c>
      <c r="H32" s="2" t="n"/>
      <c r="I32" s="2" t="n"/>
      <c r="J32" s="10" t="n"/>
      <c r="K32" s="10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8" t="n"/>
      <c r="G33" s="8">
        <f>IF(OR(E33="",F33=""),"",E33*F33)</f>
        <v/>
      </c>
      <c r="H33" s="2" t="n"/>
      <c r="I33" s="2" t="n"/>
      <c r="J33" s="10" t="n"/>
      <c r="K33" s="10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8" t="n"/>
      <c r="G34" s="8">
        <f>IF(OR(E34="",F34=""),"",E34*F34)</f>
        <v/>
      </c>
      <c r="H34" s="2" t="n"/>
      <c r="I34" s="2" t="n"/>
      <c r="J34" s="10" t="n"/>
      <c r="K34" s="10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8" t="n"/>
      <c r="G35" s="8">
        <f>IF(OR(E35="",F35=""),"",E35*F35)</f>
        <v/>
      </c>
      <c r="H35" s="2" t="n"/>
      <c r="I35" s="2" t="n"/>
      <c r="J35" s="10" t="n"/>
      <c r="K35" s="10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8" t="n"/>
      <c r="G36" s="8">
        <f>IF(OR(E36="",F36=""),"",E36*F36)</f>
        <v/>
      </c>
      <c r="H36" s="2" t="n"/>
      <c r="I36" s="2" t="n"/>
      <c r="J36" s="10" t="n"/>
      <c r="K36" s="10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8" t="n"/>
      <c r="G37" s="8">
        <f>IF(OR(E37="",F37=""),"",E37*F37)</f>
        <v/>
      </c>
      <c r="H37" s="2" t="n"/>
      <c r="I37" s="2" t="n"/>
      <c r="J37" s="10" t="n"/>
      <c r="K37" s="10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8" t="n"/>
      <c r="G38" s="8">
        <f>IF(OR(E38="",F38=""),"",E38*F38)</f>
        <v/>
      </c>
      <c r="H38" s="2" t="n"/>
      <c r="I38" s="2" t="n"/>
      <c r="J38" s="10" t="n"/>
      <c r="K38" s="10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8" t="n"/>
      <c r="G39" s="8">
        <f>IF(OR(E39="",F39=""),"",E39*F39)</f>
        <v/>
      </c>
      <c r="H39" s="2" t="n"/>
      <c r="I39" s="2" t="n"/>
      <c r="J39" s="10" t="n"/>
      <c r="K39" s="10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8" t="n"/>
      <c r="G40" s="8">
        <f>IF(OR(E40="",F40=""),"",E40*F40)</f>
        <v/>
      </c>
      <c r="H40" s="2" t="n"/>
      <c r="I40" s="2" t="n"/>
      <c r="J40" s="10" t="n"/>
      <c r="K40" s="10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8" t="n"/>
      <c r="G41" s="8">
        <f>IF(OR(E41="",F41=""),"",E41*F41)</f>
        <v/>
      </c>
      <c r="H41" s="2" t="n"/>
      <c r="I41" s="2" t="n"/>
      <c r="J41" s="10" t="n"/>
      <c r="K41" s="10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8" t="n"/>
      <c r="G42" s="8">
        <f>IF(OR(E42="",F42=""),"",E42*F42)</f>
        <v/>
      </c>
      <c r="H42" s="2" t="n"/>
      <c r="I42" s="2" t="n"/>
      <c r="J42" s="10" t="n"/>
      <c r="K42" s="10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8" t="n"/>
      <c r="G43" s="8">
        <f>IF(OR(E43="",F43=""),"",E43*F43)</f>
        <v/>
      </c>
      <c r="H43" s="2" t="n"/>
      <c r="I43" s="2" t="n"/>
      <c r="J43" s="10" t="n"/>
      <c r="K43" s="10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8" t="n"/>
      <c r="G44" s="8">
        <f>IF(OR(E44="",F44=""),"",E44*F44)</f>
        <v/>
      </c>
      <c r="H44" s="2" t="n"/>
      <c r="I44" s="2" t="n"/>
      <c r="J44" s="10" t="n"/>
      <c r="K44" s="10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8" t="n"/>
      <c r="G45" s="8">
        <f>IF(OR(E45="",F45=""),"",E45*F45)</f>
        <v/>
      </c>
      <c r="H45" s="2" t="n"/>
      <c r="I45" s="2" t="n"/>
      <c r="J45" s="10" t="n"/>
      <c r="K45" s="10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8" t="n"/>
      <c r="G46" s="8">
        <f>IF(OR(E46="",F46=""),"",E46*F46)</f>
        <v/>
      </c>
      <c r="H46" s="2" t="n"/>
      <c r="I46" s="2" t="n"/>
      <c r="J46" s="10" t="n"/>
      <c r="K46" s="10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8" t="n"/>
      <c r="G47" s="8">
        <f>IF(OR(E47="",F47=""),"",E47*F47)</f>
        <v/>
      </c>
      <c r="H47" s="2" t="n"/>
      <c r="I47" s="2" t="n"/>
      <c r="J47" s="10" t="n"/>
      <c r="K47" s="10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8" t="n"/>
      <c r="G48" s="8">
        <f>IF(OR(E48="",F48=""),"",E48*F48)</f>
        <v/>
      </c>
      <c r="H48" s="2" t="n"/>
      <c r="I48" s="2" t="n"/>
      <c r="J48" s="10" t="n"/>
      <c r="K48" s="10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8" t="n"/>
      <c r="G49" s="8">
        <f>IF(OR(E49="",F49=""),"",E49*F49)</f>
        <v/>
      </c>
      <c r="H49" s="2" t="n"/>
      <c r="I49" s="2" t="n"/>
      <c r="J49" s="10" t="n"/>
      <c r="K49" s="10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8" t="n"/>
      <c r="G50" s="8">
        <f>IF(OR(E50="",F50=""),"",E50*F50)</f>
        <v/>
      </c>
      <c r="H50" s="2" t="n"/>
      <c r="I50" s="2" t="n"/>
      <c r="J50" s="10" t="n"/>
      <c r="K50" s="10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8" t="n"/>
      <c r="G51" s="8">
        <f>IF(OR(E51="",F51=""),"",E51*F51)</f>
        <v/>
      </c>
      <c r="H51" s="2" t="n"/>
      <c r="I51" s="2" t="n"/>
      <c r="J51" s="10" t="n"/>
      <c r="K51" s="10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8" t="n"/>
      <c r="G52" s="8">
        <f>IF(OR(E52="",F52=""),"",E52*F52)</f>
        <v/>
      </c>
      <c r="H52" s="2" t="n"/>
      <c r="I52" s="2" t="n"/>
      <c r="J52" s="10" t="n"/>
      <c r="K52" s="10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8" t="n"/>
      <c r="G53" s="8">
        <f>IF(OR(E53="",F53=""),"",E53*F53)</f>
        <v/>
      </c>
      <c r="H53" s="2" t="n"/>
      <c r="I53" s="2" t="n"/>
      <c r="J53" s="10" t="n"/>
      <c r="K53" s="10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8" t="n"/>
      <c r="G54" s="8">
        <f>IF(OR(E54="",F54=""),"",E54*F54)</f>
        <v/>
      </c>
      <c r="H54" s="2" t="n"/>
      <c r="I54" s="2" t="n"/>
      <c r="J54" s="10" t="n"/>
      <c r="K54" s="10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8" t="n"/>
      <c r="G55" s="8">
        <f>IF(OR(E55="",F55=""),"",E55*F55)</f>
        <v/>
      </c>
      <c r="H55" s="2" t="n"/>
      <c r="I55" s="2" t="n"/>
      <c r="J55" s="10" t="n"/>
      <c r="K55" s="10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8" t="n"/>
      <c r="G56" s="8">
        <f>IF(OR(E56="",F56=""),"",E56*F56)</f>
        <v/>
      </c>
      <c r="H56" s="2" t="n"/>
      <c r="I56" s="2" t="n"/>
      <c r="J56" s="10" t="n"/>
      <c r="K56" s="10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8" t="n"/>
      <c r="G57" s="8">
        <f>IF(OR(E57="",F57=""),"",E57*F57)</f>
        <v/>
      </c>
      <c r="H57" s="2" t="n"/>
      <c r="I57" s="2" t="n"/>
      <c r="J57" s="10" t="n"/>
      <c r="K57" s="10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8" t="n"/>
      <c r="G58" s="8">
        <f>IF(OR(E58="",F58=""),"",E58*F58)</f>
        <v/>
      </c>
      <c r="H58" s="2" t="n"/>
      <c r="I58" s="2" t="n"/>
      <c r="J58" s="10" t="n"/>
      <c r="K58" s="10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8" t="n"/>
      <c r="G59" s="8">
        <f>IF(OR(E59="",F59=""),"",E59*F59)</f>
        <v/>
      </c>
      <c r="H59" s="2" t="n"/>
      <c r="I59" s="2" t="n"/>
      <c r="J59" s="10" t="n"/>
      <c r="K59" s="10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8" t="n"/>
      <c r="G60" s="8">
        <f>IF(OR(E60="",F60=""),"",E60*F60)</f>
        <v/>
      </c>
      <c r="H60" s="2" t="n"/>
      <c r="I60" s="2" t="n"/>
      <c r="J60" s="10" t="n"/>
      <c r="K60" s="10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8" t="n"/>
      <c r="G61" s="8">
        <f>IF(OR(E61="",F61=""),"",E61*F61)</f>
        <v/>
      </c>
      <c r="H61" s="2" t="n"/>
      <c r="I61" s="2" t="n"/>
      <c r="J61" s="10" t="n"/>
      <c r="K61" s="10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8" t="n"/>
      <c r="G62" s="8">
        <f>IF(OR(E62="",F62=""),"",E62*F62)</f>
        <v/>
      </c>
      <c r="H62" s="2" t="n"/>
      <c r="I62" s="2" t="n"/>
      <c r="J62" s="10" t="n"/>
      <c r="K62" s="10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8" t="n"/>
      <c r="G63" s="8">
        <f>IF(OR(E63="",F63=""),"",E63*F63)</f>
        <v/>
      </c>
      <c r="H63" s="2" t="n"/>
      <c r="I63" s="2" t="n"/>
      <c r="J63" s="10" t="n"/>
      <c r="K63" s="10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8" t="n"/>
      <c r="G64" s="8">
        <f>IF(OR(E64="",F64=""),"",E64*F64)</f>
        <v/>
      </c>
      <c r="H64" s="2" t="n"/>
      <c r="I64" s="2" t="n"/>
      <c r="J64" s="10" t="n"/>
      <c r="K64" s="10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8" t="n"/>
      <c r="G65" s="8">
        <f>IF(OR(E65="",F65=""),"",E65*F65)</f>
        <v/>
      </c>
      <c r="H65" s="2" t="n"/>
      <c r="I65" s="2" t="n"/>
      <c r="J65" s="10" t="n"/>
      <c r="K65" s="10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8" t="n"/>
      <c r="G66" s="8">
        <f>IF(OR(E66="",F66=""),"",E66*F66)</f>
        <v/>
      </c>
      <c r="H66" s="2" t="n"/>
      <c r="I66" s="2" t="n"/>
      <c r="J66" s="10" t="n"/>
      <c r="K66" s="10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8" t="n"/>
      <c r="G67" s="8">
        <f>IF(OR(E67="",F67=""),"",E67*F67)</f>
        <v/>
      </c>
      <c r="H67" s="2" t="n"/>
      <c r="I67" s="2" t="n"/>
      <c r="J67" s="10" t="n"/>
      <c r="K67" s="10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8" t="n"/>
      <c r="G68" s="8">
        <f>IF(OR(E68="",F68=""),"",E68*F68)</f>
        <v/>
      </c>
      <c r="H68" s="2" t="n"/>
      <c r="I68" s="2" t="n"/>
      <c r="J68" s="10" t="n"/>
      <c r="K68" s="10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8" t="n"/>
      <c r="G69" s="8">
        <f>IF(OR(E69="",F69=""),"",E69*F69)</f>
        <v/>
      </c>
      <c r="H69" s="2" t="n"/>
      <c r="I69" s="2" t="n"/>
      <c r="J69" s="10" t="n"/>
      <c r="K69" s="10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8" t="n"/>
      <c r="G70" s="8">
        <f>IF(OR(E70="",F70=""),"",E70*F70)</f>
        <v/>
      </c>
      <c r="H70" s="2" t="n"/>
      <c r="I70" s="2" t="n"/>
      <c r="J70" s="10" t="n"/>
      <c r="K70" s="10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8" t="n"/>
      <c r="G71" s="8">
        <f>IF(OR(E71="",F71=""),"",E71*F71)</f>
        <v/>
      </c>
      <c r="H71" s="2" t="n"/>
      <c r="I71" s="2" t="n"/>
      <c r="J71" s="10" t="n"/>
      <c r="K71" s="10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8" t="n"/>
      <c r="G72" s="8">
        <f>IF(OR(E72="",F72=""),"",E72*F72)</f>
        <v/>
      </c>
      <c r="H72" s="2" t="n"/>
      <c r="I72" s="2" t="n"/>
      <c r="J72" s="10" t="n"/>
      <c r="K72" s="10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8" t="n"/>
      <c r="G73" s="8">
        <f>IF(OR(E73="",F73=""),"",E73*F73)</f>
        <v/>
      </c>
      <c r="H73" s="2" t="n"/>
      <c r="I73" s="2" t="n"/>
      <c r="J73" s="10" t="n"/>
      <c r="K73" s="10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8" t="n"/>
      <c r="G74" s="8">
        <f>IF(OR(E74="",F74=""),"",E74*F74)</f>
        <v/>
      </c>
      <c r="H74" s="2" t="n"/>
      <c r="I74" s="2" t="n"/>
      <c r="J74" s="10" t="n"/>
      <c r="K74" s="10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8" t="n"/>
      <c r="G75" s="8">
        <f>IF(OR(E75="",F75=""),"",E75*F75)</f>
        <v/>
      </c>
      <c r="H75" s="2" t="n"/>
      <c r="I75" s="2" t="n"/>
      <c r="J75" s="10" t="n"/>
      <c r="K75" s="10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8" t="n"/>
      <c r="G76" s="8">
        <f>IF(OR(E76="",F76=""),"",E76*F76)</f>
        <v/>
      </c>
      <c r="H76" s="2" t="n"/>
      <c r="I76" s="2" t="n"/>
      <c r="J76" s="10" t="n"/>
      <c r="K76" s="10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8" t="n"/>
      <c r="G77" s="8">
        <f>IF(OR(E77="",F77=""),"",E77*F77)</f>
        <v/>
      </c>
      <c r="H77" s="2" t="n"/>
      <c r="I77" s="2" t="n"/>
      <c r="J77" s="10" t="n"/>
      <c r="K77" s="10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8" t="n"/>
      <c r="G78" s="8">
        <f>IF(OR(E78="",F78=""),"",E78*F78)</f>
        <v/>
      </c>
      <c r="H78" s="2" t="n"/>
      <c r="I78" s="2" t="n"/>
      <c r="J78" s="10" t="n"/>
      <c r="K78" s="10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8" t="n"/>
      <c r="G79" s="8">
        <f>IF(OR(E79="",F79=""),"",E79*F79)</f>
        <v/>
      </c>
      <c r="H79" s="2" t="n"/>
      <c r="I79" s="2" t="n"/>
      <c r="J79" s="10" t="n"/>
      <c r="K79" s="10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8" t="n"/>
      <c r="G80" s="8">
        <f>IF(OR(E80="",F80=""),"",E80*F80)</f>
        <v/>
      </c>
      <c r="H80" s="2" t="n"/>
      <c r="I80" s="2" t="n"/>
      <c r="J80" s="10" t="n"/>
      <c r="K80" s="10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8" t="n"/>
      <c r="G81" s="8">
        <f>IF(OR(E81="",F81=""),"",E81*F81)</f>
        <v/>
      </c>
      <c r="H81" s="2" t="n"/>
      <c r="I81" s="2" t="n"/>
      <c r="J81" s="10" t="n"/>
      <c r="K81" s="10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8" t="n"/>
      <c r="G82" s="8">
        <f>IF(OR(E82="",F82=""),"",E82*F82)</f>
        <v/>
      </c>
      <c r="H82" s="2" t="n"/>
      <c r="I82" s="2" t="n"/>
      <c r="J82" s="10" t="n"/>
      <c r="K82" s="10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8" t="n"/>
      <c r="G83" s="8">
        <f>IF(OR(E83="",F83=""),"",E83*F83)</f>
        <v/>
      </c>
      <c r="H83" s="2" t="n"/>
      <c r="I83" s="2" t="n"/>
      <c r="J83" s="10" t="n"/>
      <c r="K83" s="10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8" t="n"/>
      <c r="G84" s="8">
        <f>IF(OR(E84="",F84=""),"",E84*F84)</f>
        <v/>
      </c>
      <c r="H84" s="2" t="n"/>
      <c r="I84" s="2" t="n"/>
      <c r="J84" s="10" t="n"/>
      <c r="K84" s="10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8" t="n"/>
      <c r="G85" s="8">
        <f>IF(OR(E85="",F85=""),"",E85*F85)</f>
        <v/>
      </c>
      <c r="H85" s="2" t="n"/>
      <c r="I85" s="2" t="n"/>
      <c r="J85" s="10" t="n"/>
      <c r="K85" s="10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8" t="n"/>
      <c r="G86" s="8">
        <f>IF(OR(E86="",F86=""),"",E86*F86)</f>
        <v/>
      </c>
      <c r="H86" s="2" t="n"/>
      <c r="I86" s="2" t="n"/>
      <c r="J86" s="10" t="n"/>
      <c r="K86" s="10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8" t="n"/>
      <c r="G87" s="8">
        <f>IF(OR(E87="",F87=""),"",E87*F87)</f>
        <v/>
      </c>
      <c r="H87" s="2" t="n"/>
      <c r="I87" s="2" t="n"/>
      <c r="J87" s="10" t="n"/>
      <c r="K87" s="10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8" t="n"/>
      <c r="G88" s="8">
        <f>IF(OR(E88="",F88=""),"",E88*F88)</f>
        <v/>
      </c>
      <c r="H88" s="2" t="n"/>
      <c r="I88" s="2" t="n"/>
      <c r="J88" s="10" t="n"/>
      <c r="K88" s="10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8" t="n"/>
      <c r="G89" s="8">
        <f>IF(OR(E89="",F89=""),"",E89*F89)</f>
        <v/>
      </c>
      <c r="H89" s="2" t="n"/>
      <c r="I89" s="2" t="n"/>
      <c r="J89" s="10" t="n"/>
      <c r="K89" s="10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8" t="n"/>
      <c r="G90" s="8">
        <f>IF(OR(E90="",F90=""),"",E90*F90)</f>
        <v/>
      </c>
      <c r="H90" s="2" t="n"/>
      <c r="I90" s="2" t="n"/>
      <c r="J90" s="10" t="n"/>
      <c r="K90" s="10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8" t="n"/>
      <c r="G91" s="8">
        <f>IF(OR(E91="",F91=""),"",E91*F91)</f>
        <v/>
      </c>
      <c r="H91" s="2" t="n"/>
      <c r="I91" s="2" t="n"/>
      <c r="J91" s="10" t="n"/>
      <c r="K91" s="10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8" t="n"/>
      <c r="G92" s="8">
        <f>IF(OR(E92="",F92=""),"",E92*F92)</f>
        <v/>
      </c>
      <c r="H92" s="2" t="n"/>
      <c r="I92" s="2" t="n"/>
      <c r="J92" s="10" t="n"/>
      <c r="K92" s="10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8" t="n"/>
      <c r="G93" s="8">
        <f>IF(OR(E93="",F93=""),"",E93*F93)</f>
        <v/>
      </c>
      <c r="H93" s="2" t="n"/>
      <c r="I93" s="2" t="n"/>
      <c r="J93" s="10" t="n"/>
      <c r="K93" s="10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8" t="n"/>
      <c r="G94" s="8">
        <f>IF(OR(E94="",F94=""),"",E94*F94)</f>
        <v/>
      </c>
      <c r="H94" s="2" t="n"/>
      <c r="I94" s="2" t="n"/>
      <c r="J94" s="10" t="n"/>
      <c r="K94" s="10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8" t="n"/>
      <c r="G95" s="8">
        <f>IF(OR(E95="",F95=""),"",E95*F95)</f>
        <v/>
      </c>
      <c r="H95" s="2" t="n"/>
      <c r="I95" s="2" t="n"/>
      <c r="J95" s="10" t="n"/>
      <c r="K95" s="10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8" t="n"/>
      <c r="G96" s="8">
        <f>IF(OR(E96="",F96=""),"",E96*F96)</f>
        <v/>
      </c>
      <c r="H96" s="2" t="n"/>
      <c r="I96" s="2" t="n"/>
      <c r="J96" s="10" t="n"/>
      <c r="K96" s="10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8" t="n"/>
      <c r="G97" s="8">
        <f>IF(OR(E97="",F97=""),"",E97*F97)</f>
        <v/>
      </c>
      <c r="H97" s="2" t="n"/>
      <c r="I97" s="2" t="n"/>
      <c r="J97" s="10" t="n"/>
      <c r="K97" s="10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8" t="n"/>
      <c r="G98" s="8">
        <f>IF(OR(E98="",F98=""),"",E98*F98)</f>
        <v/>
      </c>
      <c r="H98" s="2" t="n"/>
      <c r="I98" s="2" t="n"/>
      <c r="J98" s="10" t="n"/>
      <c r="K98" s="10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8" t="n"/>
      <c r="G99" s="8">
        <f>IF(OR(E99="",F99=""),"",E99*F99)</f>
        <v/>
      </c>
      <c r="H99" s="2" t="n"/>
      <c r="I99" s="2" t="n"/>
      <c r="J99" s="10" t="n"/>
      <c r="K99" s="10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8" t="n"/>
      <c r="G100" s="8">
        <f>IF(OR(E100="",F100=""),"",E100*F100)</f>
        <v/>
      </c>
      <c r="H100" s="2" t="n"/>
      <c r="I100" s="2" t="n"/>
      <c r="J100" s="10" t="n"/>
      <c r="K100" s="10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8" t="n"/>
      <c r="G101" s="8">
        <f>IF(OR(E101="",F101=""),"",E101*F101)</f>
        <v/>
      </c>
      <c r="H101" s="2" t="n"/>
      <c r="I101" s="2" t="n"/>
      <c r="J101" s="10" t="n"/>
      <c r="K101" s="10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8" t="n"/>
      <c r="G102" s="8">
        <f>IF(OR(E102="",F102=""),"",E102*F102)</f>
        <v/>
      </c>
      <c r="H102" s="2" t="n"/>
      <c r="I102" s="2" t="n"/>
      <c r="J102" s="10" t="n"/>
      <c r="K102" s="10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8" t="n"/>
      <c r="G103" s="8">
        <f>IF(OR(E103="",F103=""),"",E103*F103)</f>
        <v/>
      </c>
      <c r="H103" s="2" t="n"/>
      <c r="I103" s="2" t="n"/>
      <c r="J103" s="10" t="n"/>
      <c r="K103" s="10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8" t="n"/>
      <c r="G104" s="8">
        <f>IF(OR(E104="",F104=""),"",E104*F104)</f>
        <v/>
      </c>
      <c r="H104" s="2" t="n"/>
      <c r="I104" s="2" t="n"/>
      <c r="J104" s="10" t="n"/>
      <c r="K104" s="10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8" t="n"/>
      <c r="G105" s="8">
        <f>IF(OR(E105="",F105=""),"",E105*F105)</f>
        <v/>
      </c>
      <c r="H105" s="2" t="n"/>
      <c r="I105" s="2" t="n"/>
      <c r="J105" s="10" t="n"/>
      <c r="K105" s="10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8" t="n"/>
      <c r="G106" s="8">
        <f>IF(OR(E106="",F106=""),"",E106*F106)</f>
        <v/>
      </c>
      <c r="H106" s="2" t="n"/>
      <c r="I106" s="2" t="n"/>
      <c r="J106" s="10" t="n"/>
      <c r="K106" s="10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8" t="n"/>
      <c r="G107" s="8">
        <f>IF(OR(E107="",F107=""),"",E107*F107)</f>
        <v/>
      </c>
      <c r="H107" s="2" t="n"/>
      <c r="I107" s="2" t="n"/>
      <c r="J107" s="10" t="n"/>
      <c r="K107" s="10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8" t="n"/>
      <c r="G108" s="8">
        <f>IF(OR(E108="",F108=""),"",E108*F108)</f>
        <v/>
      </c>
      <c r="H108" s="2" t="n"/>
      <c r="I108" s="2" t="n"/>
      <c r="J108" s="10" t="n"/>
      <c r="K108" s="10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8" t="n"/>
      <c r="G109" s="8">
        <f>IF(OR(E109="",F109=""),"",E109*F109)</f>
        <v/>
      </c>
      <c r="H109" s="2" t="n"/>
      <c r="I109" s="2" t="n"/>
      <c r="J109" s="10" t="n"/>
      <c r="K109" s="10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8" t="n"/>
      <c r="G110" s="8">
        <f>IF(OR(E110="",F110=""),"",E110*F110)</f>
        <v/>
      </c>
      <c r="H110" s="2" t="n"/>
      <c r="I110" s="2" t="n"/>
      <c r="J110" s="10" t="n"/>
      <c r="K110" s="10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8" t="n"/>
      <c r="G111" s="8">
        <f>IF(OR(E111="",F111=""),"",E111*F111)</f>
        <v/>
      </c>
      <c r="H111" s="2" t="n"/>
      <c r="I111" s="2" t="n"/>
      <c r="J111" s="10" t="n"/>
      <c r="K111" s="10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8" t="n"/>
      <c r="G112" s="8">
        <f>IF(OR(E112="",F112=""),"",E112*F112)</f>
        <v/>
      </c>
      <c r="H112" s="2" t="n"/>
      <c r="I112" s="2" t="n"/>
      <c r="J112" s="10" t="n"/>
      <c r="K112" s="10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8" t="n"/>
      <c r="G113" s="8">
        <f>IF(OR(E113="",F113=""),"",E113*F113)</f>
        <v/>
      </c>
      <c r="H113" s="2" t="n"/>
      <c r="I113" s="2" t="n"/>
      <c r="J113" s="10" t="n"/>
      <c r="K113" s="10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8" t="n"/>
      <c r="G114" s="8">
        <f>IF(OR(E114="",F114=""),"",E114*F114)</f>
        <v/>
      </c>
      <c r="H114" s="2" t="n"/>
      <c r="I114" s="2" t="n"/>
      <c r="J114" s="10" t="n"/>
      <c r="K114" s="10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8" t="n"/>
      <c r="G115" s="8">
        <f>IF(OR(E115="",F115=""),"",E115*F115)</f>
        <v/>
      </c>
      <c r="H115" s="2" t="n"/>
      <c r="I115" s="2" t="n"/>
      <c r="J115" s="10" t="n"/>
      <c r="K115" s="10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8" t="n"/>
      <c r="G116" s="8">
        <f>IF(OR(E116="",F116=""),"",E116*F116)</f>
        <v/>
      </c>
      <c r="H116" s="2" t="n"/>
      <c r="I116" s="2" t="n"/>
      <c r="J116" s="10" t="n"/>
      <c r="K116" s="10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8" t="n"/>
      <c r="G117" s="8">
        <f>IF(OR(E117="",F117=""),"",E117*F117)</f>
        <v/>
      </c>
      <c r="H117" s="2" t="n"/>
      <c r="I117" s="2" t="n"/>
      <c r="J117" s="10" t="n"/>
      <c r="K117" s="10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8" t="n"/>
      <c r="G118" s="8">
        <f>IF(OR(E118="",F118=""),"",E118*F118)</f>
        <v/>
      </c>
      <c r="H118" s="2" t="n"/>
      <c r="I118" s="2" t="n"/>
      <c r="J118" s="10" t="n"/>
      <c r="K118" s="10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8" t="n"/>
      <c r="G119" s="8">
        <f>IF(OR(E119="",F119=""),"",E119*F119)</f>
        <v/>
      </c>
      <c r="H119" s="2" t="n"/>
      <c r="I119" s="2" t="n"/>
      <c r="J119" s="10" t="n"/>
      <c r="K119" s="10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8" t="n"/>
      <c r="G120" s="8">
        <f>IF(OR(E120="",F120=""),"",E120*F120)</f>
        <v/>
      </c>
      <c r="H120" s="2" t="n"/>
      <c r="I120" s="2" t="n"/>
      <c r="J120" s="10" t="n"/>
      <c r="K120" s="10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8" t="n"/>
      <c r="G121" s="8">
        <f>IF(OR(E121="",F121=""),"",E121*F121)</f>
        <v/>
      </c>
      <c r="H121" s="2" t="n"/>
      <c r="I121" s="2" t="n"/>
      <c r="J121" s="10" t="n"/>
      <c r="K121" s="10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8" t="n"/>
      <c r="G122" s="8">
        <f>IF(OR(E122="",F122=""),"",E122*F122)</f>
        <v/>
      </c>
      <c r="H122" s="2" t="n"/>
      <c r="I122" s="2" t="n"/>
      <c r="J122" s="10" t="n"/>
      <c r="K122" s="10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8" t="n"/>
      <c r="G123" s="8">
        <f>IF(OR(E123="",F123=""),"",E123*F123)</f>
        <v/>
      </c>
      <c r="H123" s="2" t="n"/>
      <c r="I123" s="2" t="n"/>
      <c r="J123" s="10" t="n"/>
      <c r="K123" s="10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8" t="n"/>
      <c r="G124" s="8">
        <f>IF(OR(E124="",F124=""),"",E124*F124)</f>
        <v/>
      </c>
      <c r="H124" s="2" t="n"/>
      <c r="I124" s="2" t="n"/>
      <c r="J124" s="10" t="n"/>
      <c r="K124" s="10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8" t="n"/>
      <c r="G125" s="8">
        <f>IF(OR(E125="",F125=""),"",E125*F125)</f>
        <v/>
      </c>
      <c r="H125" s="2" t="n"/>
      <c r="I125" s="2" t="n"/>
      <c r="J125" s="10" t="n"/>
      <c r="K125" s="10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8" t="n"/>
      <c r="G126" s="8">
        <f>IF(OR(E126="",F126=""),"",E126*F126)</f>
        <v/>
      </c>
      <c r="H126" s="2" t="n"/>
      <c r="I126" s="2" t="n"/>
      <c r="J126" s="10" t="n"/>
      <c r="K126" s="10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8" t="n"/>
      <c r="G127" s="8">
        <f>IF(OR(E127="",F127=""),"",E127*F127)</f>
        <v/>
      </c>
      <c r="H127" s="2" t="n"/>
      <c r="I127" s="2" t="n"/>
      <c r="J127" s="10" t="n"/>
      <c r="K127" s="10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8" t="n"/>
      <c r="G128" s="8">
        <f>IF(OR(E128="",F128=""),"",E128*F128)</f>
        <v/>
      </c>
      <c r="H128" s="2" t="n"/>
      <c r="I128" s="2" t="n"/>
      <c r="J128" s="10" t="n"/>
      <c r="K128" s="10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8" t="n"/>
      <c r="G129" s="8">
        <f>IF(OR(E129="",F129=""),"",E129*F129)</f>
        <v/>
      </c>
      <c r="H129" s="2" t="n"/>
      <c r="I129" s="2" t="n"/>
      <c r="J129" s="10" t="n"/>
      <c r="K129" s="10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8" t="n"/>
      <c r="G130" s="8">
        <f>IF(OR(E130="",F130=""),"",E130*F130)</f>
        <v/>
      </c>
      <c r="H130" s="2" t="n"/>
      <c r="I130" s="2" t="n"/>
      <c r="J130" s="10" t="n"/>
      <c r="K130" s="10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8" t="n"/>
      <c r="G131" s="8">
        <f>IF(OR(E131="",F131=""),"",E131*F131)</f>
        <v/>
      </c>
      <c r="H131" s="2" t="n"/>
      <c r="I131" s="2" t="n"/>
      <c r="J131" s="10" t="n"/>
      <c r="K131" s="10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8" t="n"/>
      <c r="G132" s="8">
        <f>IF(OR(E132="",F132=""),"",E132*F132)</f>
        <v/>
      </c>
      <c r="H132" s="2" t="n"/>
      <c r="I132" s="2" t="n"/>
      <c r="J132" s="10" t="n"/>
      <c r="K132" s="10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8" t="n"/>
      <c r="G133" s="8">
        <f>IF(OR(E133="",F133=""),"",E133*F133)</f>
        <v/>
      </c>
      <c r="H133" s="2" t="n"/>
      <c r="I133" s="2" t="n"/>
      <c r="J133" s="10" t="n"/>
      <c r="K133" s="10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8" t="n"/>
      <c r="G134" s="8">
        <f>IF(OR(E134="",F134=""),"",E134*F134)</f>
        <v/>
      </c>
      <c r="H134" s="2" t="n"/>
      <c r="I134" s="2" t="n"/>
      <c r="J134" s="10" t="n"/>
      <c r="K134" s="10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8" t="n"/>
      <c r="G135" s="8">
        <f>IF(OR(E135="",F135=""),"",E135*F135)</f>
        <v/>
      </c>
      <c r="H135" s="2" t="n"/>
      <c r="I135" s="2" t="n"/>
      <c r="J135" s="10" t="n"/>
      <c r="K135" s="10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8" t="n"/>
      <c r="G136" s="8">
        <f>IF(OR(E136="",F136=""),"",E136*F136)</f>
        <v/>
      </c>
      <c r="H136" s="2" t="n"/>
      <c r="I136" s="2" t="n"/>
      <c r="J136" s="10" t="n"/>
      <c r="K136" s="10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8" t="n"/>
      <c r="G137" s="8">
        <f>IF(OR(E137="",F137=""),"",E137*F137)</f>
        <v/>
      </c>
      <c r="H137" s="2" t="n"/>
      <c r="I137" s="2" t="n"/>
      <c r="J137" s="10" t="n"/>
      <c r="K137" s="10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8" t="n"/>
      <c r="G138" s="8">
        <f>IF(OR(E138="",F138=""),"",E138*F138)</f>
        <v/>
      </c>
      <c r="H138" s="2" t="n"/>
      <c r="I138" s="2" t="n"/>
      <c r="J138" s="10" t="n"/>
      <c r="K138" s="10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8" t="n"/>
      <c r="G139" s="8">
        <f>IF(OR(E139="",F139=""),"",E139*F139)</f>
        <v/>
      </c>
      <c r="H139" s="2" t="n"/>
      <c r="I139" s="2" t="n"/>
      <c r="J139" s="10" t="n"/>
      <c r="K139" s="10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8" t="n"/>
      <c r="G140" s="8">
        <f>IF(OR(E140="",F140=""),"",E140*F140)</f>
        <v/>
      </c>
      <c r="H140" s="2" t="n"/>
      <c r="I140" s="2" t="n"/>
      <c r="J140" s="10" t="n"/>
      <c r="K140" s="10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8" t="n"/>
      <c r="G141" s="8">
        <f>IF(OR(E141="",F141=""),"",E141*F141)</f>
        <v/>
      </c>
      <c r="H141" s="2" t="n"/>
      <c r="I141" s="2" t="n"/>
      <c r="J141" s="10" t="n"/>
      <c r="K141" s="10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8" t="n"/>
      <c r="G142" s="8">
        <f>IF(OR(E142="",F142=""),"",E142*F142)</f>
        <v/>
      </c>
      <c r="H142" s="2" t="n"/>
      <c r="I142" s="2" t="n"/>
      <c r="J142" s="10" t="n"/>
      <c r="K142" s="10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8" t="n"/>
      <c r="G143" s="8">
        <f>IF(OR(E143="",F143=""),"",E143*F143)</f>
        <v/>
      </c>
      <c r="H143" s="2" t="n"/>
      <c r="I143" s="2" t="n"/>
      <c r="J143" s="10" t="n"/>
      <c r="K143" s="10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8" t="n"/>
      <c r="G144" s="8">
        <f>IF(OR(E144="",F144=""),"",E144*F144)</f>
        <v/>
      </c>
      <c r="H144" s="2" t="n"/>
      <c r="I144" s="2" t="n"/>
      <c r="J144" s="10" t="n"/>
      <c r="K144" s="10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8" t="n"/>
      <c r="G145" s="8">
        <f>IF(OR(E145="",F145=""),"",E145*F145)</f>
        <v/>
      </c>
      <c r="H145" s="2" t="n"/>
      <c r="I145" s="2" t="n"/>
      <c r="J145" s="10" t="n"/>
      <c r="K145" s="10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8" t="n"/>
      <c r="G146" s="8">
        <f>IF(OR(E146="",F146=""),"",E146*F146)</f>
        <v/>
      </c>
      <c r="H146" s="2" t="n"/>
      <c r="I146" s="2" t="n"/>
      <c r="J146" s="10" t="n"/>
      <c r="K146" s="10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8" t="n"/>
      <c r="G147" s="8">
        <f>IF(OR(E147="",F147=""),"",E147*F147)</f>
        <v/>
      </c>
      <c r="H147" s="2" t="n"/>
      <c r="I147" s="2" t="n"/>
      <c r="J147" s="10" t="n"/>
      <c r="K147" s="10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8" t="n"/>
      <c r="G148" s="8">
        <f>IF(OR(E148="",F148=""),"",E148*F148)</f>
        <v/>
      </c>
      <c r="H148" s="2" t="n"/>
      <c r="I148" s="2" t="n"/>
      <c r="J148" s="10" t="n"/>
      <c r="K148" s="10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8" t="n"/>
      <c r="G149" s="8">
        <f>IF(OR(E149="",F149=""),"",E149*F149)</f>
        <v/>
      </c>
      <c r="H149" s="2" t="n"/>
      <c r="I149" s="2" t="n"/>
      <c r="J149" s="10" t="n"/>
      <c r="K149" s="10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8" t="n"/>
      <c r="G150" s="8">
        <f>IF(OR(E150="",F150=""),"",E150*F150)</f>
        <v/>
      </c>
      <c r="H150" s="2" t="n"/>
      <c r="I150" s="2" t="n"/>
      <c r="J150" s="10" t="n"/>
      <c r="K150" s="10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8" t="n"/>
      <c r="G151" s="8">
        <f>IF(OR(E151="",F151=""),"",E151*F151)</f>
        <v/>
      </c>
      <c r="H151" s="2" t="n"/>
      <c r="I151" s="2" t="n"/>
      <c r="J151" s="10" t="n"/>
      <c r="K151" s="10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8" t="n"/>
      <c r="G152" s="8">
        <f>IF(OR(E152="",F152=""),"",E152*F152)</f>
        <v/>
      </c>
      <c r="H152" s="2" t="n"/>
      <c r="I152" s="2" t="n"/>
      <c r="J152" s="10" t="n"/>
      <c r="K152" s="10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8" t="n"/>
      <c r="G153" s="8">
        <f>IF(OR(E153="",F153=""),"",E153*F153)</f>
        <v/>
      </c>
      <c r="H153" s="2" t="n"/>
      <c r="I153" s="2" t="n"/>
      <c r="J153" s="10" t="n"/>
      <c r="K153" s="10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8" t="n"/>
      <c r="G154" s="8">
        <f>IF(OR(E154="",F154=""),"",E154*F154)</f>
        <v/>
      </c>
      <c r="H154" s="2" t="n"/>
      <c r="I154" s="2" t="n"/>
      <c r="J154" s="10" t="n"/>
      <c r="K154" s="10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8" t="n"/>
      <c r="G155" s="8">
        <f>IF(OR(E155="",F155=""),"",E155*F155)</f>
        <v/>
      </c>
      <c r="H155" s="2" t="n"/>
      <c r="I155" s="2" t="n"/>
      <c r="J155" s="10" t="n"/>
      <c r="K155" s="10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8" t="n"/>
      <c r="G156" s="8">
        <f>IF(OR(E156="",F156=""),"",E156*F156)</f>
        <v/>
      </c>
      <c r="H156" s="2" t="n"/>
      <c r="I156" s="2" t="n"/>
      <c r="J156" s="10" t="n"/>
      <c r="K156" s="10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8" t="n"/>
      <c r="G157" s="8">
        <f>IF(OR(E157="",F157=""),"",E157*F157)</f>
        <v/>
      </c>
      <c r="H157" s="2" t="n"/>
      <c r="I157" s="2" t="n"/>
      <c r="J157" s="10" t="n"/>
      <c r="K157" s="10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8" t="n"/>
      <c r="G158" s="8">
        <f>IF(OR(E158="",F158=""),"",E158*F158)</f>
        <v/>
      </c>
      <c r="H158" s="2" t="n"/>
      <c r="I158" s="2" t="n"/>
      <c r="J158" s="10" t="n"/>
      <c r="K158" s="10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8" t="n"/>
      <c r="G159" s="8">
        <f>IF(OR(E159="",F159=""),"",E159*F159)</f>
        <v/>
      </c>
      <c r="H159" s="2" t="n"/>
      <c r="I159" s="2" t="n"/>
      <c r="J159" s="10" t="n"/>
      <c r="K159" s="10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8" t="n"/>
      <c r="G160" s="8">
        <f>IF(OR(E160="",F160=""),"",E160*F160)</f>
        <v/>
      </c>
      <c r="H160" s="2" t="n"/>
      <c r="I160" s="2" t="n"/>
      <c r="J160" s="10" t="n"/>
      <c r="K160" s="10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8" t="n"/>
      <c r="G161" s="8">
        <f>IF(OR(E161="",F161=""),"",E161*F161)</f>
        <v/>
      </c>
      <c r="H161" s="2" t="n"/>
      <c r="I161" s="2" t="n"/>
      <c r="J161" s="10" t="n"/>
      <c r="K161" s="10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8" t="n"/>
      <c r="G162" s="8">
        <f>IF(OR(E162="",F162=""),"",E162*F162)</f>
        <v/>
      </c>
      <c r="H162" s="2" t="n"/>
      <c r="I162" s="2" t="n"/>
      <c r="J162" s="10" t="n"/>
      <c r="K162" s="10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8" t="n"/>
      <c r="G163" s="8">
        <f>IF(OR(E163="",F163=""),"",E163*F163)</f>
        <v/>
      </c>
      <c r="H163" s="2" t="n"/>
      <c r="I163" s="2" t="n"/>
      <c r="J163" s="10" t="n"/>
      <c r="K163" s="10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8" t="n"/>
      <c r="G164" s="8">
        <f>IF(OR(E164="",F164=""),"",E164*F164)</f>
        <v/>
      </c>
      <c r="H164" s="2" t="n"/>
      <c r="I164" s="2" t="n"/>
      <c r="J164" s="10" t="n"/>
      <c r="K164" s="10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8" t="n"/>
      <c r="G165" s="8">
        <f>IF(OR(E165="",F165=""),"",E165*F165)</f>
        <v/>
      </c>
      <c r="H165" s="2" t="n"/>
      <c r="I165" s="2" t="n"/>
      <c r="J165" s="10" t="n"/>
      <c r="K165" s="10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8" t="n"/>
      <c r="G166" s="8">
        <f>IF(OR(E166="",F166=""),"",E166*F166)</f>
        <v/>
      </c>
      <c r="H166" s="2" t="n"/>
      <c r="I166" s="2" t="n"/>
      <c r="J166" s="10" t="n"/>
      <c r="K166" s="10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8" t="n"/>
      <c r="G167" s="8">
        <f>IF(OR(E167="",F167=""),"",E167*F167)</f>
        <v/>
      </c>
      <c r="H167" s="2" t="n"/>
      <c r="I167" s="2" t="n"/>
      <c r="J167" s="10" t="n"/>
      <c r="K167" s="10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8" t="n"/>
      <c r="G168" s="8">
        <f>IF(OR(E168="",F168=""),"",E168*F168)</f>
        <v/>
      </c>
      <c r="H168" s="2" t="n"/>
      <c r="I168" s="2" t="n"/>
      <c r="J168" s="10" t="n"/>
      <c r="K168" s="10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8" t="n"/>
      <c r="G169" s="8">
        <f>IF(OR(E169="",F169=""),"",E169*F169)</f>
        <v/>
      </c>
      <c r="H169" s="2" t="n"/>
      <c r="I169" s="2" t="n"/>
      <c r="J169" s="10" t="n"/>
      <c r="K169" s="10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8" t="n"/>
      <c r="G170" s="8">
        <f>IF(OR(E170="",F170=""),"",E170*F170)</f>
        <v/>
      </c>
      <c r="H170" s="2" t="n"/>
      <c r="I170" s="2" t="n"/>
      <c r="J170" s="10" t="n"/>
      <c r="K170" s="10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8" t="n"/>
      <c r="G171" s="8">
        <f>IF(OR(E171="",F171=""),"",E171*F171)</f>
        <v/>
      </c>
      <c r="H171" s="2" t="n"/>
      <c r="I171" s="2" t="n"/>
      <c r="J171" s="10" t="n"/>
      <c r="K171" s="10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8" t="n"/>
      <c r="G172" s="8">
        <f>IF(OR(E172="",F172=""),"",E172*F172)</f>
        <v/>
      </c>
      <c r="H172" s="2" t="n"/>
      <c r="I172" s="2" t="n"/>
      <c r="J172" s="10" t="n"/>
      <c r="K172" s="10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8" t="n"/>
      <c r="G173" s="8">
        <f>IF(OR(E173="",F173=""),"",E173*F173)</f>
        <v/>
      </c>
      <c r="H173" s="2" t="n"/>
      <c r="I173" s="2" t="n"/>
      <c r="J173" s="10" t="n"/>
      <c r="K173" s="10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8" t="n"/>
      <c r="G174" s="8">
        <f>IF(OR(E174="",F174=""),"",E174*F174)</f>
        <v/>
      </c>
      <c r="H174" s="2" t="n"/>
      <c r="I174" s="2" t="n"/>
      <c r="J174" s="10" t="n"/>
      <c r="K174" s="10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8" t="n"/>
      <c r="G175" s="8">
        <f>IF(OR(E175="",F175=""),"",E175*F175)</f>
        <v/>
      </c>
      <c r="H175" s="2" t="n"/>
      <c r="I175" s="2" t="n"/>
      <c r="J175" s="10" t="n"/>
      <c r="K175" s="10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8" t="n"/>
      <c r="G176" s="8">
        <f>IF(OR(E176="",F176=""),"",E176*F176)</f>
        <v/>
      </c>
      <c r="H176" s="2" t="n"/>
      <c r="I176" s="2" t="n"/>
      <c r="J176" s="10" t="n"/>
      <c r="K176" s="10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8" t="n"/>
      <c r="G177" s="8">
        <f>IF(OR(E177="",F177=""),"",E177*F177)</f>
        <v/>
      </c>
      <c r="H177" s="2" t="n"/>
      <c r="I177" s="2" t="n"/>
      <c r="J177" s="10" t="n"/>
      <c r="K177" s="10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8" t="n"/>
      <c r="G178" s="8">
        <f>IF(OR(E178="",F178=""),"",E178*F178)</f>
        <v/>
      </c>
      <c r="H178" s="2" t="n"/>
      <c r="I178" s="2" t="n"/>
      <c r="J178" s="10" t="n"/>
      <c r="K178" s="10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8" t="n"/>
      <c r="G179" s="8">
        <f>IF(OR(E179="",F179=""),"",E179*F179)</f>
        <v/>
      </c>
      <c r="H179" s="2" t="n"/>
      <c r="I179" s="2" t="n"/>
      <c r="J179" s="10" t="n"/>
      <c r="K179" s="10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8" t="n"/>
      <c r="G180" s="8">
        <f>IF(OR(E180="",F180=""),"",E180*F180)</f>
        <v/>
      </c>
      <c r="H180" s="2" t="n"/>
      <c r="I180" s="2" t="n"/>
      <c r="J180" s="10" t="n"/>
      <c r="K180" s="10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8" t="n"/>
      <c r="G181" s="8">
        <f>IF(OR(E181="",F181=""),"",E181*F181)</f>
        <v/>
      </c>
      <c r="H181" s="2" t="n"/>
      <c r="I181" s="2" t="n"/>
      <c r="J181" s="10" t="n"/>
      <c r="K181" s="10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8" t="n"/>
      <c r="G182" s="8">
        <f>IF(OR(E182="",F182=""),"",E182*F182)</f>
        <v/>
      </c>
      <c r="H182" s="2" t="n"/>
      <c r="I182" s="2" t="n"/>
      <c r="J182" s="10" t="n"/>
      <c r="K182" s="10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8" t="n"/>
      <c r="G183" s="8">
        <f>IF(OR(E183="",F183=""),"",E183*F183)</f>
        <v/>
      </c>
      <c r="H183" s="2" t="n"/>
      <c r="I183" s="2" t="n"/>
      <c r="J183" s="10" t="n"/>
      <c r="K183" s="10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8" t="n"/>
      <c r="G184" s="8">
        <f>IF(OR(E184="",F184=""),"",E184*F184)</f>
        <v/>
      </c>
      <c r="H184" s="2" t="n"/>
      <c r="I184" s="2" t="n"/>
      <c r="J184" s="10" t="n"/>
      <c r="K184" s="10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8" t="n"/>
      <c r="G185" s="8">
        <f>IF(OR(E185="",F185=""),"",E185*F185)</f>
        <v/>
      </c>
      <c r="H185" s="2" t="n"/>
      <c r="I185" s="2" t="n"/>
      <c r="J185" s="10" t="n"/>
      <c r="K185" s="10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8" t="n"/>
      <c r="G186" s="8">
        <f>IF(OR(E186="",F186=""),"",E186*F186)</f>
        <v/>
      </c>
      <c r="H186" s="2" t="n"/>
      <c r="I186" s="2" t="n"/>
      <c r="J186" s="10" t="n"/>
      <c r="K186" s="10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8" t="n"/>
      <c r="G187" s="8">
        <f>IF(OR(E187="",F187=""),"",E187*F187)</f>
        <v/>
      </c>
      <c r="H187" s="2" t="n"/>
      <c r="I187" s="2" t="n"/>
      <c r="J187" s="10" t="n"/>
      <c r="K187" s="10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8" t="n"/>
      <c r="G188" s="8">
        <f>IF(OR(E188="",F188=""),"",E188*F188)</f>
        <v/>
      </c>
      <c r="H188" s="2" t="n"/>
      <c r="I188" s="2" t="n"/>
      <c r="J188" s="10" t="n"/>
      <c r="K188" s="10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8" t="n"/>
      <c r="G189" s="8">
        <f>IF(OR(E189="",F189=""),"",E189*F189)</f>
        <v/>
      </c>
      <c r="H189" s="2" t="n"/>
      <c r="I189" s="2" t="n"/>
      <c r="J189" s="10" t="n"/>
      <c r="K189" s="10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8" t="n"/>
      <c r="G190" s="8">
        <f>IF(OR(E190="",F190=""),"",E190*F190)</f>
        <v/>
      </c>
      <c r="H190" s="2" t="n"/>
      <c r="I190" s="2" t="n"/>
      <c r="J190" s="10" t="n"/>
      <c r="K190" s="10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8" t="n"/>
      <c r="G191" s="8">
        <f>IF(OR(E191="",F191=""),"",E191*F191)</f>
        <v/>
      </c>
      <c r="H191" s="2" t="n"/>
      <c r="I191" s="2" t="n"/>
      <c r="J191" s="10" t="n"/>
      <c r="K191" s="10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8" t="n"/>
      <c r="G192" s="8">
        <f>IF(OR(E192="",F192=""),"",E192*F192)</f>
        <v/>
      </c>
      <c r="H192" s="2" t="n"/>
      <c r="I192" s="2" t="n"/>
      <c r="J192" s="10" t="n"/>
      <c r="K192" s="10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8" t="n"/>
      <c r="G193" s="8">
        <f>IF(OR(E193="",F193=""),"",E193*F193)</f>
        <v/>
      </c>
      <c r="H193" s="2" t="n"/>
      <c r="I193" s="2" t="n"/>
      <c r="J193" s="10" t="n"/>
      <c r="K193" s="10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8" t="n"/>
      <c r="G194" s="8">
        <f>IF(OR(E194="",F194=""),"",E194*F194)</f>
        <v/>
      </c>
      <c r="H194" s="2" t="n"/>
      <c r="I194" s="2" t="n"/>
      <c r="J194" s="10" t="n"/>
      <c r="K194" s="10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8" t="n"/>
      <c r="G195" s="8">
        <f>IF(OR(E195="",F195=""),"",E195*F195)</f>
        <v/>
      </c>
      <c r="H195" s="2" t="n"/>
      <c r="I195" s="2" t="n"/>
      <c r="J195" s="10" t="n"/>
      <c r="K195" s="10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8" t="n"/>
      <c r="G196" s="8">
        <f>IF(OR(E196="",F196=""),"",E196*F196)</f>
        <v/>
      </c>
      <c r="H196" s="2" t="n"/>
      <c r="I196" s="2" t="n"/>
      <c r="J196" s="10" t="n"/>
      <c r="K196" s="10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8" t="n"/>
      <c r="G197" s="8">
        <f>IF(OR(E197="",F197=""),"",E197*F197)</f>
        <v/>
      </c>
      <c r="H197" s="2" t="n"/>
      <c r="I197" s="2" t="n"/>
      <c r="J197" s="10" t="n"/>
      <c r="K197" s="10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8" t="n"/>
      <c r="G198" s="8">
        <f>IF(OR(E198="",F198=""),"",E198*F198)</f>
        <v/>
      </c>
      <c r="H198" s="2" t="n"/>
      <c r="I198" s="2" t="n"/>
      <c r="J198" s="10" t="n"/>
      <c r="K198" s="10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8" t="n"/>
      <c r="G199" s="8">
        <f>IF(OR(E199="",F199=""),"",E199*F199)</f>
        <v/>
      </c>
      <c r="H199" s="2" t="n"/>
      <c r="I199" s="2" t="n"/>
      <c r="J199" s="10" t="n"/>
      <c r="K199" s="10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8" t="n"/>
      <c r="G200" s="8">
        <f>IF(OR(E200="",F200=""),"",E200*F200)</f>
        <v/>
      </c>
      <c r="H200" s="2" t="n"/>
      <c r="I200" s="2" t="n"/>
      <c r="J200" s="10" t="n"/>
      <c r="K200" s="10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8" t="n"/>
      <c r="G201" s="8">
        <f>IF(OR(E201="",F201=""),"",E201*F201)</f>
        <v/>
      </c>
      <c r="H201" s="2" t="n"/>
      <c r="I201" s="2" t="n"/>
      <c r="J201" s="10" t="n"/>
      <c r="K201" s="10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8" t="n"/>
      <c r="G202" s="8">
        <f>IF(OR(E202="",F202=""),"",E202*F202)</f>
        <v/>
      </c>
      <c r="H202" s="2" t="n"/>
      <c r="I202" s="2" t="n"/>
      <c r="J202" s="10" t="n"/>
      <c r="K202" s="10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8" t="n"/>
      <c r="G203" s="8">
        <f>IF(OR(E203="",F203=""),"",E203*F203)</f>
        <v/>
      </c>
      <c r="H203" s="2" t="n"/>
      <c r="I203" s="2" t="n"/>
      <c r="J203" s="10" t="n"/>
      <c r="K203" s="10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8" t="n"/>
      <c r="G204" s="8">
        <f>IF(OR(E204="",F204=""),"",E204*F204)</f>
        <v/>
      </c>
      <c r="H204" s="2" t="n"/>
      <c r="I204" s="2" t="n"/>
      <c r="J204" s="10" t="n"/>
      <c r="K204" s="10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8" t="n"/>
      <c r="G205" s="8">
        <f>IF(OR(E205="",F205=""),"",E205*F205)</f>
        <v/>
      </c>
      <c r="H205" s="2" t="n"/>
      <c r="I205" s="2" t="n"/>
      <c r="J205" s="10" t="n"/>
      <c r="K205" s="10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8" t="n"/>
      <c r="G206" s="8">
        <f>IF(OR(E206="",F206=""),"",E206*F206)</f>
        <v/>
      </c>
      <c r="H206" s="2" t="n"/>
      <c r="I206" s="2" t="n"/>
      <c r="J206" s="10" t="n"/>
      <c r="K206" s="10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8" t="n"/>
      <c r="G207" s="8">
        <f>IF(OR(E207="",F207=""),"",E207*F207)</f>
        <v/>
      </c>
      <c r="H207" s="2" t="n"/>
      <c r="I207" s="2" t="n"/>
      <c r="J207" s="10" t="n"/>
      <c r="K207" s="10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8" t="n"/>
      <c r="G208" s="8">
        <f>IF(OR(E208="",F208=""),"",E208*F208)</f>
        <v/>
      </c>
      <c r="H208" s="2" t="n"/>
      <c r="I208" s="2" t="n"/>
      <c r="J208" s="10" t="n"/>
      <c r="K208" s="10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8" t="n"/>
      <c r="G209" s="8">
        <f>IF(OR(E209="",F209=""),"",E209*F209)</f>
        <v/>
      </c>
      <c r="H209" s="2" t="n"/>
      <c r="I209" s="2" t="n"/>
      <c r="J209" s="10" t="n"/>
      <c r="K209" s="10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8" t="n"/>
      <c r="G210" s="8">
        <f>IF(OR(E210="",F210=""),"",E210*F210)</f>
        <v/>
      </c>
      <c r="H210" s="2" t="n"/>
      <c r="I210" s="2" t="n"/>
      <c r="J210" s="10" t="n"/>
      <c r="K210" s="10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8" t="n"/>
      <c r="G211" s="8">
        <f>IF(OR(E211="",F211=""),"",E211*F211)</f>
        <v/>
      </c>
      <c r="H211" s="2" t="n"/>
      <c r="I211" s="2" t="n"/>
      <c r="J211" s="10" t="n"/>
      <c r="K211" s="10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8" t="n"/>
      <c r="G212" s="8">
        <f>IF(OR(E212="",F212=""),"",E212*F212)</f>
        <v/>
      </c>
      <c r="H212" s="2" t="n"/>
      <c r="I212" s="2" t="n"/>
      <c r="J212" s="10" t="n"/>
      <c r="K212" s="10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8" t="n"/>
      <c r="G213" s="8">
        <f>IF(OR(E213="",F213=""),"",E213*F213)</f>
        <v/>
      </c>
      <c r="H213" s="2" t="n"/>
      <c r="I213" s="2" t="n"/>
      <c r="J213" s="10" t="n"/>
      <c r="K213" s="10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8" t="n"/>
      <c r="G214" s="8">
        <f>IF(OR(E214="",F214=""),"",E214*F214)</f>
        <v/>
      </c>
      <c r="H214" s="2" t="n"/>
      <c r="I214" s="2" t="n"/>
      <c r="J214" s="10" t="n"/>
      <c r="K214" s="10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8" t="n"/>
      <c r="G215" s="8">
        <f>IF(OR(E215="",F215=""),"",E215*F215)</f>
        <v/>
      </c>
      <c r="H215" s="2" t="n"/>
      <c r="I215" s="2" t="n"/>
      <c r="J215" s="10" t="n"/>
      <c r="K215" s="10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8" t="n"/>
      <c r="G216" s="8">
        <f>IF(OR(E216="",F216=""),"",E216*F216)</f>
        <v/>
      </c>
      <c r="H216" s="2" t="n"/>
      <c r="I216" s="2" t="n"/>
      <c r="J216" s="10" t="n"/>
      <c r="K216" s="10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8" t="n"/>
      <c r="G217" s="8">
        <f>IF(OR(E217="",F217=""),"",E217*F217)</f>
        <v/>
      </c>
      <c r="H217" s="2" t="n"/>
      <c r="I217" s="2" t="n"/>
      <c r="J217" s="10" t="n"/>
      <c r="K217" s="10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8" t="n"/>
      <c r="G218" s="8">
        <f>IF(OR(E218="",F218=""),"",E218*F218)</f>
        <v/>
      </c>
      <c r="H218" s="2" t="n"/>
      <c r="I218" s="2" t="n"/>
      <c r="J218" s="10" t="n"/>
      <c r="K218" s="10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8" t="n"/>
      <c r="G219" s="8">
        <f>IF(OR(E219="",F219=""),"",E219*F219)</f>
        <v/>
      </c>
      <c r="H219" s="2" t="n"/>
      <c r="I219" s="2" t="n"/>
      <c r="J219" s="10" t="n"/>
      <c r="K219" s="10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8" t="n"/>
      <c r="G220" s="8">
        <f>IF(OR(E220="",F220=""),"",E220*F220)</f>
        <v/>
      </c>
      <c r="H220" s="2" t="n"/>
      <c r="I220" s="2" t="n"/>
      <c r="J220" s="10" t="n"/>
      <c r="K220" s="10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8" t="n"/>
      <c r="G221" s="8">
        <f>IF(OR(E221="",F221=""),"",E221*F221)</f>
        <v/>
      </c>
      <c r="H221" s="2" t="n"/>
      <c r="I221" s="2" t="n"/>
      <c r="J221" s="10" t="n"/>
      <c r="K221" s="10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8" t="n"/>
      <c r="G222" s="8">
        <f>IF(OR(E222="",F222=""),"",E222*F222)</f>
        <v/>
      </c>
      <c r="H222" s="2" t="n"/>
      <c r="I222" s="2" t="n"/>
      <c r="J222" s="10" t="n"/>
      <c r="K222" s="10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8" t="n"/>
      <c r="G223" s="8">
        <f>IF(OR(E223="",F223=""),"",E223*F223)</f>
        <v/>
      </c>
      <c r="H223" s="2" t="n"/>
      <c r="I223" s="2" t="n"/>
      <c r="J223" s="10" t="n"/>
      <c r="K223" s="10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8" t="n"/>
      <c r="G224" s="8">
        <f>IF(OR(E224="",F224=""),"",E224*F224)</f>
        <v/>
      </c>
      <c r="H224" s="2" t="n"/>
      <c r="I224" s="2" t="n"/>
      <c r="J224" s="10" t="n"/>
      <c r="K224" s="10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8" t="n"/>
      <c r="G225" s="8">
        <f>IF(OR(E225="",F225=""),"",E225*F225)</f>
        <v/>
      </c>
      <c r="H225" s="2" t="n"/>
      <c r="I225" s="2" t="n"/>
      <c r="J225" s="10" t="n"/>
      <c r="K225" s="10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8" t="n"/>
      <c r="G226" s="8">
        <f>IF(OR(E226="",F226=""),"",E226*F226)</f>
        <v/>
      </c>
      <c r="H226" s="2" t="n"/>
      <c r="I226" s="2" t="n"/>
      <c r="J226" s="10" t="n"/>
      <c r="K226" s="10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8" t="n"/>
      <c r="G227" s="8">
        <f>IF(OR(E227="",F227=""),"",E227*F227)</f>
        <v/>
      </c>
      <c r="H227" s="2" t="n"/>
      <c r="I227" s="2" t="n"/>
      <c r="J227" s="10" t="n"/>
      <c r="K227" s="10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8" t="n"/>
      <c r="G228" s="8">
        <f>IF(OR(E228="",F228=""),"",E228*F228)</f>
        <v/>
      </c>
      <c r="H228" s="2" t="n"/>
      <c r="I228" s="2" t="n"/>
      <c r="J228" s="10" t="n"/>
      <c r="K228" s="10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8" t="n"/>
      <c r="G229" s="8">
        <f>IF(OR(E229="",F229=""),"",E229*F229)</f>
        <v/>
      </c>
      <c r="H229" s="2" t="n"/>
      <c r="I229" s="2" t="n"/>
      <c r="J229" s="10" t="n"/>
      <c r="K229" s="10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8" t="n"/>
      <c r="G230" s="8">
        <f>IF(OR(E230="",F230=""),"",E230*F230)</f>
        <v/>
      </c>
      <c r="H230" s="2" t="n"/>
      <c r="I230" s="2" t="n"/>
      <c r="J230" s="10" t="n"/>
      <c r="K230" s="10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8" t="n"/>
      <c r="G231" s="8">
        <f>IF(OR(E231="",F231=""),"",E231*F231)</f>
        <v/>
      </c>
      <c r="H231" s="2" t="n"/>
      <c r="I231" s="2" t="n"/>
      <c r="J231" s="10" t="n"/>
      <c r="K231" s="10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8" t="n"/>
      <c r="G232" s="8">
        <f>IF(OR(E232="",F232=""),"",E232*F232)</f>
        <v/>
      </c>
      <c r="H232" s="2" t="n"/>
      <c r="I232" s="2" t="n"/>
      <c r="J232" s="10" t="n"/>
      <c r="K232" s="10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8" t="n"/>
      <c r="G233" s="8">
        <f>IF(OR(E233="",F233=""),"",E233*F233)</f>
        <v/>
      </c>
      <c r="H233" s="2" t="n"/>
      <c r="I233" s="2" t="n"/>
      <c r="J233" s="10" t="n"/>
      <c r="K233" s="10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8" t="n"/>
      <c r="G234" s="8">
        <f>IF(OR(E234="",F234=""),"",E234*F234)</f>
        <v/>
      </c>
      <c r="H234" s="2" t="n"/>
      <c r="I234" s="2" t="n"/>
      <c r="J234" s="10" t="n"/>
      <c r="K234" s="10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8" t="n"/>
      <c r="G235" s="8">
        <f>IF(OR(E235="",F235=""),"",E235*F235)</f>
        <v/>
      </c>
      <c r="H235" s="2" t="n"/>
      <c r="I235" s="2" t="n"/>
      <c r="J235" s="10" t="n"/>
      <c r="K235" s="10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8" t="n"/>
      <c r="G236" s="8">
        <f>IF(OR(E236="",F236=""),"",E236*F236)</f>
        <v/>
      </c>
      <c r="H236" s="2" t="n"/>
      <c r="I236" s="2" t="n"/>
      <c r="J236" s="10" t="n"/>
      <c r="K236" s="10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8" t="n"/>
      <c r="G237" s="8">
        <f>IF(OR(E237="",F237=""),"",E237*F237)</f>
        <v/>
      </c>
      <c r="H237" s="2" t="n"/>
      <c r="I237" s="2" t="n"/>
      <c r="J237" s="10" t="n"/>
      <c r="K237" s="10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8" t="n"/>
      <c r="G238" s="8">
        <f>IF(OR(E238="",F238=""),"",E238*F238)</f>
        <v/>
      </c>
      <c r="H238" s="2" t="n"/>
      <c r="I238" s="2" t="n"/>
      <c r="J238" s="10" t="n"/>
      <c r="K238" s="10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8" t="n"/>
      <c r="G239" s="8">
        <f>IF(OR(E239="",F239=""),"",E239*F239)</f>
        <v/>
      </c>
      <c r="H239" s="2" t="n"/>
      <c r="I239" s="2" t="n"/>
      <c r="J239" s="10" t="n"/>
      <c r="K239" s="10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8" t="n"/>
      <c r="G240" s="8">
        <f>IF(OR(E240="",F240=""),"",E240*F240)</f>
        <v/>
      </c>
      <c r="H240" s="2" t="n"/>
      <c r="I240" s="2" t="n"/>
      <c r="J240" s="10" t="n"/>
      <c r="K240" s="10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8" t="n"/>
      <c r="G241" s="8">
        <f>IF(OR(E241="",F241=""),"",E241*F241)</f>
        <v/>
      </c>
      <c r="H241" s="2" t="n"/>
      <c r="I241" s="2" t="n"/>
      <c r="J241" s="10" t="n"/>
      <c r="K241" s="10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8" t="n"/>
      <c r="G242" s="8">
        <f>IF(OR(E242="",F242=""),"",E242*F242)</f>
        <v/>
      </c>
      <c r="H242" s="2" t="n"/>
      <c r="I242" s="2" t="n"/>
      <c r="J242" s="10" t="n"/>
      <c r="K242" s="10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8" t="n"/>
      <c r="G243" s="8">
        <f>IF(OR(E243="",F243=""),"",E243*F243)</f>
        <v/>
      </c>
      <c r="H243" s="2" t="n"/>
      <c r="I243" s="2" t="n"/>
      <c r="J243" s="10" t="n"/>
      <c r="K243" s="10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8" t="n"/>
      <c r="G244" s="8">
        <f>IF(OR(E244="",F244=""),"",E244*F244)</f>
        <v/>
      </c>
      <c r="H244" s="2" t="n"/>
      <c r="I244" s="2" t="n"/>
      <c r="J244" s="10" t="n"/>
      <c r="K244" s="10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8" t="n"/>
      <c r="G245" s="8">
        <f>IF(OR(E245="",F245=""),"",E245*F245)</f>
        <v/>
      </c>
      <c r="H245" s="2" t="n"/>
      <c r="I245" s="2" t="n"/>
      <c r="J245" s="10" t="n"/>
      <c r="K245" s="10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8" t="n"/>
      <c r="G246" s="8">
        <f>IF(OR(E246="",F246=""),"",E246*F246)</f>
        <v/>
      </c>
      <c r="H246" s="2" t="n"/>
      <c r="I246" s="2" t="n"/>
      <c r="J246" s="10" t="n"/>
      <c r="K246" s="10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8" t="n"/>
      <c r="G247" s="8">
        <f>IF(OR(E247="",F247=""),"",E247*F247)</f>
        <v/>
      </c>
      <c r="H247" s="2" t="n"/>
      <c r="I247" s="2" t="n"/>
      <c r="J247" s="10" t="n"/>
      <c r="K247" s="10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8" t="n"/>
      <c r="G248" s="8">
        <f>IF(OR(E248="",F248=""),"",E248*F248)</f>
        <v/>
      </c>
      <c r="H248" s="2" t="n"/>
      <c r="I248" s="2" t="n"/>
      <c r="J248" s="10" t="n"/>
      <c r="K248" s="10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8" t="n"/>
      <c r="G249" s="8">
        <f>IF(OR(E249="",F249=""),"",E249*F249)</f>
        <v/>
      </c>
      <c r="H249" s="2" t="n"/>
      <c r="I249" s="2" t="n"/>
      <c r="J249" s="10" t="n"/>
      <c r="K249" s="10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8" t="n"/>
      <c r="G250" s="8">
        <f>IF(OR(E250="",F250=""),"",E250*F250)</f>
        <v/>
      </c>
      <c r="H250" s="2" t="n"/>
      <c r="I250" s="2" t="n"/>
      <c r="J250" s="10" t="n"/>
      <c r="K250" s="10" t="n"/>
      <c r="L250" s="2" t="n"/>
      <c r="M250" s="2" t="n"/>
      <c r="N250" s="2" t="n"/>
    </row>
  </sheetData>
  <dataValidations count="2">
    <dataValidation sqref="H2:H250" showDropDown="0" showInputMessage="0" showErrorMessage="0" allowBlank="1" type="list">
      <formula1>"Alta,Media,Baja"</formula1>
    </dataValidation>
    <dataValidation sqref="I2:I250" showDropDown="0" showInputMessage="0" showErrorMessage="0" allowBlank="1" type="list">
      <formula1>"Pendiente,Cotizado,Comprado,Postergado,Eliminado"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7" customWidth="1" min="9" max="9"/>
    <col width="22" customWidth="1" min="10" max="10"/>
    <col width="10" customWidth="1" min="11" max="11"/>
    <col width="11" customWidth="1" min="12" max="12"/>
    <col width="13" customWidth="1" min="13" max="13"/>
    <col width="19" customWidth="1" min="14" max="14"/>
    <col width="15" customWidth="1" min="15" max="15"/>
  </cols>
  <sheetData>
    <row r="1">
      <c r="A1" s="4" t="inlineStr">
        <is>
          <t>ID_Activo</t>
        </is>
      </c>
      <c r="B1" s="4" t="inlineStr">
        <is>
          <t>Nombre_Activo</t>
        </is>
      </c>
      <c r="C1" s="4" t="inlineStr">
        <is>
          <t>Categoria</t>
        </is>
      </c>
      <c r="D1" s="4" t="inlineStr">
        <is>
          <t>Marca</t>
        </is>
      </c>
      <c r="E1" s="4" t="inlineStr">
        <is>
          <t>Modelo</t>
        </is>
      </c>
      <c r="F1" s="4" t="inlineStr">
        <is>
          <t>Numero_Serie</t>
        </is>
      </c>
      <c r="G1" s="4" t="inlineStr">
        <is>
          <t>Fecha_Compra</t>
        </is>
      </c>
      <c r="H1" s="4" t="inlineStr">
        <is>
          <t>Valor_Compra</t>
        </is>
      </c>
      <c r="I1" s="4" t="inlineStr">
        <is>
          <t>Vida_Util_Meses</t>
        </is>
      </c>
      <c r="J1" s="4" t="inlineStr">
        <is>
          <t>Depreciacion_Mensual</t>
        </is>
      </c>
      <c r="K1" s="4" t="inlineStr">
        <is>
          <t>Estado</t>
        </is>
      </c>
      <c r="L1" s="4" t="inlineStr">
        <is>
          <t>Ubicacion</t>
        </is>
      </c>
      <c r="M1" s="4" t="inlineStr">
        <is>
          <t>Responsable</t>
        </is>
      </c>
      <c r="N1" s="4" t="inlineStr">
        <is>
          <t>Documento_Factura</t>
        </is>
      </c>
      <c r="O1" s="4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10" t="n"/>
      <c r="H2" s="8" t="n"/>
      <c r="I2" s="2" t="n"/>
      <c r="J2" s="8">
        <f>IFERROR(H2/I2,"")</f>
        <v/>
      </c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10" t="n"/>
      <c r="H3" s="8" t="n"/>
      <c r="I3" s="2" t="n"/>
      <c r="J3" s="8">
        <f>IFERROR(H3/I3,"")</f>
        <v/>
      </c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10" t="n"/>
      <c r="H4" s="8" t="n"/>
      <c r="I4" s="2" t="n"/>
      <c r="J4" s="8">
        <f>IFERROR(H4/I4,"")</f>
        <v/>
      </c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10" t="n"/>
      <c r="H5" s="8" t="n"/>
      <c r="I5" s="2" t="n"/>
      <c r="J5" s="8">
        <f>IFERROR(H5/I5,"")</f>
        <v/>
      </c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10" t="n"/>
      <c r="H6" s="8" t="n"/>
      <c r="I6" s="2" t="n"/>
      <c r="J6" s="8">
        <f>IFERROR(H6/I6,"")</f>
        <v/>
      </c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10" t="n"/>
      <c r="H7" s="8" t="n"/>
      <c r="I7" s="2" t="n"/>
      <c r="J7" s="8">
        <f>IFERROR(H7/I7,"")</f>
        <v/>
      </c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10" t="n"/>
      <c r="H8" s="8" t="n"/>
      <c r="I8" s="2" t="n"/>
      <c r="J8" s="8">
        <f>IFERROR(H8/I8,"")</f>
        <v/>
      </c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10" t="n"/>
      <c r="H9" s="8" t="n"/>
      <c r="I9" s="2" t="n"/>
      <c r="J9" s="8">
        <f>IFERROR(H9/I9,"")</f>
        <v/>
      </c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10" t="n"/>
      <c r="H10" s="8" t="n"/>
      <c r="I10" s="2" t="n"/>
      <c r="J10" s="8">
        <f>IFERROR(H10/I10,"")</f>
        <v/>
      </c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10" t="n"/>
      <c r="H11" s="8" t="n"/>
      <c r="I11" s="2" t="n"/>
      <c r="J11" s="8">
        <f>IFERROR(H11/I11,"")</f>
        <v/>
      </c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10" t="n"/>
      <c r="H12" s="8" t="n"/>
      <c r="I12" s="2" t="n"/>
      <c r="J12" s="8">
        <f>IFERROR(H12/I12,"")</f>
        <v/>
      </c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10" t="n"/>
      <c r="H13" s="8" t="n"/>
      <c r="I13" s="2" t="n"/>
      <c r="J13" s="8">
        <f>IFERROR(H13/I13,"")</f>
        <v/>
      </c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10" t="n"/>
      <c r="H14" s="8" t="n"/>
      <c r="I14" s="2" t="n"/>
      <c r="J14" s="8">
        <f>IFERROR(H14/I14,"")</f>
        <v/>
      </c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10" t="n"/>
      <c r="H15" s="8" t="n"/>
      <c r="I15" s="2" t="n"/>
      <c r="J15" s="8">
        <f>IFERROR(H15/I15,"")</f>
        <v/>
      </c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10" t="n"/>
      <c r="H16" s="8" t="n"/>
      <c r="I16" s="2" t="n"/>
      <c r="J16" s="8">
        <f>IFERROR(H16/I16,"")</f>
        <v/>
      </c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10" t="n"/>
      <c r="H17" s="8" t="n"/>
      <c r="I17" s="2" t="n"/>
      <c r="J17" s="8">
        <f>IFERROR(H17/I17,"")</f>
        <v/>
      </c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10" t="n"/>
      <c r="H18" s="8" t="n"/>
      <c r="I18" s="2" t="n"/>
      <c r="J18" s="8">
        <f>IFERROR(H18/I18,"")</f>
        <v/>
      </c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10" t="n"/>
      <c r="H19" s="8" t="n"/>
      <c r="I19" s="2" t="n"/>
      <c r="J19" s="8">
        <f>IFERROR(H19/I19,"")</f>
        <v/>
      </c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10" t="n"/>
      <c r="H20" s="8" t="n"/>
      <c r="I20" s="2" t="n"/>
      <c r="J20" s="8">
        <f>IFERROR(H20/I20,"")</f>
        <v/>
      </c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10" t="n"/>
      <c r="H21" s="8" t="n"/>
      <c r="I21" s="2" t="n"/>
      <c r="J21" s="8">
        <f>IFERROR(H21/I21,"")</f>
        <v/>
      </c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10" t="n"/>
      <c r="H22" s="8" t="n"/>
      <c r="I22" s="2" t="n"/>
      <c r="J22" s="8">
        <f>IFERROR(H22/I22,"")</f>
        <v/>
      </c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10" t="n"/>
      <c r="H23" s="8" t="n"/>
      <c r="I23" s="2" t="n"/>
      <c r="J23" s="8">
        <f>IFERROR(H23/I23,"")</f>
        <v/>
      </c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10" t="n"/>
      <c r="H24" s="8" t="n"/>
      <c r="I24" s="2" t="n"/>
      <c r="J24" s="8">
        <f>IFERROR(H24/I24,"")</f>
        <v/>
      </c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10" t="n"/>
      <c r="H25" s="8" t="n"/>
      <c r="I25" s="2" t="n"/>
      <c r="J25" s="8">
        <f>IFERROR(H25/I25,"")</f>
        <v/>
      </c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10" t="n"/>
      <c r="H26" s="8" t="n"/>
      <c r="I26" s="2" t="n"/>
      <c r="J26" s="8">
        <f>IFERROR(H26/I26,"")</f>
        <v/>
      </c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10" t="n"/>
      <c r="H27" s="8" t="n"/>
      <c r="I27" s="2" t="n"/>
      <c r="J27" s="8">
        <f>IFERROR(H27/I27,"")</f>
        <v/>
      </c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10" t="n"/>
      <c r="H28" s="8" t="n"/>
      <c r="I28" s="2" t="n"/>
      <c r="J28" s="8">
        <f>IFERROR(H28/I28,"")</f>
        <v/>
      </c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10" t="n"/>
      <c r="H29" s="8" t="n"/>
      <c r="I29" s="2" t="n"/>
      <c r="J29" s="8">
        <f>IFERROR(H29/I29,"")</f>
        <v/>
      </c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10" t="n"/>
      <c r="H30" s="8" t="n"/>
      <c r="I30" s="2" t="n"/>
      <c r="J30" s="8">
        <f>IFERROR(H30/I30,"")</f>
        <v/>
      </c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10" t="n"/>
      <c r="H31" s="8" t="n"/>
      <c r="I31" s="2" t="n"/>
      <c r="J31" s="8">
        <f>IFERROR(H31/I31,"")</f>
        <v/>
      </c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10" t="n"/>
      <c r="H32" s="8" t="n"/>
      <c r="I32" s="2" t="n"/>
      <c r="J32" s="8">
        <f>IFERROR(H32/I32,"")</f>
        <v/>
      </c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10" t="n"/>
      <c r="H33" s="8" t="n"/>
      <c r="I33" s="2" t="n"/>
      <c r="J33" s="8">
        <f>IFERROR(H33/I33,"")</f>
        <v/>
      </c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10" t="n"/>
      <c r="H34" s="8" t="n"/>
      <c r="I34" s="2" t="n"/>
      <c r="J34" s="8">
        <f>IFERROR(H34/I34,"")</f>
        <v/>
      </c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10" t="n"/>
      <c r="H35" s="8" t="n"/>
      <c r="I35" s="2" t="n"/>
      <c r="J35" s="8">
        <f>IFERROR(H35/I35,"")</f>
        <v/>
      </c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10" t="n"/>
      <c r="H36" s="8" t="n"/>
      <c r="I36" s="2" t="n"/>
      <c r="J36" s="8">
        <f>IFERROR(H36/I36,"")</f>
        <v/>
      </c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10" t="n"/>
      <c r="H37" s="8" t="n"/>
      <c r="I37" s="2" t="n"/>
      <c r="J37" s="8">
        <f>IFERROR(H37/I37,"")</f>
        <v/>
      </c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10" t="n"/>
      <c r="H38" s="8" t="n"/>
      <c r="I38" s="2" t="n"/>
      <c r="J38" s="8">
        <f>IFERROR(H38/I38,"")</f>
        <v/>
      </c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10" t="n"/>
      <c r="H39" s="8" t="n"/>
      <c r="I39" s="2" t="n"/>
      <c r="J39" s="8">
        <f>IFERROR(H39/I39,"")</f>
        <v/>
      </c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10" t="n"/>
      <c r="H40" s="8" t="n"/>
      <c r="I40" s="2" t="n"/>
      <c r="J40" s="8">
        <f>IFERROR(H40/I40,"")</f>
        <v/>
      </c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10" t="n"/>
      <c r="H41" s="8" t="n"/>
      <c r="I41" s="2" t="n"/>
      <c r="J41" s="8">
        <f>IFERROR(H41/I41,"")</f>
        <v/>
      </c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10" t="n"/>
      <c r="H42" s="8" t="n"/>
      <c r="I42" s="2" t="n"/>
      <c r="J42" s="8">
        <f>IFERROR(H42/I42,"")</f>
        <v/>
      </c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10" t="n"/>
      <c r="H43" s="8" t="n"/>
      <c r="I43" s="2" t="n"/>
      <c r="J43" s="8">
        <f>IFERROR(H43/I43,"")</f>
        <v/>
      </c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10" t="n"/>
      <c r="H44" s="8" t="n"/>
      <c r="I44" s="2" t="n"/>
      <c r="J44" s="8">
        <f>IFERROR(H44/I44,"")</f>
        <v/>
      </c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10" t="n"/>
      <c r="H45" s="8" t="n"/>
      <c r="I45" s="2" t="n"/>
      <c r="J45" s="8">
        <f>IFERROR(H45/I45,"")</f>
        <v/>
      </c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10" t="n"/>
      <c r="H46" s="8" t="n"/>
      <c r="I46" s="2" t="n"/>
      <c r="J46" s="8">
        <f>IFERROR(H46/I46,"")</f>
        <v/>
      </c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10" t="n"/>
      <c r="H47" s="8" t="n"/>
      <c r="I47" s="2" t="n"/>
      <c r="J47" s="8">
        <f>IFERROR(H47/I47,"")</f>
        <v/>
      </c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10" t="n"/>
      <c r="H48" s="8" t="n"/>
      <c r="I48" s="2" t="n"/>
      <c r="J48" s="8">
        <f>IFERROR(H48/I48,"")</f>
        <v/>
      </c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10" t="n"/>
      <c r="H49" s="8" t="n"/>
      <c r="I49" s="2" t="n"/>
      <c r="J49" s="8">
        <f>IFERROR(H49/I49,"")</f>
        <v/>
      </c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10" t="n"/>
      <c r="H50" s="8" t="n"/>
      <c r="I50" s="2" t="n"/>
      <c r="J50" s="8">
        <f>IFERROR(H50/I50,"")</f>
        <v/>
      </c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10" t="n"/>
      <c r="H51" s="8" t="n"/>
      <c r="I51" s="2" t="n"/>
      <c r="J51" s="8">
        <f>IFERROR(H51/I51,"")</f>
        <v/>
      </c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10" t="n"/>
      <c r="H52" s="8" t="n"/>
      <c r="I52" s="2" t="n"/>
      <c r="J52" s="8">
        <f>IFERROR(H52/I52,"")</f>
        <v/>
      </c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10" t="n"/>
      <c r="H53" s="8" t="n"/>
      <c r="I53" s="2" t="n"/>
      <c r="J53" s="8">
        <f>IFERROR(H53/I53,"")</f>
        <v/>
      </c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10" t="n"/>
      <c r="H54" s="8" t="n"/>
      <c r="I54" s="2" t="n"/>
      <c r="J54" s="8">
        <f>IFERROR(H54/I54,"")</f>
        <v/>
      </c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10" t="n"/>
      <c r="H55" s="8" t="n"/>
      <c r="I55" s="2" t="n"/>
      <c r="J55" s="8">
        <f>IFERROR(H55/I55,"")</f>
        <v/>
      </c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10" t="n"/>
      <c r="H56" s="8" t="n"/>
      <c r="I56" s="2" t="n"/>
      <c r="J56" s="8">
        <f>IFERROR(H56/I56,"")</f>
        <v/>
      </c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10" t="n"/>
      <c r="H57" s="8" t="n"/>
      <c r="I57" s="2" t="n"/>
      <c r="J57" s="8">
        <f>IFERROR(H57/I57,"")</f>
        <v/>
      </c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10" t="n"/>
      <c r="H58" s="8" t="n"/>
      <c r="I58" s="2" t="n"/>
      <c r="J58" s="8">
        <f>IFERROR(H58/I58,"")</f>
        <v/>
      </c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10" t="n"/>
      <c r="H59" s="8" t="n"/>
      <c r="I59" s="2" t="n"/>
      <c r="J59" s="8">
        <f>IFERROR(H59/I59,"")</f>
        <v/>
      </c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10" t="n"/>
      <c r="H60" s="8" t="n"/>
      <c r="I60" s="2" t="n"/>
      <c r="J60" s="8">
        <f>IFERROR(H60/I60,"")</f>
        <v/>
      </c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10" t="n"/>
      <c r="H61" s="8" t="n"/>
      <c r="I61" s="2" t="n"/>
      <c r="J61" s="8">
        <f>IFERROR(H61/I61,"")</f>
        <v/>
      </c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10" t="n"/>
      <c r="H62" s="8" t="n"/>
      <c r="I62" s="2" t="n"/>
      <c r="J62" s="8">
        <f>IFERROR(H62/I62,"")</f>
        <v/>
      </c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10" t="n"/>
      <c r="H63" s="8" t="n"/>
      <c r="I63" s="2" t="n"/>
      <c r="J63" s="8">
        <f>IFERROR(H63/I63,"")</f>
        <v/>
      </c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10" t="n"/>
      <c r="H64" s="8" t="n"/>
      <c r="I64" s="2" t="n"/>
      <c r="J64" s="8">
        <f>IFERROR(H64/I64,"")</f>
        <v/>
      </c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10" t="n"/>
      <c r="H65" s="8" t="n"/>
      <c r="I65" s="2" t="n"/>
      <c r="J65" s="8">
        <f>IFERROR(H65/I65,"")</f>
        <v/>
      </c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10" t="n"/>
      <c r="H66" s="8" t="n"/>
      <c r="I66" s="2" t="n"/>
      <c r="J66" s="8">
        <f>IFERROR(H66/I66,"")</f>
        <v/>
      </c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10" t="n"/>
      <c r="H67" s="8" t="n"/>
      <c r="I67" s="2" t="n"/>
      <c r="J67" s="8">
        <f>IFERROR(H67/I67,"")</f>
        <v/>
      </c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10" t="n"/>
      <c r="H68" s="8" t="n"/>
      <c r="I68" s="2" t="n"/>
      <c r="J68" s="8">
        <f>IFERROR(H68/I68,"")</f>
        <v/>
      </c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10" t="n"/>
      <c r="H69" s="8" t="n"/>
      <c r="I69" s="2" t="n"/>
      <c r="J69" s="8">
        <f>IFERROR(H69/I69,"")</f>
        <v/>
      </c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10" t="n"/>
      <c r="H70" s="8" t="n"/>
      <c r="I70" s="2" t="n"/>
      <c r="J70" s="8">
        <f>IFERROR(H70/I70,"")</f>
        <v/>
      </c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10" t="n"/>
      <c r="H71" s="8" t="n"/>
      <c r="I71" s="2" t="n"/>
      <c r="J71" s="8">
        <f>IFERROR(H71/I71,"")</f>
        <v/>
      </c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10" t="n"/>
      <c r="H72" s="8" t="n"/>
      <c r="I72" s="2" t="n"/>
      <c r="J72" s="8">
        <f>IFERROR(H72/I72,"")</f>
        <v/>
      </c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10" t="n"/>
      <c r="H73" s="8" t="n"/>
      <c r="I73" s="2" t="n"/>
      <c r="J73" s="8">
        <f>IFERROR(H73/I73,"")</f>
        <v/>
      </c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10" t="n"/>
      <c r="H74" s="8" t="n"/>
      <c r="I74" s="2" t="n"/>
      <c r="J74" s="8">
        <f>IFERROR(H74/I74,"")</f>
        <v/>
      </c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10" t="n"/>
      <c r="H75" s="8" t="n"/>
      <c r="I75" s="2" t="n"/>
      <c r="J75" s="8">
        <f>IFERROR(H75/I75,"")</f>
        <v/>
      </c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10" t="n"/>
      <c r="H76" s="8" t="n"/>
      <c r="I76" s="2" t="n"/>
      <c r="J76" s="8">
        <f>IFERROR(H76/I76,"")</f>
        <v/>
      </c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10" t="n"/>
      <c r="H77" s="8" t="n"/>
      <c r="I77" s="2" t="n"/>
      <c r="J77" s="8">
        <f>IFERROR(H77/I77,"")</f>
        <v/>
      </c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10" t="n"/>
      <c r="H78" s="8" t="n"/>
      <c r="I78" s="2" t="n"/>
      <c r="J78" s="8">
        <f>IFERROR(H78/I78,"")</f>
        <v/>
      </c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10" t="n"/>
      <c r="H79" s="8" t="n"/>
      <c r="I79" s="2" t="n"/>
      <c r="J79" s="8">
        <f>IFERROR(H79/I79,"")</f>
        <v/>
      </c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10" t="n"/>
      <c r="H80" s="8" t="n"/>
      <c r="I80" s="2" t="n"/>
      <c r="J80" s="8">
        <f>IFERROR(H80/I80,"")</f>
        <v/>
      </c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10" t="n"/>
      <c r="H81" s="8" t="n"/>
      <c r="I81" s="2" t="n"/>
      <c r="J81" s="8">
        <f>IFERROR(H81/I81,"")</f>
        <v/>
      </c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10" t="n"/>
      <c r="H82" s="8" t="n"/>
      <c r="I82" s="2" t="n"/>
      <c r="J82" s="8">
        <f>IFERROR(H82/I82,"")</f>
        <v/>
      </c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10" t="n"/>
      <c r="H83" s="8" t="n"/>
      <c r="I83" s="2" t="n"/>
      <c r="J83" s="8">
        <f>IFERROR(H83/I83,"")</f>
        <v/>
      </c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10" t="n"/>
      <c r="H84" s="8" t="n"/>
      <c r="I84" s="2" t="n"/>
      <c r="J84" s="8">
        <f>IFERROR(H84/I84,"")</f>
        <v/>
      </c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10" t="n"/>
      <c r="H85" s="8" t="n"/>
      <c r="I85" s="2" t="n"/>
      <c r="J85" s="8">
        <f>IFERROR(H85/I85,"")</f>
        <v/>
      </c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10" t="n"/>
      <c r="H86" s="8" t="n"/>
      <c r="I86" s="2" t="n"/>
      <c r="J86" s="8">
        <f>IFERROR(H86/I86,"")</f>
        <v/>
      </c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10" t="n"/>
      <c r="H87" s="8" t="n"/>
      <c r="I87" s="2" t="n"/>
      <c r="J87" s="8">
        <f>IFERROR(H87/I87,"")</f>
        <v/>
      </c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10" t="n"/>
      <c r="H88" s="8" t="n"/>
      <c r="I88" s="2" t="n"/>
      <c r="J88" s="8">
        <f>IFERROR(H88/I88,"")</f>
        <v/>
      </c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10" t="n"/>
      <c r="H89" s="8" t="n"/>
      <c r="I89" s="2" t="n"/>
      <c r="J89" s="8">
        <f>IFERROR(H89/I89,"")</f>
        <v/>
      </c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10" t="n"/>
      <c r="H90" s="8" t="n"/>
      <c r="I90" s="2" t="n"/>
      <c r="J90" s="8">
        <f>IFERROR(H90/I90,"")</f>
        <v/>
      </c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10" t="n"/>
      <c r="H91" s="8" t="n"/>
      <c r="I91" s="2" t="n"/>
      <c r="J91" s="8">
        <f>IFERROR(H91/I91,"")</f>
        <v/>
      </c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10" t="n"/>
      <c r="H92" s="8" t="n"/>
      <c r="I92" s="2" t="n"/>
      <c r="J92" s="8">
        <f>IFERROR(H92/I92,"")</f>
        <v/>
      </c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10" t="n"/>
      <c r="H93" s="8" t="n"/>
      <c r="I93" s="2" t="n"/>
      <c r="J93" s="8">
        <f>IFERROR(H93/I93,"")</f>
        <v/>
      </c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10" t="n"/>
      <c r="H94" s="8" t="n"/>
      <c r="I94" s="2" t="n"/>
      <c r="J94" s="8">
        <f>IFERROR(H94/I94,"")</f>
        <v/>
      </c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10" t="n"/>
      <c r="H95" s="8" t="n"/>
      <c r="I95" s="2" t="n"/>
      <c r="J95" s="8">
        <f>IFERROR(H95/I95,"")</f>
        <v/>
      </c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10" t="n"/>
      <c r="H96" s="8" t="n"/>
      <c r="I96" s="2" t="n"/>
      <c r="J96" s="8">
        <f>IFERROR(H96/I96,"")</f>
        <v/>
      </c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10" t="n"/>
      <c r="H97" s="8" t="n"/>
      <c r="I97" s="2" t="n"/>
      <c r="J97" s="8">
        <f>IFERROR(H97/I97,"")</f>
        <v/>
      </c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10" t="n"/>
      <c r="H98" s="8" t="n"/>
      <c r="I98" s="2" t="n"/>
      <c r="J98" s="8">
        <f>IFERROR(H98/I98,"")</f>
        <v/>
      </c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10" t="n"/>
      <c r="H99" s="8" t="n"/>
      <c r="I99" s="2" t="n"/>
      <c r="J99" s="8">
        <f>IFERROR(H99/I99,"")</f>
        <v/>
      </c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10" t="n"/>
      <c r="H100" s="8" t="n"/>
      <c r="I100" s="2" t="n"/>
      <c r="J100" s="8">
        <f>IFERROR(H100/I100,"")</f>
        <v/>
      </c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10" t="n"/>
      <c r="H101" s="8" t="n"/>
      <c r="I101" s="2" t="n"/>
      <c r="J101" s="8">
        <f>IFERROR(H101/I101,"")</f>
        <v/>
      </c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10" t="n"/>
      <c r="H102" s="8" t="n"/>
      <c r="I102" s="2" t="n"/>
      <c r="J102" s="8">
        <f>IFERROR(H102/I102,"")</f>
        <v/>
      </c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10" t="n"/>
      <c r="H103" s="8" t="n"/>
      <c r="I103" s="2" t="n"/>
      <c r="J103" s="8">
        <f>IFERROR(H103/I103,"")</f>
        <v/>
      </c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10" t="n"/>
      <c r="H104" s="8" t="n"/>
      <c r="I104" s="2" t="n"/>
      <c r="J104" s="8">
        <f>IFERROR(H104/I104,"")</f>
        <v/>
      </c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10" t="n"/>
      <c r="H105" s="8" t="n"/>
      <c r="I105" s="2" t="n"/>
      <c r="J105" s="8">
        <f>IFERROR(H105/I105,"")</f>
        <v/>
      </c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10" t="n"/>
      <c r="H106" s="8" t="n"/>
      <c r="I106" s="2" t="n"/>
      <c r="J106" s="8">
        <f>IFERROR(H106/I106,"")</f>
        <v/>
      </c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10" t="n"/>
      <c r="H107" s="8" t="n"/>
      <c r="I107" s="2" t="n"/>
      <c r="J107" s="8">
        <f>IFERROR(H107/I107,"")</f>
        <v/>
      </c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10" t="n"/>
      <c r="H108" s="8" t="n"/>
      <c r="I108" s="2" t="n"/>
      <c r="J108" s="8">
        <f>IFERROR(H108/I108,"")</f>
        <v/>
      </c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10" t="n"/>
      <c r="H109" s="8" t="n"/>
      <c r="I109" s="2" t="n"/>
      <c r="J109" s="8">
        <f>IFERROR(H109/I109,"")</f>
        <v/>
      </c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10" t="n"/>
      <c r="H110" s="8" t="n"/>
      <c r="I110" s="2" t="n"/>
      <c r="J110" s="8">
        <f>IFERROR(H110/I110,"")</f>
        <v/>
      </c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10" t="n"/>
      <c r="H111" s="8" t="n"/>
      <c r="I111" s="2" t="n"/>
      <c r="J111" s="8">
        <f>IFERROR(H111/I111,"")</f>
        <v/>
      </c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10" t="n"/>
      <c r="H112" s="8" t="n"/>
      <c r="I112" s="2" t="n"/>
      <c r="J112" s="8">
        <f>IFERROR(H112/I112,"")</f>
        <v/>
      </c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10" t="n"/>
      <c r="H113" s="8" t="n"/>
      <c r="I113" s="2" t="n"/>
      <c r="J113" s="8">
        <f>IFERROR(H113/I113,"")</f>
        <v/>
      </c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10" t="n"/>
      <c r="H114" s="8" t="n"/>
      <c r="I114" s="2" t="n"/>
      <c r="J114" s="8">
        <f>IFERROR(H114/I114,"")</f>
        <v/>
      </c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10" t="n"/>
      <c r="H115" s="8" t="n"/>
      <c r="I115" s="2" t="n"/>
      <c r="J115" s="8">
        <f>IFERROR(H115/I115,"")</f>
        <v/>
      </c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10" t="n"/>
      <c r="H116" s="8" t="n"/>
      <c r="I116" s="2" t="n"/>
      <c r="J116" s="8">
        <f>IFERROR(H116/I116,"")</f>
        <v/>
      </c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10" t="n"/>
      <c r="H117" s="8" t="n"/>
      <c r="I117" s="2" t="n"/>
      <c r="J117" s="8">
        <f>IFERROR(H117/I117,"")</f>
        <v/>
      </c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10" t="n"/>
      <c r="H118" s="8" t="n"/>
      <c r="I118" s="2" t="n"/>
      <c r="J118" s="8">
        <f>IFERROR(H118/I118,"")</f>
        <v/>
      </c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10" t="n"/>
      <c r="H119" s="8" t="n"/>
      <c r="I119" s="2" t="n"/>
      <c r="J119" s="8">
        <f>IFERROR(H119/I119,"")</f>
        <v/>
      </c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10" t="n"/>
      <c r="H120" s="8" t="n"/>
      <c r="I120" s="2" t="n"/>
      <c r="J120" s="8">
        <f>IFERROR(H120/I120,"")</f>
        <v/>
      </c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10" t="n"/>
      <c r="H121" s="8" t="n"/>
      <c r="I121" s="2" t="n"/>
      <c r="J121" s="8">
        <f>IFERROR(H121/I121,"")</f>
        <v/>
      </c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10" t="n"/>
      <c r="H122" s="8" t="n"/>
      <c r="I122" s="2" t="n"/>
      <c r="J122" s="8">
        <f>IFERROR(H122/I122,"")</f>
        <v/>
      </c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10" t="n"/>
      <c r="H123" s="8" t="n"/>
      <c r="I123" s="2" t="n"/>
      <c r="J123" s="8">
        <f>IFERROR(H123/I123,"")</f>
        <v/>
      </c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10" t="n"/>
      <c r="H124" s="8" t="n"/>
      <c r="I124" s="2" t="n"/>
      <c r="J124" s="8">
        <f>IFERROR(H124/I124,"")</f>
        <v/>
      </c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10" t="n"/>
      <c r="H125" s="8" t="n"/>
      <c r="I125" s="2" t="n"/>
      <c r="J125" s="8">
        <f>IFERROR(H125/I125,"")</f>
        <v/>
      </c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10" t="n"/>
      <c r="H126" s="8" t="n"/>
      <c r="I126" s="2" t="n"/>
      <c r="J126" s="8">
        <f>IFERROR(H126/I126,"")</f>
        <v/>
      </c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10" t="n"/>
      <c r="H127" s="8" t="n"/>
      <c r="I127" s="2" t="n"/>
      <c r="J127" s="8">
        <f>IFERROR(H127/I127,"")</f>
        <v/>
      </c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10" t="n"/>
      <c r="H128" s="8" t="n"/>
      <c r="I128" s="2" t="n"/>
      <c r="J128" s="8">
        <f>IFERROR(H128/I128,"")</f>
        <v/>
      </c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10" t="n"/>
      <c r="H129" s="8" t="n"/>
      <c r="I129" s="2" t="n"/>
      <c r="J129" s="8">
        <f>IFERROR(H129/I129,"")</f>
        <v/>
      </c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10" t="n"/>
      <c r="H130" s="8" t="n"/>
      <c r="I130" s="2" t="n"/>
      <c r="J130" s="8">
        <f>IFERROR(H130/I130,"")</f>
        <v/>
      </c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10" t="n"/>
      <c r="H131" s="8" t="n"/>
      <c r="I131" s="2" t="n"/>
      <c r="J131" s="8">
        <f>IFERROR(H131/I131,"")</f>
        <v/>
      </c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10" t="n"/>
      <c r="H132" s="8" t="n"/>
      <c r="I132" s="2" t="n"/>
      <c r="J132" s="8">
        <f>IFERROR(H132/I132,"")</f>
        <v/>
      </c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10" t="n"/>
      <c r="H133" s="8" t="n"/>
      <c r="I133" s="2" t="n"/>
      <c r="J133" s="8">
        <f>IFERROR(H133/I133,"")</f>
        <v/>
      </c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10" t="n"/>
      <c r="H134" s="8" t="n"/>
      <c r="I134" s="2" t="n"/>
      <c r="J134" s="8">
        <f>IFERROR(H134/I134,"")</f>
        <v/>
      </c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10" t="n"/>
      <c r="H135" s="8" t="n"/>
      <c r="I135" s="2" t="n"/>
      <c r="J135" s="8">
        <f>IFERROR(H135/I135,"")</f>
        <v/>
      </c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10" t="n"/>
      <c r="H136" s="8" t="n"/>
      <c r="I136" s="2" t="n"/>
      <c r="J136" s="8">
        <f>IFERROR(H136/I136,"")</f>
        <v/>
      </c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10" t="n"/>
      <c r="H137" s="8" t="n"/>
      <c r="I137" s="2" t="n"/>
      <c r="J137" s="8">
        <f>IFERROR(H137/I137,"")</f>
        <v/>
      </c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10" t="n"/>
      <c r="H138" s="8" t="n"/>
      <c r="I138" s="2" t="n"/>
      <c r="J138" s="8">
        <f>IFERROR(H138/I138,"")</f>
        <v/>
      </c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10" t="n"/>
      <c r="H139" s="8" t="n"/>
      <c r="I139" s="2" t="n"/>
      <c r="J139" s="8">
        <f>IFERROR(H139/I139,"")</f>
        <v/>
      </c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10" t="n"/>
      <c r="H140" s="8" t="n"/>
      <c r="I140" s="2" t="n"/>
      <c r="J140" s="8">
        <f>IFERROR(H140/I140,"")</f>
        <v/>
      </c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10" t="n"/>
      <c r="H141" s="8" t="n"/>
      <c r="I141" s="2" t="n"/>
      <c r="J141" s="8">
        <f>IFERROR(H141/I141,"")</f>
        <v/>
      </c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10" t="n"/>
      <c r="H142" s="8" t="n"/>
      <c r="I142" s="2" t="n"/>
      <c r="J142" s="8">
        <f>IFERROR(H142/I142,"")</f>
        <v/>
      </c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10" t="n"/>
      <c r="H143" s="8" t="n"/>
      <c r="I143" s="2" t="n"/>
      <c r="J143" s="8">
        <f>IFERROR(H143/I143,"")</f>
        <v/>
      </c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10" t="n"/>
      <c r="H144" s="8" t="n"/>
      <c r="I144" s="2" t="n"/>
      <c r="J144" s="8">
        <f>IFERROR(H144/I144,"")</f>
        <v/>
      </c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10" t="n"/>
      <c r="H145" s="8" t="n"/>
      <c r="I145" s="2" t="n"/>
      <c r="J145" s="8">
        <f>IFERROR(H145/I145,"")</f>
        <v/>
      </c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10" t="n"/>
      <c r="H146" s="8" t="n"/>
      <c r="I146" s="2" t="n"/>
      <c r="J146" s="8">
        <f>IFERROR(H146/I146,"")</f>
        <v/>
      </c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10" t="n"/>
      <c r="H147" s="8" t="n"/>
      <c r="I147" s="2" t="n"/>
      <c r="J147" s="8">
        <f>IFERROR(H147/I147,"")</f>
        <v/>
      </c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10" t="n"/>
      <c r="H148" s="8" t="n"/>
      <c r="I148" s="2" t="n"/>
      <c r="J148" s="8">
        <f>IFERROR(H148/I148,"")</f>
        <v/>
      </c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10" t="n"/>
      <c r="H149" s="8" t="n"/>
      <c r="I149" s="2" t="n"/>
      <c r="J149" s="8">
        <f>IFERROR(H149/I149,"")</f>
        <v/>
      </c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10" t="n"/>
      <c r="H150" s="8" t="n"/>
      <c r="I150" s="2" t="n"/>
      <c r="J150" s="8">
        <f>IFERROR(H150/I150,"")</f>
        <v/>
      </c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10" t="n"/>
      <c r="H151" s="8" t="n"/>
      <c r="I151" s="2" t="n"/>
      <c r="J151" s="8">
        <f>IFERROR(H151/I151,"")</f>
        <v/>
      </c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10" t="n"/>
      <c r="H152" s="8" t="n"/>
      <c r="I152" s="2" t="n"/>
      <c r="J152" s="8">
        <f>IFERROR(H152/I152,"")</f>
        <v/>
      </c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10" t="n"/>
      <c r="H153" s="8" t="n"/>
      <c r="I153" s="2" t="n"/>
      <c r="J153" s="8">
        <f>IFERROR(H153/I153,"")</f>
        <v/>
      </c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10" t="n"/>
      <c r="H154" s="8" t="n"/>
      <c r="I154" s="2" t="n"/>
      <c r="J154" s="8">
        <f>IFERROR(H154/I154,"")</f>
        <v/>
      </c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10" t="n"/>
      <c r="H155" s="8" t="n"/>
      <c r="I155" s="2" t="n"/>
      <c r="J155" s="8">
        <f>IFERROR(H155/I155,"")</f>
        <v/>
      </c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10" t="n"/>
      <c r="H156" s="8" t="n"/>
      <c r="I156" s="2" t="n"/>
      <c r="J156" s="8">
        <f>IFERROR(H156/I156,"")</f>
        <v/>
      </c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10" t="n"/>
      <c r="H157" s="8" t="n"/>
      <c r="I157" s="2" t="n"/>
      <c r="J157" s="8">
        <f>IFERROR(H157/I157,"")</f>
        <v/>
      </c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10" t="n"/>
      <c r="H158" s="8" t="n"/>
      <c r="I158" s="2" t="n"/>
      <c r="J158" s="8">
        <f>IFERROR(H158/I158,"")</f>
        <v/>
      </c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10" t="n"/>
      <c r="H159" s="8" t="n"/>
      <c r="I159" s="2" t="n"/>
      <c r="J159" s="8">
        <f>IFERROR(H159/I159,"")</f>
        <v/>
      </c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10" t="n"/>
      <c r="H160" s="8" t="n"/>
      <c r="I160" s="2" t="n"/>
      <c r="J160" s="8">
        <f>IFERROR(H160/I160,"")</f>
        <v/>
      </c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10" t="n"/>
      <c r="H161" s="8" t="n"/>
      <c r="I161" s="2" t="n"/>
      <c r="J161" s="8">
        <f>IFERROR(H161/I161,"")</f>
        <v/>
      </c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10" t="n"/>
      <c r="H162" s="8" t="n"/>
      <c r="I162" s="2" t="n"/>
      <c r="J162" s="8">
        <f>IFERROR(H162/I162,"")</f>
        <v/>
      </c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10" t="n"/>
      <c r="H163" s="8" t="n"/>
      <c r="I163" s="2" t="n"/>
      <c r="J163" s="8">
        <f>IFERROR(H163/I163,"")</f>
        <v/>
      </c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10" t="n"/>
      <c r="H164" s="8" t="n"/>
      <c r="I164" s="2" t="n"/>
      <c r="J164" s="8">
        <f>IFERROR(H164/I164,"")</f>
        <v/>
      </c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10" t="n"/>
      <c r="H165" s="8" t="n"/>
      <c r="I165" s="2" t="n"/>
      <c r="J165" s="8">
        <f>IFERROR(H165/I165,"")</f>
        <v/>
      </c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10" t="n"/>
      <c r="H166" s="8" t="n"/>
      <c r="I166" s="2" t="n"/>
      <c r="J166" s="8">
        <f>IFERROR(H166/I166,"")</f>
        <v/>
      </c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10" t="n"/>
      <c r="H167" s="8" t="n"/>
      <c r="I167" s="2" t="n"/>
      <c r="J167" s="8">
        <f>IFERROR(H167/I167,"")</f>
        <v/>
      </c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10" t="n"/>
      <c r="H168" s="8" t="n"/>
      <c r="I168" s="2" t="n"/>
      <c r="J168" s="8">
        <f>IFERROR(H168/I168,"")</f>
        <v/>
      </c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10" t="n"/>
      <c r="H169" s="8" t="n"/>
      <c r="I169" s="2" t="n"/>
      <c r="J169" s="8">
        <f>IFERROR(H169/I169,"")</f>
        <v/>
      </c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10" t="n"/>
      <c r="H170" s="8" t="n"/>
      <c r="I170" s="2" t="n"/>
      <c r="J170" s="8">
        <f>IFERROR(H170/I170,"")</f>
        <v/>
      </c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10" t="n"/>
      <c r="H171" s="8" t="n"/>
      <c r="I171" s="2" t="n"/>
      <c r="J171" s="8">
        <f>IFERROR(H171/I171,"")</f>
        <v/>
      </c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10" t="n"/>
      <c r="H172" s="8" t="n"/>
      <c r="I172" s="2" t="n"/>
      <c r="J172" s="8">
        <f>IFERROR(H172/I172,"")</f>
        <v/>
      </c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10" t="n"/>
      <c r="H173" s="8" t="n"/>
      <c r="I173" s="2" t="n"/>
      <c r="J173" s="8">
        <f>IFERROR(H173/I173,"")</f>
        <v/>
      </c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10" t="n"/>
      <c r="H174" s="8" t="n"/>
      <c r="I174" s="2" t="n"/>
      <c r="J174" s="8">
        <f>IFERROR(H174/I174,"")</f>
        <v/>
      </c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10" t="n"/>
      <c r="H175" s="8" t="n"/>
      <c r="I175" s="2" t="n"/>
      <c r="J175" s="8">
        <f>IFERROR(H175/I175,"")</f>
        <v/>
      </c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10" t="n"/>
      <c r="H176" s="8" t="n"/>
      <c r="I176" s="2" t="n"/>
      <c r="J176" s="8">
        <f>IFERROR(H176/I176,"")</f>
        <v/>
      </c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10" t="n"/>
      <c r="H177" s="8" t="n"/>
      <c r="I177" s="2" t="n"/>
      <c r="J177" s="8">
        <f>IFERROR(H177/I177,"")</f>
        <v/>
      </c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10" t="n"/>
      <c r="H178" s="8" t="n"/>
      <c r="I178" s="2" t="n"/>
      <c r="J178" s="8">
        <f>IFERROR(H178/I178,"")</f>
        <v/>
      </c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10" t="n"/>
      <c r="H179" s="8" t="n"/>
      <c r="I179" s="2" t="n"/>
      <c r="J179" s="8">
        <f>IFERROR(H179/I179,"")</f>
        <v/>
      </c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10" t="n"/>
      <c r="H180" s="8" t="n"/>
      <c r="I180" s="2" t="n"/>
      <c r="J180" s="8">
        <f>IFERROR(H180/I180,"")</f>
        <v/>
      </c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10" t="n"/>
      <c r="H181" s="8" t="n"/>
      <c r="I181" s="2" t="n"/>
      <c r="J181" s="8">
        <f>IFERROR(H181/I181,"")</f>
        <v/>
      </c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10" t="n"/>
      <c r="H182" s="8" t="n"/>
      <c r="I182" s="2" t="n"/>
      <c r="J182" s="8">
        <f>IFERROR(H182/I182,"")</f>
        <v/>
      </c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10" t="n"/>
      <c r="H183" s="8" t="n"/>
      <c r="I183" s="2" t="n"/>
      <c r="J183" s="8">
        <f>IFERROR(H183/I183,"")</f>
        <v/>
      </c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10" t="n"/>
      <c r="H184" s="8" t="n"/>
      <c r="I184" s="2" t="n"/>
      <c r="J184" s="8">
        <f>IFERROR(H184/I184,"")</f>
        <v/>
      </c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10" t="n"/>
      <c r="H185" s="8" t="n"/>
      <c r="I185" s="2" t="n"/>
      <c r="J185" s="8">
        <f>IFERROR(H185/I185,"")</f>
        <v/>
      </c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10" t="n"/>
      <c r="H186" s="8" t="n"/>
      <c r="I186" s="2" t="n"/>
      <c r="J186" s="8">
        <f>IFERROR(H186/I186,"")</f>
        <v/>
      </c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10" t="n"/>
      <c r="H187" s="8" t="n"/>
      <c r="I187" s="2" t="n"/>
      <c r="J187" s="8">
        <f>IFERROR(H187/I187,"")</f>
        <v/>
      </c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10" t="n"/>
      <c r="H188" s="8" t="n"/>
      <c r="I188" s="2" t="n"/>
      <c r="J188" s="8">
        <f>IFERROR(H188/I188,"")</f>
        <v/>
      </c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10" t="n"/>
      <c r="H189" s="8" t="n"/>
      <c r="I189" s="2" t="n"/>
      <c r="J189" s="8">
        <f>IFERROR(H189/I189,"")</f>
        <v/>
      </c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10" t="n"/>
      <c r="H190" s="8" t="n"/>
      <c r="I190" s="2" t="n"/>
      <c r="J190" s="8">
        <f>IFERROR(H190/I190,"")</f>
        <v/>
      </c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10" t="n"/>
      <c r="H191" s="8" t="n"/>
      <c r="I191" s="2" t="n"/>
      <c r="J191" s="8">
        <f>IFERROR(H191/I191,"")</f>
        <v/>
      </c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10" t="n"/>
      <c r="H192" s="8" t="n"/>
      <c r="I192" s="2" t="n"/>
      <c r="J192" s="8">
        <f>IFERROR(H192/I192,"")</f>
        <v/>
      </c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10" t="n"/>
      <c r="H193" s="8" t="n"/>
      <c r="I193" s="2" t="n"/>
      <c r="J193" s="8">
        <f>IFERROR(H193/I193,"")</f>
        <v/>
      </c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10" t="n"/>
      <c r="H194" s="8" t="n"/>
      <c r="I194" s="2" t="n"/>
      <c r="J194" s="8">
        <f>IFERROR(H194/I194,"")</f>
        <v/>
      </c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10" t="n"/>
      <c r="H195" s="8" t="n"/>
      <c r="I195" s="2" t="n"/>
      <c r="J195" s="8">
        <f>IFERROR(H195/I195,"")</f>
        <v/>
      </c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10" t="n"/>
      <c r="H196" s="8" t="n"/>
      <c r="I196" s="2" t="n"/>
      <c r="J196" s="8">
        <f>IFERROR(H196/I196,"")</f>
        <v/>
      </c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10" t="n"/>
      <c r="H197" s="8" t="n"/>
      <c r="I197" s="2" t="n"/>
      <c r="J197" s="8">
        <f>IFERROR(H197/I197,"")</f>
        <v/>
      </c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10" t="n"/>
      <c r="H198" s="8" t="n"/>
      <c r="I198" s="2" t="n"/>
      <c r="J198" s="8">
        <f>IFERROR(H198/I198,"")</f>
        <v/>
      </c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10" t="n"/>
      <c r="H199" s="8" t="n"/>
      <c r="I199" s="2" t="n"/>
      <c r="J199" s="8">
        <f>IFERROR(H199/I199,"")</f>
        <v/>
      </c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10" t="n"/>
      <c r="H200" s="8" t="n"/>
      <c r="I200" s="2" t="n"/>
      <c r="J200" s="8">
        <f>IFERROR(H200/I200,"")</f>
        <v/>
      </c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10" t="n"/>
      <c r="H201" s="8" t="n"/>
      <c r="I201" s="2" t="n"/>
      <c r="J201" s="8">
        <f>IFERROR(H201/I201,"")</f>
        <v/>
      </c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10" t="n"/>
      <c r="H202" s="8" t="n"/>
      <c r="I202" s="2" t="n"/>
      <c r="J202" s="8">
        <f>IFERROR(H202/I202,"")</f>
        <v/>
      </c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10" t="n"/>
      <c r="H203" s="8" t="n"/>
      <c r="I203" s="2" t="n"/>
      <c r="J203" s="8">
        <f>IFERROR(H203/I203,"")</f>
        <v/>
      </c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10" t="n"/>
      <c r="H204" s="8" t="n"/>
      <c r="I204" s="2" t="n"/>
      <c r="J204" s="8">
        <f>IFERROR(H204/I204,"")</f>
        <v/>
      </c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10" t="n"/>
      <c r="H205" s="8" t="n"/>
      <c r="I205" s="2" t="n"/>
      <c r="J205" s="8">
        <f>IFERROR(H205/I205,"")</f>
        <v/>
      </c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10" t="n"/>
      <c r="H206" s="8" t="n"/>
      <c r="I206" s="2" t="n"/>
      <c r="J206" s="8">
        <f>IFERROR(H206/I206,"")</f>
        <v/>
      </c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10" t="n"/>
      <c r="H207" s="8" t="n"/>
      <c r="I207" s="2" t="n"/>
      <c r="J207" s="8">
        <f>IFERROR(H207/I207,"")</f>
        <v/>
      </c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10" t="n"/>
      <c r="H208" s="8" t="n"/>
      <c r="I208" s="2" t="n"/>
      <c r="J208" s="8">
        <f>IFERROR(H208/I208,"")</f>
        <v/>
      </c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10" t="n"/>
      <c r="H209" s="8" t="n"/>
      <c r="I209" s="2" t="n"/>
      <c r="J209" s="8">
        <f>IFERROR(H209/I209,"")</f>
        <v/>
      </c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10" t="n"/>
      <c r="H210" s="8" t="n"/>
      <c r="I210" s="2" t="n"/>
      <c r="J210" s="8">
        <f>IFERROR(H210/I210,"")</f>
        <v/>
      </c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10" t="n"/>
      <c r="H211" s="8" t="n"/>
      <c r="I211" s="2" t="n"/>
      <c r="J211" s="8">
        <f>IFERROR(H211/I211,"")</f>
        <v/>
      </c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10" t="n"/>
      <c r="H212" s="8" t="n"/>
      <c r="I212" s="2" t="n"/>
      <c r="J212" s="8">
        <f>IFERROR(H212/I212,"")</f>
        <v/>
      </c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10" t="n"/>
      <c r="H213" s="8" t="n"/>
      <c r="I213" s="2" t="n"/>
      <c r="J213" s="8">
        <f>IFERROR(H213/I213,"")</f>
        <v/>
      </c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10" t="n"/>
      <c r="H214" s="8" t="n"/>
      <c r="I214" s="2" t="n"/>
      <c r="J214" s="8">
        <f>IFERROR(H214/I214,"")</f>
        <v/>
      </c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10" t="n"/>
      <c r="H215" s="8" t="n"/>
      <c r="I215" s="2" t="n"/>
      <c r="J215" s="8">
        <f>IFERROR(H215/I215,"")</f>
        <v/>
      </c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10" t="n"/>
      <c r="H216" s="8" t="n"/>
      <c r="I216" s="2" t="n"/>
      <c r="J216" s="8">
        <f>IFERROR(H216/I216,"")</f>
        <v/>
      </c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10" t="n"/>
      <c r="H217" s="8" t="n"/>
      <c r="I217" s="2" t="n"/>
      <c r="J217" s="8">
        <f>IFERROR(H217/I217,"")</f>
        <v/>
      </c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10" t="n"/>
      <c r="H218" s="8" t="n"/>
      <c r="I218" s="2" t="n"/>
      <c r="J218" s="8">
        <f>IFERROR(H218/I218,"")</f>
        <v/>
      </c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10" t="n"/>
      <c r="H219" s="8" t="n"/>
      <c r="I219" s="2" t="n"/>
      <c r="J219" s="8">
        <f>IFERROR(H219/I219,"")</f>
        <v/>
      </c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10" t="n"/>
      <c r="H220" s="8" t="n"/>
      <c r="I220" s="2" t="n"/>
      <c r="J220" s="8">
        <f>IFERROR(H220/I220,"")</f>
        <v/>
      </c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10" t="n"/>
      <c r="H221" s="8" t="n"/>
      <c r="I221" s="2" t="n"/>
      <c r="J221" s="8">
        <f>IFERROR(H221/I221,"")</f>
        <v/>
      </c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10" t="n"/>
      <c r="H222" s="8" t="n"/>
      <c r="I222" s="2" t="n"/>
      <c r="J222" s="8">
        <f>IFERROR(H222/I222,"")</f>
        <v/>
      </c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10" t="n"/>
      <c r="H223" s="8" t="n"/>
      <c r="I223" s="2" t="n"/>
      <c r="J223" s="8">
        <f>IFERROR(H223/I223,"")</f>
        <v/>
      </c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10" t="n"/>
      <c r="H224" s="8" t="n"/>
      <c r="I224" s="2" t="n"/>
      <c r="J224" s="8">
        <f>IFERROR(H224/I224,"")</f>
        <v/>
      </c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10" t="n"/>
      <c r="H225" s="8" t="n"/>
      <c r="I225" s="2" t="n"/>
      <c r="J225" s="8">
        <f>IFERROR(H225/I225,"")</f>
        <v/>
      </c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10" t="n"/>
      <c r="H226" s="8" t="n"/>
      <c r="I226" s="2" t="n"/>
      <c r="J226" s="8">
        <f>IFERROR(H226/I226,"")</f>
        <v/>
      </c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10" t="n"/>
      <c r="H227" s="8" t="n"/>
      <c r="I227" s="2" t="n"/>
      <c r="J227" s="8">
        <f>IFERROR(H227/I227,"")</f>
        <v/>
      </c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10" t="n"/>
      <c r="H228" s="8" t="n"/>
      <c r="I228" s="2" t="n"/>
      <c r="J228" s="8">
        <f>IFERROR(H228/I228,"")</f>
        <v/>
      </c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10" t="n"/>
      <c r="H229" s="8" t="n"/>
      <c r="I229" s="2" t="n"/>
      <c r="J229" s="8">
        <f>IFERROR(H229/I229,"")</f>
        <v/>
      </c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10" t="n"/>
      <c r="H230" s="8" t="n"/>
      <c r="I230" s="2" t="n"/>
      <c r="J230" s="8">
        <f>IFERROR(H230/I230,"")</f>
        <v/>
      </c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10" t="n"/>
      <c r="H231" s="8" t="n"/>
      <c r="I231" s="2" t="n"/>
      <c r="J231" s="8">
        <f>IFERROR(H231/I231,"")</f>
        <v/>
      </c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10" t="n"/>
      <c r="H232" s="8" t="n"/>
      <c r="I232" s="2" t="n"/>
      <c r="J232" s="8">
        <f>IFERROR(H232/I232,"")</f>
        <v/>
      </c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10" t="n"/>
      <c r="H233" s="8" t="n"/>
      <c r="I233" s="2" t="n"/>
      <c r="J233" s="8">
        <f>IFERROR(H233/I233,"")</f>
        <v/>
      </c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10" t="n"/>
      <c r="H234" s="8" t="n"/>
      <c r="I234" s="2" t="n"/>
      <c r="J234" s="8">
        <f>IFERROR(H234/I234,"")</f>
        <v/>
      </c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10" t="n"/>
      <c r="H235" s="8" t="n"/>
      <c r="I235" s="2" t="n"/>
      <c r="J235" s="8">
        <f>IFERROR(H235/I235,"")</f>
        <v/>
      </c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10" t="n"/>
      <c r="H236" s="8" t="n"/>
      <c r="I236" s="2" t="n"/>
      <c r="J236" s="8">
        <f>IFERROR(H236/I236,"")</f>
        <v/>
      </c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10" t="n"/>
      <c r="H237" s="8" t="n"/>
      <c r="I237" s="2" t="n"/>
      <c r="J237" s="8">
        <f>IFERROR(H237/I237,"")</f>
        <v/>
      </c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10" t="n"/>
      <c r="H238" s="8" t="n"/>
      <c r="I238" s="2" t="n"/>
      <c r="J238" s="8">
        <f>IFERROR(H238/I238,"")</f>
        <v/>
      </c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10" t="n"/>
      <c r="H239" s="8" t="n"/>
      <c r="I239" s="2" t="n"/>
      <c r="J239" s="8">
        <f>IFERROR(H239/I239,"")</f>
        <v/>
      </c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10" t="n"/>
      <c r="H240" s="8" t="n"/>
      <c r="I240" s="2" t="n"/>
      <c r="J240" s="8">
        <f>IFERROR(H240/I240,"")</f>
        <v/>
      </c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10" t="n"/>
      <c r="H241" s="8" t="n"/>
      <c r="I241" s="2" t="n"/>
      <c r="J241" s="8">
        <f>IFERROR(H241/I241,"")</f>
        <v/>
      </c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10" t="n"/>
      <c r="H242" s="8" t="n"/>
      <c r="I242" s="2" t="n"/>
      <c r="J242" s="8">
        <f>IFERROR(H242/I242,"")</f>
        <v/>
      </c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10" t="n"/>
      <c r="H243" s="8" t="n"/>
      <c r="I243" s="2" t="n"/>
      <c r="J243" s="8">
        <f>IFERROR(H243/I243,"")</f>
        <v/>
      </c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10" t="n"/>
      <c r="H244" s="8" t="n"/>
      <c r="I244" s="2" t="n"/>
      <c r="J244" s="8">
        <f>IFERROR(H244/I244,"")</f>
        <v/>
      </c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10" t="n"/>
      <c r="H245" s="8" t="n"/>
      <c r="I245" s="2" t="n"/>
      <c r="J245" s="8">
        <f>IFERROR(H245/I245,"")</f>
        <v/>
      </c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10" t="n"/>
      <c r="H246" s="8" t="n"/>
      <c r="I246" s="2" t="n"/>
      <c r="J246" s="8">
        <f>IFERROR(H246/I246,"")</f>
        <v/>
      </c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10" t="n"/>
      <c r="H247" s="8" t="n"/>
      <c r="I247" s="2" t="n"/>
      <c r="J247" s="8">
        <f>IFERROR(H247/I247,"")</f>
        <v/>
      </c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10" t="n"/>
      <c r="H248" s="8" t="n"/>
      <c r="I248" s="2" t="n"/>
      <c r="J248" s="8">
        <f>IFERROR(H248/I248,"")</f>
        <v/>
      </c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10" t="n"/>
      <c r="H249" s="8" t="n"/>
      <c r="I249" s="2" t="n"/>
      <c r="J249" s="8">
        <f>IFERROR(H249/I249,"")</f>
        <v/>
      </c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10" t="n"/>
      <c r="H250" s="8" t="n"/>
      <c r="I250" s="2" t="n"/>
      <c r="J250" s="8">
        <f>IFERROR(H250/I250,"")</f>
        <v/>
      </c>
      <c r="K250" s="2" t="n"/>
      <c r="L250" s="2" t="n"/>
      <c r="M250" s="2" t="n"/>
      <c r="N250" s="2" t="n"/>
      <c r="O250" s="2" t="n"/>
    </row>
  </sheetData>
  <dataValidations count="1">
    <dataValidation sqref="K2:K250" showDropDown="0" showInputMessage="0" showErrorMessage="0" allowBlank="1" type="list">
      <formula1>"Operativo,En mantencion,Dado de baja,Vendido,Extraviado"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34" customWidth="1" min="5" max="5"/>
    <col width="12" customWidth="1" min="6" max="6"/>
    <col width="38" customWidth="1" min="7" max="7"/>
    <col width="24" customWidth="1" min="8" max="8"/>
    <col width="15" customWidth="1" min="9" max="9"/>
    <col width="13" customWidth="1" min="10" max="10"/>
    <col width="12" customWidth="1" min="11" max="11"/>
    <col width="20" customWidth="1" min="12" max="12"/>
    <col width="15" customWidth="1" min="13" max="13"/>
  </cols>
  <sheetData>
    <row r="1">
      <c r="A1" s="4" t="inlineStr">
        <is>
          <t>ID_Gasto</t>
        </is>
      </c>
      <c r="B1" s="4" t="inlineStr">
        <is>
          <t>Mes</t>
        </is>
      </c>
      <c r="C1" s="4" t="inlineStr">
        <is>
          <t>Año</t>
        </is>
      </c>
      <c r="D1" s="4" t="inlineStr">
        <is>
          <t>Categoria</t>
        </is>
      </c>
      <c r="E1" s="4" t="inlineStr">
        <is>
          <t>Concepto</t>
        </is>
      </c>
      <c r="F1" s="4" t="inlineStr">
        <is>
          <t>Monto_Neto</t>
        </is>
      </c>
      <c r="G1" s="4" t="inlineStr">
        <is>
          <t>IVA</t>
        </is>
      </c>
      <c r="H1" s="4" t="inlineStr">
        <is>
          <t>Monto_Total</t>
        </is>
      </c>
      <c r="I1" s="4" t="inlineStr">
        <is>
          <t>Es_Recurrente</t>
        </is>
      </c>
      <c r="J1" s="4" t="inlineStr">
        <is>
          <t>Estado_Pago</t>
        </is>
      </c>
      <c r="K1" s="4" t="inlineStr">
        <is>
          <t>Fecha_Pago</t>
        </is>
      </c>
      <c r="L1" s="4" t="inlineStr">
        <is>
          <t>Documento_Respaldo</t>
        </is>
      </c>
      <c r="M1" s="4" t="inlineStr">
        <is>
          <t>Observaciones</t>
        </is>
      </c>
    </row>
    <row r="2">
      <c r="A2" s="2" t="inlineStr">
        <is>
          <t>GME-001</t>
        </is>
      </c>
      <c r="B2" s="2" t="n">
        <v>6</v>
      </c>
      <c r="C2" s="2" t="n">
        <v>2026</v>
      </c>
      <c r="D2" s="2" t="inlineStr">
        <is>
          <t>Operacion</t>
        </is>
      </c>
      <c r="E2" s="2" t="inlineStr">
        <is>
          <t>Telefonia e Internet</t>
        </is>
      </c>
      <c r="F2" s="8" t="n">
        <v>30000</v>
      </c>
      <c r="G2" s="8">
        <f>IF(F2="","",F2*Configuracion!$G$2)</f>
        <v/>
      </c>
      <c r="H2" s="8">
        <f>IF(F2="","",F2+G2)</f>
        <v/>
      </c>
      <c r="I2" s="2" t="b">
        <v>1</v>
      </c>
      <c r="J2" s="2" t="inlineStr">
        <is>
          <t>Pendiente</t>
        </is>
      </c>
      <c r="K2" s="10" t="inlineStr"/>
      <c r="L2" s="2" t="inlineStr"/>
      <c r="M2" s="2" t="inlineStr"/>
    </row>
    <row r="3">
      <c r="A3" s="2" t="inlineStr">
        <is>
          <t>GME-002</t>
        </is>
      </c>
      <c r="B3" s="2" t="n">
        <v>6</v>
      </c>
      <c r="C3" s="2" t="n">
        <v>2026</v>
      </c>
      <c r="D3" s="2" t="inlineStr">
        <is>
          <t>Operacion</t>
        </is>
      </c>
      <c r="E3" s="2" t="inlineStr">
        <is>
          <t>Hosting y servicios web</t>
        </is>
      </c>
      <c r="F3" s="8" t="n">
        <v>10000</v>
      </c>
      <c r="G3" s="8">
        <f>IF(F3="","",F3*Configuracion!$G$2)</f>
        <v/>
      </c>
      <c r="H3" s="8">
        <f>IF(F3="","",F3+G3)</f>
        <v/>
      </c>
      <c r="I3" s="2" t="b">
        <v>1</v>
      </c>
      <c r="J3" s="2" t="inlineStr">
        <is>
          <t>Pendiente</t>
        </is>
      </c>
      <c r="K3" s="10" t="inlineStr"/>
      <c r="L3" s="2" t="inlineStr"/>
      <c r="M3" s="2" t="inlineStr"/>
    </row>
    <row r="4">
      <c r="A4" s="2" t="inlineStr">
        <is>
          <t>GME-003</t>
        </is>
      </c>
      <c r="B4" s="2" t="n">
        <v>6</v>
      </c>
      <c r="C4" s="2" t="n">
        <v>2026</v>
      </c>
      <c r="D4" s="2" t="inlineStr">
        <is>
          <t>Operacion</t>
        </is>
      </c>
      <c r="E4" s="2" t="inlineStr">
        <is>
          <t>Combustible y movilizacion</t>
        </is>
      </c>
      <c r="F4" s="8" t="n">
        <v>200000</v>
      </c>
      <c r="G4" s="8">
        <f>IF(F4="","",F4*Configuracion!$G$2)</f>
        <v/>
      </c>
      <c r="H4" s="8">
        <f>IF(F4="","",F4+G4)</f>
        <v/>
      </c>
      <c r="I4" s="2" t="b">
        <v>1</v>
      </c>
      <c r="J4" s="2" t="inlineStr">
        <is>
          <t>Pendiente</t>
        </is>
      </c>
      <c r="K4" s="10" t="inlineStr"/>
      <c r="L4" s="2" t="inlineStr"/>
      <c r="M4" s="2" t="inlineStr"/>
    </row>
    <row r="5">
      <c r="A5" s="2" t="inlineStr">
        <is>
          <t>GME-004</t>
        </is>
      </c>
      <c r="B5" s="2" t="n">
        <v>6</v>
      </c>
      <c r="C5" s="2" t="n">
        <v>2026</v>
      </c>
      <c r="D5" s="2" t="inlineStr">
        <is>
          <t>Operacion</t>
        </is>
      </c>
      <c r="E5" s="2" t="inlineStr">
        <is>
          <t>Contabilidad</t>
        </is>
      </c>
      <c r="F5" s="8" t="n">
        <v>80000</v>
      </c>
      <c r="G5" s="8">
        <f>IF(F5="","",F5*Configuracion!$G$2)</f>
        <v/>
      </c>
      <c r="H5" s="8">
        <f>IF(F5="","",F5+G5)</f>
        <v/>
      </c>
      <c r="I5" s="2" t="b">
        <v>1</v>
      </c>
      <c r="J5" s="2" t="inlineStr">
        <is>
          <t>Pendiente</t>
        </is>
      </c>
      <c r="K5" s="10" t="inlineStr"/>
      <c r="L5" s="2" t="inlineStr"/>
      <c r="M5" s="2" t="inlineStr"/>
    </row>
    <row r="6">
      <c r="A6" s="2" t="inlineStr">
        <is>
          <t>GME-005</t>
        </is>
      </c>
      <c r="B6" s="2" t="n">
        <v>6</v>
      </c>
      <c r="C6" s="2" t="n">
        <v>2026</v>
      </c>
      <c r="D6" s="2" t="inlineStr">
        <is>
          <t>Operacion</t>
        </is>
      </c>
      <c r="E6" s="2" t="inlineStr">
        <is>
          <t>Imprevistos y mantencion equipos</t>
        </is>
      </c>
      <c r="F6" s="8" t="n">
        <v>100000</v>
      </c>
      <c r="G6" s="8">
        <f>IF(F6="","",F6*Configuracion!$G$2)</f>
        <v/>
      </c>
      <c r="H6" s="8">
        <f>IF(F6="","",F6+G6)</f>
        <v/>
      </c>
      <c r="I6" s="2" t="b">
        <v>1</v>
      </c>
      <c r="J6" s="2" t="inlineStr">
        <is>
          <t>Pendiente</t>
        </is>
      </c>
      <c r="K6" s="10" t="inlineStr"/>
      <c r="L6" s="2" t="inlineStr"/>
      <c r="M6" s="2" t="inlineStr"/>
    </row>
    <row r="7">
      <c r="A7" s="2" t="n"/>
      <c r="B7" s="2" t="n"/>
      <c r="C7" s="2" t="n"/>
      <c r="D7" s="2" t="n"/>
      <c r="E7" s="2" t="n"/>
      <c r="F7" s="8" t="n"/>
      <c r="G7" s="8">
        <f>IF(F7="","",F7*Configuracion!$G$2)</f>
        <v/>
      </c>
      <c r="H7" s="8">
        <f>IF(F7="","",F7+G7)</f>
        <v/>
      </c>
      <c r="I7" s="2" t="n"/>
      <c r="J7" s="2" t="n"/>
      <c r="K7" s="10" t="n"/>
      <c r="L7" s="2" t="n"/>
      <c r="M7" s="2" t="n"/>
    </row>
    <row r="8">
      <c r="A8" s="2" t="n"/>
      <c r="B8" s="2" t="n"/>
      <c r="C8" s="2" t="n"/>
      <c r="D8" s="2" t="n"/>
      <c r="E8" s="2" t="n"/>
      <c r="F8" s="8" t="n"/>
      <c r="G8" s="8">
        <f>IF(F8="","",F8*Configuracion!$G$2)</f>
        <v/>
      </c>
      <c r="H8" s="8">
        <f>IF(F8="","",F8+G8)</f>
        <v/>
      </c>
      <c r="I8" s="2" t="n"/>
      <c r="J8" s="2" t="n"/>
      <c r="K8" s="10" t="n"/>
      <c r="L8" s="2" t="n"/>
      <c r="M8" s="2" t="n"/>
    </row>
    <row r="9">
      <c r="A9" s="2" t="n"/>
      <c r="B9" s="2" t="n"/>
      <c r="C9" s="2" t="n"/>
      <c r="D9" s="2" t="n"/>
      <c r="E9" s="2" t="n"/>
      <c r="F9" s="8" t="n"/>
      <c r="G9" s="8">
        <f>IF(F9="","",F9*Configuracion!$G$2)</f>
        <v/>
      </c>
      <c r="H9" s="8">
        <f>IF(F9="","",F9+G9)</f>
        <v/>
      </c>
      <c r="I9" s="2" t="n"/>
      <c r="J9" s="2" t="n"/>
      <c r="K9" s="10" t="n"/>
      <c r="L9" s="2" t="n"/>
      <c r="M9" s="2" t="n"/>
    </row>
    <row r="10">
      <c r="A10" s="2" t="n"/>
      <c r="B10" s="2" t="n"/>
      <c r="C10" s="2" t="n"/>
      <c r="D10" s="2" t="n"/>
      <c r="E10" s="2" t="n"/>
      <c r="F10" s="8" t="n"/>
      <c r="G10" s="8">
        <f>IF(F10="","",F10*Configuracion!$G$2)</f>
        <v/>
      </c>
      <c r="H10" s="8">
        <f>IF(F10="","",F10+G10)</f>
        <v/>
      </c>
      <c r="I10" s="2" t="n"/>
      <c r="J10" s="2" t="n"/>
      <c r="K10" s="10" t="n"/>
      <c r="L10" s="2" t="n"/>
      <c r="M10" s="2" t="n"/>
    </row>
    <row r="11">
      <c r="A11" s="2" t="n"/>
      <c r="B11" s="2" t="n"/>
      <c r="C11" s="2" t="n"/>
      <c r="D11" s="2" t="n"/>
      <c r="E11" s="2" t="n"/>
      <c r="F11" s="8" t="n"/>
      <c r="G11" s="8">
        <f>IF(F11="","",F11*Configuracion!$G$2)</f>
        <v/>
      </c>
      <c r="H11" s="8">
        <f>IF(F11="","",F11+G11)</f>
        <v/>
      </c>
      <c r="I11" s="2" t="n"/>
      <c r="J11" s="2" t="n"/>
      <c r="K11" s="10" t="n"/>
      <c r="L11" s="2" t="n"/>
      <c r="M11" s="2" t="n"/>
    </row>
    <row r="12">
      <c r="A12" s="2" t="n"/>
      <c r="B12" s="2" t="n"/>
      <c r="C12" s="2" t="n"/>
      <c r="D12" s="2" t="n"/>
      <c r="E12" s="2" t="n"/>
      <c r="F12" s="8" t="n"/>
      <c r="G12" s="8">
        <f>IF(F12="","",F12*Configuracion!$G$2)</f>
        <v/>
      </c>
      <c r="H12" s="8">
        <f>IF(F12="","",F12+G12)</f>
        <v/>
      </c>
      <c r="I12" s="2" t="n"/>
      <c r="J12" s="2" t="n"/>
      <c r="K12" s="10" t="n"/>
      <c r="L12" s="2" t="n"/>
      <c r="M12" s="2" t="n"/>
    </row>
    <row r="13">
      <c r="A13" s="2" t="n"/>
      <c r="B13" s="2" t="n"/>
      <c r="C13" s="2" t="n"/>
      <c r="D13" s="2" t="n"/>
      <c r="E13" s="2" t="n"/>
      <c r="F13" s="8" t="n"/>
      <c r="G13" s="8">
        <f>IF(F13="","",F13*Configuracion!$G$2)</f>
        <v/>
      </c>
      <c r="H13" s="8">
        <f>IF(F13="","",F13+G13)</f>
        <v/>
      </c>
      <c r="I13" s="2" t="n"/>
      <c r="J13" s="2" t="n"/>
      <c r="K13" s="10" t="n"/>
      <c r="L13" s="2" t="n"/>
      <c r="M13" s="2" t="n"/>
    </row>
    <row r="14">
      <c r="A14" s="2" t="n"/>
      <c r="B14" s="2" t="n"/>
      <c r="C14" s="2" t="n"/>
      <c r="D14" s="2" t="n"/>
      <c r="E14" s="2" t="n"/>
      <c r="F14" s="8" t="n"/>
      <c r="G14" s="8">
        <f>IF(F14="","",F14*Configuracion!$G$2)</f>
        <v/>
      </c>
      <c r="H14" s="8">
        <f>IF(F14="","",F14+G14)</f>
        <v/>
      </c>
      <c r="I14" s="2" t="n"/>
      <c r="J14" s="2" t="n"/>
      <c r="K14" s="10" t="n"/>
      <c r="L14" s="2" t="n"/>
      <c r="M14" s="2" t="n"/>
    </row>
    <row r="15">
      <c r="A15" s="2" t="n"/>
      <c r="B15" s="2" t="n"/>
      <c r="C15" s="2" t="n"/>
      <c r="D15" s="2" t="n"/>
      <c r="E15" s="2" t="n"/>
      <c r="F15" s="8" t="n"/>
      <c r="G15" s="8">
        <f>IF(F15="","",F15*Configuracion!$G$2)</f>
        <v/>
      </c>
      <c r="H15" s="8">
        <f>IF(F15="","",F15+G15)</f>
        <v/>
      </c>
      <c r="I15" s="2" t="n"/>
      <c r="J15" s="2" t="n"/>
      <c r="K15" s="10" t="n"/>
      <c r="L15" s="2" t="n"/>
      <c r="M15" s="2" t="n"/>
    </row>
    <row r="16">
      <c r="A16" s="2" t="n"/>
      <c r="B16" s="2" t="n"/>
      <c r="C16" s="2" t="n"/>
      <c r="D16" s="2" t="n"/>
      <c r="E16" s="2" t="n"/>
      <c r="F16" s="8" t="n"/>
      <c r="G16" s="8">
        <f>IF(F16="","",F16*Configuracion!$G$2)</f>
        <v/>
      </c>
      <c r="H16" s="8">
        <f>IF(F16="","",F16+G16)</f>
        <v/>
      </c>
      <c r="I16" s="2" t="n"/>
      <c r="J16" s="2" t="n"/>
      <c r="K16" s="10" t="n"/>
      <c r="L16" s="2" t="n"/>
      <c r="M16" s="2" t="n"/>
    </row>
    <row r="17">
      <c r="A17" s="2" t="n"/>
      <c r="B17" s="2" t="n"/>
      <c r="C17" s="2" t="n"/>
      <c r="D17" s="2" t="n"/>
      <c r="E17" s="2" t="n"/>
      <c r="F17" s="8" t="n"/>
      <c r="G17" s="8">
        <f>IF(F17="","",F17*Configuracion!$G$2)</f>
        <v/>
      </c>
      <c r="H17" s="8">
        <f>IF(F17="","",F17+G17)</f>
        <v/>
      </c>
      <c r="I17" s="2" t="n"/>
      <c r="J17" s="2" t="n"/>
      <c r="K17" s="10" t="n"/>
      <c r="L17" s="2" t="n"/>
      <c r="M17" s="2" t="n"/>
    </row>
    <row r="18">
      <c r="A18" s="2" t="n"/>
      <c r="B18" s="2" t="n"/>
      <c r="C18" s="2" t="n"/>
      <c r="D18" s="2" t="n"/>
      <c r="E18" s="2" t="n"/>
      <c r="F18" s="8" t="n"/>
      <c r="G18" s="8">
        <f>IF(F18="","",F18*Configuracion!$G$2)</f>
        <v/>
      </c>
      <c r="H18" s="8">
        <f>IF(F18="","",F18+G18)</f>
        <v/>
      </c>
      <c r="I18" s="2" t="n"/>
      <c r="J18" s="2" t="n"/>
      <c r="K18" s="10" t="n"/>
      <c r="L18" s="2" t="n"/>
      <c r="M18" s="2" t="n"/>
    </row>
    <row r="19">
      <c r="A19" s="2" t="n"/>
      <c r="B19" s="2" t="n"/>
      <c r="C19" s="2" t="n"/>
      <c r="D19" s="2" t="n"/>
      <c r="E19" s="2" t="n"/>
      <c r="F19" s="8" t="n"/>
      <c r="G19" s="8">
        <f>IF(F19="","",F19*Configuracion!$G$2)</f>
        <v/>
      </c>
      <c r="H19" s="8">
        <f>IF(F19="","",F19+G19)</f>
        <v/>
      </c>
      <c r="I19" s="2" t="n"/>
      <c r="J19" s="2" t="n"/>
      <c r="K19" s="10" t="n"/>
      <c r="L19" s="2" t="n"/>
      <c r="M19" s="2" t="n"/>
    </row>
    <row r="20">
      <c r="A20" s="2" t="n"/>
      <c r="B20" s="2" t="n"/>
      <c r="C20" s="2" t="n"/>
      <c r="D20" s="2" t="n"/>
      <c r="E20" s="2" t="n"/>
      <c r="F20" s="8" t="n"/>
      <c r="G20" s="8">
        <f>IF(F20="","",F20*Configuracion!$G$2)</f>
        <v/>
      </c>
      <c r="H20" s="8">
        <f>IF(F20="","",F20+G20)</f>
        <v/>
      </c>
      <c r="I20" s="2" t="n"/>
      <c r="J20" s="2" t="n"/>
      <c r="K20" s="10" t="n"/>
      <c r="L20" s="2" t="n"/>
      <c r="M20" s="2" t="n"/>
    </row>
    <row r="21">
      <c r="A21" s="2" t="n"/>
      <c r="B21" s="2" t="n"/>
      <c r="C21" s="2" t="n"/>
      <c r="D21" s="2" t="n"/>
      <c r="E21" s="2" t="n"/>
      <c r="F21" s="8" t="n"/>
      <c r="G21" s="8">
        <f>IF(F21="","",F21*Configuracion!$G$2)</f>
        <v/>
      </c>
      <c r="H21" s="8">
        <f>IF(F21="","",F21+G21)</f>
        <v/>
      </c>
      <c r="I21" s="2" t="n"/>
      <c r="J21" s="2" t="n"/>
      <c r="K21" s="10" t="n"/>
      <c r="L21" s="2" t="n"/>
      <c r="M21" s="2" t="n"/>
    </row>
    <row r="22">
      <c r="A22" s="2" t="n"/>
      <c r="B22" s="2" t="n"/>
      <c r="C22" s="2" t="n"/>
      <c r="D22" s="2" t="n"/>
      <c r="E22" s="2" t="n"/>
      <c r="F22" s="8" t="n"/>
      <c r="G22" s="8">
        <f>IF(F22="","",F22*Configuracion!$G$2)</f>
        <v/>
      </c>
      <c r="H22" s="8">
        <f>IF(F22="","",F22+G22)</f>
        <v/>
      </c>
      <c r="I22" s="2" t="n"/>
      <c r="J22" s="2" t="n"/>
      <c r="K22" s="10" t="n"/>
      <c r="L22" s="2" t="n"/>
      <c r="M22" s="2" t="n"/>
    </row>
    <row r="23">
      <c r="A23" s="2" t="n"/>
      <c r="B23" s="2" t="n"/>
      <c r="C23" s="2" t="n"/>
      <c r="D23" s="2" t="n"/>
      <c r="E23" s="2" t="n"/>
      <c r="F23" s="8" t="n"/>
      <c r="G23" s="8">
        <f>IF(F23="","",F23*Configuracion!$G$2)</f>
        <v/>
      </c>
      <c r="H23" s="8">
        <f>IF(F23="","",F23+G23)</f>
        <v/>
      </c>
      <c r="I23" s="2" t="n"/>
      <c r="J23" s="2" t="n"/>
      <c r="K23" s="10" t="n"/>
      <c r="L23" s="2" t="n"/>
      <c r="M23" s="2" t="n"/>
    </row>
    <row r="24">
      <c r="A24" s="2" t="n"/>
      <c r="B24" s="2" t="n"/>
      <c r="C24" s="2" t="n"/>
      <c r="D24" s="2" t="n"/>
      <c r="E24" s="2" t="n"/>
      <c r="F24" s="8" t="n"/>
      <c r="G24" s="8">
        <f>IF(F24="","",F24*Configuracion!$G$2)</f>
        <v/>
      </c>
      <c r="H24" s="8">
        <f>IF(F24="","",F24+G24)</f>
        <v/>
      </c>
      <c r="I24" s="2" t="n"/>
      <c r="J24" s="2" t="n"/>
      <c r="K24" s="10" t="n"/>
      <c r="L24" s="2" t="n"/>
      <c r="M24" s="2" t="n"/>
    </row>
    <row r="25">
      <c r="A25" s="2" t="n"/>
      <c r="B25" s="2" t="n"/>
      <c r="C25" s="2" t="n"/>
      <c r="D25" s="2" t="n"/>
      <c r="E25" s="2" t="n"/>
      <c r="F25" s="8" t="n"/>
      <c r="G25" s="8">
        <f>IF(F25="","",F25*Configuracion!$G$2)</f>
        <v/>
      </c>
      <c r="H25" s="8">
        <f>IF(F25="","",F25+G25)</f>
        <v/>
      </c>
      <c r="I25" s="2" t="n"/>
      <c r="J25" s="2" t="n"/>
      <c r="K25" s="10" t="n"/>
      <c r="L25" s="2" t="n"/>
      <c r="M25" s="2" t="n"/>
    </row>
    <row r="26">
      <c r="A26" s="2" t="n"/>
      <c r="B26" s="2" t="n"/>
      <c r="C26" s="2" t="n"/>
      <c r="D26" s="2" t="n"/>
      <c r="E26" s="2" t="n"/>
      <c r="F26" s="8" t="n"/>
      <c r="G26" s="8">
        <f>IF(F26="","",F26*Configuracion!$G$2)</f>
        <v/>
      </c>
      <c r="H26" s="8">
        <f>IF(F26="","",F26+G26)</f>
        <v/>
      </c>
      <c r="I26" s="2" t="n"/>
      <c r="J26" s="2" t="n"/>
      <c r="K26" s="10" t="n"/>
      <c r="L26" s="2" t="n"/>
      <c r="M26" s="2" t="n"/>
    </row>
    <row r="27">
      <c r="A27" s="2" t="n"/>
      <c r="B27" s="2" t="n"/>
      <c r="C27" s="2" t="n"/>
      <c r="D27" s="2" t="n"/>
      <c r="E27" s="2" t="n"/>
      <c r="F27" s="8" t="n"/>
      <c r="G27" s="8">
        <f>IF(F27="","",F27*Configuracion!$G$2)</f>
        <v/>
      </c>
      <c r="H27" s="8">
        <f>IF(F27="","",F27+G27)</f>
        <v/>
      </c>
      <c r="I27" s="2" t="n"/>
      <c r="J27" s="2" t="n"/>
      <c r="K27" s="10" t="n"/>
      <c r="L27" s="2" t="n"/>
      <c r="M27" s="2" t="n"/>
    </row>
    <row r="28">
      <c r="A28" s="2" t="n"/>
      <c r="B28" s="2" t="n"/>
      <c r="C28" s="2" t="n"/>
      <c r="D28" s="2" t="n"/>
      <c r="E28" s="2" t="n"/>
      <c r="F28" s="8" t="n"/>
      <c r="G28" s="8">
        <f>IF(F28="","",F28*Configuracion!$G$2)</f>
        <v/>
      </c>
      <c r="H28" s="8">
        <f>IF(F28="","",F28+G28)</f>
        <v/>
      </c>
      <c r="I28" s="2" t="n"/>
      <c r="J28" s="2" t="n"/>
      <c r="K28" s="10" t="n"/>
      <c r="L28" s="2" t="n"/>
      <c r="M28" s="2" t="n"/>
    </row>
    <row r="29">
      <c r="A29" s="2" t="n"/>
      <c r="B29" s="2" t="n"/>
      <c r="C29" s="2" t="n"/>
      <c r="D29" s="2" t="n"/>
      <c r="E29" s="2" t="n"/>
      <c r="F29" s="8" t="n"/>
      <c r="G29" s="8">
        <f>IF(F29="","",F29*Configuracion!$G$2)</f>
        <v/>
      </c>
      <c r="H29" s="8">
        <f>IF(F29="","",F29+G29)</f>
        <v/>
      </c>
      <c r="I29" s="2" t="n"/>
      <c r="J29" s="2" t="n"/>
      <c r="K29" s="10" t="n"/>
      <c r="L29" s="2" t="n"/>
      <c r="M29" s="2" t="n"/>
    </row>
    <row r="30">
      <c r="A30" s="2" t="n"/>
      <c r="B30" s="2" t="n"/>
      <c r="C30" s="2" t="n"/>
      <c r="D30" s="2" t="n"/>
      <c r="E30" s="2" t="n"/>
      <c r="F30" s="8" t="n"/>
      <c r="G30" s="8">
        <f>IF(F30="","",F30*Configuracion!$G$2)</f>
        <v/>
      </c>
      <c r="H30" s="8">
        <f>IF(F30="","",F30+G30)</f>
        <v/>
      </c>
      <c r="I30" s="2" t="n"/>
      <c r="J30" s="2" t="n"/>
      <c r="K30" s="10" t="n"/>
      <c r="L30" s="2" t="n"/>
      <c r="M30" s="2" t="n"/>
    </row>
    <row r="31">
      <c r="A31" s="2" t="n"/>
      <c r="B31" s="2" t="n"/>
      <c r="C31" s="2" t="n"/>
      <c r="D31" s="2" t="n"/>
      <c r="E31" s="2" t="n"/>
      <c r="F31" s="8" t="n"/>
      <c r="G31" s="8">
        <f>IF(F31="","",F31*Configuracion!$G$2)</f>
        <v/>
      </c>
      <c r="H31" s="8">
        <f>IF(F31="","",F31+G31)</f>
        <v/>
      </c>
      <c r="I31" s="2" t="n"/>
      <c r="J31" s="2" t="n"/>
      <c r="K31" s="10" t="n"/>
      <c r="L31" s="2" t="n"/>
      <c r="M31" s="2" t="n"/>
    </row>
    <row r="32">
      <c r="A32" s="2" t="n"/>
      <c r="B32" s="2" t="n"/>
      <c r="C32" s="2" t="n"/>
      <c r="D32" s="2" t="n"/>
      <c r="E32" s="2" t="n"/>
      <c r="F32" s="8" t="n"/>
      <c r="G32" s="8">
        <f>IF(F32="","",F32*Configuracion!$G$2)</f>
        <v/>
      </c>
      <c r="H32" s="8">
        <f>IF(F32="","",F32+G32)</f>
        <v/>
      </c>
      <c r="I32" s="2" t="n"/>
      <c r="J32" s="2" t="n"/>
      <c r="K32" s="10" t="n"/>
      <c r="L32" s="2" t="n"/>
      <c r="M32" s="2" t="n"/>
    </row>
    <row r="33">
      <c r="A33" s="2" t="n"/>
      <c r="B33" s="2" t="n"/>
      <c r="C33" s="2" t="n"/>
      <c r="D33" s="2" t="n"/>
      <c r="E33" s="2" t="n"/>
      <c r="F33" s="8" t="n"/>
      <c r="G33" s="8">
        <f>IF(F33="","",F33*Configuracion!$G$2)</f>
        <v/>
      </c>
      <c r="H33" s="8">
        <f>IF(F33="","",F33+G33)</f>
        <v/>
      </c>
      <c r="I33" s="2" t="n"/>
      <c r="J33" s="2" t="n"/>
      <c r="K33" s="10" t="n"/>
      <c r="L33" s="2" t="n"/>
      <c r="M33" s="2" t="n"/>
    </row>
    <row r="34">
      <c r="A34" s="2" t="n"/>
      <c r="B34" s="2" t="n"/>
      <c r="C34" s="2" t="n"/>
      <c r="D34" s="2" t="n"/>
      <c r="E34" s="2" t="n"/>
      <c r="F34" s="8" t="n"/>
      <c r="G34" s="8">
        <f>IF(F34="","",F34*Configuracion!$G$2)</f>
        <v/>
      </c>
      <c r="H34" s="8">
        <f>IF(F34="","",F34+G34)</f>
        <v/>
      </c>
      <c r="I34" s="2" t="n"/>
      <c r="J34" s="2" t="n"/>
      <c r="K34" s="10" t="n"/>
      <c r="L34" s="2" t="n"/>
      <c r="M34" s="2" t="n"/>
    </row>
    <row r="35">
      <c r="A35" s="2" t="n"/>
      <c r="B35" s="2" t="n"/>
      <c r="C35" s="2" t="n"/>
      <c r="D35" s="2" t="n"/>
      <c r="E35" s="2" t="n"/>
      <c r="F35" s="8" t="n"/>
      <c r="G35" s="8">
        <f>IF(F35="","",F35*Configuracion!$G$2)</f>
        <v/>
      </c>
      <c r="H35" s="8">
        <f>IF(F35="","",F35+G35)</f>
        <v/>
      </c>
      <c r="I35" s="2" t="n"/>
      <c r="J35" s="2" t="n"/>
      <c r="K35" s="10" t="n"/>
      <c r="L35" s="2" t="n"/>
      <c r="M35" s="2" t="n"/>
    </row>
    <row r="36">
      <c r="A36" s="2" t="n"/>
      <c r="B36" s="2" t="n"/>
      <c r="C36" s="2" t="n"/>
      <c r="D36" s="2" t="n"/>
      <c r="E36" s="2" t="n"/>
      <c r="F36" s="8" t="n"/>
      <c r="G36" s="8">
        <f>IF(F36="","",F36*Configuracion!$G$2)</f>
        <v/>
      </c>
      <c r="H36" s="8">
        <f>IF(F36="","",F36+G36)</f>
        <v/>
      </c>
      <c r="I36" s="2" t="n"/>
      <c r="J36" s="2" t="n"/>
      <c r="K36" s="10" t="n"/>
      <c r="L36" s="2" t="n"/>
      <c r="M36" s="2" t="n"/>
    </row>
    <row r="37">
      <c r="A37" s="2" t="n"/>
      <c r="B37" s="2" t="n"/>
      <c r="C37" s="2" t="n"/>
      <c r="D37" s="2" t="n"/>
      <c r="E37" s="2" t="n"/>
      <c r="F37" s="8" t="n"/>
      <c r="G37" s="8">
        <f>IF(F37="","",F37*Configuracion!$G$2)</f>
        <v/>
      </c>
      <c r="H37" s="8">
        <f>IF(F37="","",F37+G37)</f>
        <v/>
      </c>
      <c r="I37" s="2" t="n"/>
      <c r="J37" s="2" t="n"/>
      <c r="K37" s="10" t="n"/>
      <c r="L37" s="2" t="n"/>
      <c r="M37" s="2" t="n"/>
    </row>
    <row r="38">
      <c r="A38" s="2" t="n"/>
      <c r="B38" s="2" t="n"/>
      <c r="C38" s="2" t="n"/>
      <c r="D38" s="2" t="n"/>
      <c r="E38" s="2" t="n"/>
      <c r="F38" s="8" t="n"/>
      <c r="G38" s="8">
        <f>IF(F38="","",F38*Configuracion!$G$2)</f>
        <v/>
      </c>
      <c r="H38" s="8">
        <f>IF(F38="","",F38+G38)</f>
        <v/>
      </c>
      <c r="I38" s="2" t="n"/>
      <c r="J38" s="2" t="n"/>
      <c r="K38" s="10" t="n"/>
      <c r="L38" s="2" t="n"/>
      <c r="M38" s="2" t="n"/>
    </row>
    <row r="39">
      <c r="A39" s="2" t="n"/>
      <c r="B39" s="2" t="n"/>
      <c r="C39" s="2" t="n"/>
      <c r="D39" s="2" t="n"/>
      <c r="E39" s="2" t="n"/>
      <c r="F39" s="8" t="n"/>
      <c r="G39" s="8">
        <f>IF(F39="","",F39*Configuracion!$G$2)</f>
        <v/>
      </c>
      <c r="H39" s="8">
        <f>IF(F39="","",F39+G39)</f>
        <v/>
      </c>
      <c r="I39" s="2" t="n"/>
      <c r="J39" s="2" t="n"/>
      <c r="K39" s="10" t="n"/>
      <c r="L39" s="2" t="n"/>
      <c r="M39" s="2" t="n"/>
    </row>
    <row r="40">
      <c r="A40" s="2" t="n"/>
      <c r="B40" s="2" t="n"/>
      <c r="C40" s="2" t="n"/>
      <c r="D40" s="2" t="n"/>
      <c r="E40" s="2" t="n"/>
      <c r="F40" s="8" t="n"/>
      <c r="G40" s="8">
        <f>IF(F40="","",F40*Configuracion!$G$2)</f>
        <v/>
      </c>
      <c r="H40" s="8">
        <f>IF(F40="","",F40+G40)</f>
        <v/>
      </c>
      <c r="I40" s="2" t="n"/>
      <c r="J40" s="2" t="n"/>
      <c r="K40" s="10" t="n"/>
      <c r="L40" s="2" t="n"/>
      <c r="M40" s="2" t="n"/>
    </row>
    <row r="41">
      <c r="A41" s="2" t="n"/>
      <c r="B41" s="2" t="n"/>
      <c r="C41" s="2" t="n"/>
      <c r="D41" s="2" t="n"/>
      <c r="E41" s="2" t="n"/>
      <c r="F41" s="8" t="n"/>
      <c r="G41" s="8">
        <f>IF(F41="","",F41*Configuracion!$G$2)</f>
        <v/>
      </c>
      <c r="H41" s="8">
        <f>IF(F41="","",F41+G41)</f>
        <v/>
      </c>
      <c r="I41" s="2" t="n"/>
      <c r="J41" s="2" t="n"/>
      <c r="K41" s="10" t="n"/>
      <c r="L41" s="2" t="n"/>
      <c r="M41" s="2" t="n"/>
    </row>
    <row r="42">
      <c r="A42" s="2" t="n"/>
      <c r="B42" s="2" t="n"/>
      <c r="C42" s="2" t="n"/>
      <c r="D42" s="2" t="n"/>
      <c r="E42" s="2" t="n"/>
      <c r="F42" s="8" t="n"/>
      <c r="G42" s="8">
        <f>IF(F42="","",F42*Configuracion!$G$2)</f>
        <v/>
      </c>
      <c r="H42" s="8">
        <f>IF(F42="","",F42+G42)</f>
        <v/>
      </c>
      <c r="I42" s="2" t="n"/>
      <c r="J42" s="2" t="n"/>
      <c r="K42" s="10" t="n"/>
      <c r="L42" s="2" t="n"/>
      <c r="M42" s="2" t="n"/>
    </row>
    <row r="43">
      <c r="A43" s="2" t="n"/>
      <c r="B43" s="2" t="n"/>
      <c r="C43" s="2" t="n"/>
      <c r="D43" s="2" t="n"/>
      <c r="E43" s="2" t="n"/>
      <c r="F43" s="8" t="n"/>
      <c r="G43" s="8">
        <f>IF(F43="","",F43*Configuracion!$G$2)</f>
        <v/>
      </c>
      <c r="H43" s="8">
        <f>IF(F43="","",F43+G43)</f>
        <v/>
      </c>
      <c r="I43" s="2" t="n"/>
      <c r="J43" s="2" t="n"/>
      <c r="K43" s="10" t="n"/>
      <c r="L43" s="2" t="n"/>
      <c r="M43" s="2" t="n"/>
    </row>
    <row r="44">
      <c r="A44" s="2" t="n"/>
      <c r="B44" s="2" t="n"/>
      <c r="C44" s="2" t="n"/>
      <c r="D44" s="2" t="n"/>
      <c r="E44" s="2" t="n"/>
      <c r="F44" s="8" t="n"/>
      <c r="G44" s="8">
        <f>IF(F44="","",F44*Configuracion!$G$2)</f>
        <v/>
      </c>
      <c r="H44" s="8">
        <f>IF(F44="","",F44+G44)</f>
        <v/>
      </c>
      <c r="I44" s="2" t="n"/>
      <c r="J44" s="2" t="n"/>
      <c r="K44" s="10" t="n"/>
      <c r="L44" s="2" t="n"/>
      <c r="M44" s="2" t="n"/>
    </row>
    <row r="45">
      <c r="A45" s="2" t="n"/>
      <c r="B45" s="2" t="n"/>
      <c r="C45" s="2" t="n"/>
      <c r="D45" s="2" t="n"/>
      <c r="E45" s="2" t="n"/>
      <c r="F45" s="8" t="n"/>
      <c r="G45" s="8">
        <f>IF(F45="","",F45*Configuracion!$G$2)</f>
        <v/>
      </c>
      <c r="H45" s="8">
        <f>IF(F45="","",F45+G45)</f>
        <v/>
      </c>
      <c r="I45" s="2" t="n"/>
      <c r="J45" s="2" t="n"/>
      <c r="K45" s="10" t="n"/>
      <c r="L45" s="2" t="n"/>
      <c r="M45" s="2" t="n"/>
    </row>
    <row r="46">
      <c r="A46" s="2" t="n"/>
      <c r="B46" s="2" t="n"/>
      <c r="C46" s="2" t="n"/>
      <c r="D46" s="2" t="n"/>
      <c r="E46" s="2" t="n"/>
      <c r="F46" s="8" t="n"/>
      <c r="G46" s="8">
        <f>IF(F46="","",F46*Configuracion!$G$2)</f>
        <v/>
      </c>
      <c r="H46" s="8">
        <f>IF(F46="","",F46+G46)</f>
        <v/>
      </c>
      <c r="I46" s="2" t="n"/>
      <c r="J46" s="2" t="n"/>
      <c r="K46" s="10" t="n"/>
      <c r="L46" s="2" t="n"/>
      <c r="M46" s="2" t="n"/>
    </row>
    <row r="47">
      <c r="A47" s="2" t="n"/>
      <c r="B47" s="2" t="n"/>
      <c r="C47" s="2" t="n"/>
      <c r="D47" s="2" t="n"/>
      <c r="E47" s="2" t="n"/>
      <c r="F47" s="8" t="n"/>
      <c r="G47" s="8">
        <f>IF(F47="","",F47*Configuracion!$G$2)</f>
        <v/>
      </c>
      <c r="H47" s="8">
        <f>IF(F47="","",F47+G47)</f>
        <v/>
      </c>
      <c r="I47" s="2" t="n"/>
      <c r="J47" s="2" t="n"/>
      <c r="K47" s="10" t="n"/>
      <c r="L47" s="2" t="n"/>
      <c r="M47" s="2" t="n"/>
    </row>
    <row r="48">
      <c r="A48" s="2" t="n"/>
      <c r="B48" s="2" t="n"/>
      <c r="C48" s="2" t="n"/>
      <c r="D48" s="2" t="n"/>
      <c r="E48" s="2" t="n"/>
      <c r="F48" s="8" t="n"/>
      <c r="G48" s="8">
        <f>IF(F48="","",F48*Configuracion!$G$2)</f>
        <v/>
      </c>
      <c r="H48" s="8">
        <f>IF(F48="","",F48+G48)</f>
        <v/>
      </c>
      <c r="I48" s="2" t="n"/>
      <c r="J48" s="2" t="n"/>
      <c r="K48" s="10" t="n"/>
      <c r="L48" s="2" t="n"/>
      <c r="M48" s="2" t="n"/>
    </row>
    <row r="49">
      <c r="A49" s="2" t="n"/>
      <c r="B49" s="2" t="n"/>
      <c r="C49" s="2" t="n"/>
      <c r="D49" s="2" t="n"/>
      <c r="E49" s="2" t="n"/>
      <c r="F49" s="8" t="n"/>
      <c r="G49" s="8">
        <f>IF(F49="","",F49*Configuracion!$G$2)</f>
        <v/>
      </c>
      <c r="H49" s="8">
        <f>IF(F49="","",F49+G49)</f>
        <v/>
      </c>
      <c r="I49" s="2" t="n"/>
      <c r="J49" s="2" t="n"/>
      <c r="K49" s="10" t="n"/>
      <c r="L49" s="2" t="n"/>
      <c r="M49" s="2" t="n"/>
    </row>
    <row r="50">
      <c r="A50" s="2" t="n"/>
      <c r="B50" s="2" t="n"/>
      <c r="C50" s="2" t="n"/>
      <c r="D50" s="2" t="n"/>
      <c r="E50" s="2" t="n"/>
      <c r="F50" s="8" t="n"/>
      <c r="G50" s="8">
        <f>IF(F50="","",F50*Configuracion!$G$2)</f>
        <v/>
      </c>
      <c r="H50" s="8">
        <f>IF(F50="","",F50+G50)</f>
        <v/>
      </c>
      <c r="I50" s="2" t="n"/>
      <c r="J50" s="2" t="n"/>
      <c r="K50" s="10" t="n"/>
      <c r="L50" s="2" t="n"/>
      <c r="M50" s="2" t="n"/>
    </row>
    <row r="51">
      <c r="A51" s="2" t="n"/>
      <c r="B51" s="2" t="n"/>
      <c r="C51" s="2" t="n"/>
      <c r="D51" s="2" t="n"/>
      <c r="E51" s="2" t="n"/>
      <c r="F51" s="8" t="n"/>
      <c r="G51" s="8">
        <f>IF(F51="","",F51*Configuracion!$G$2)</f>
        <v/>
      </c>
      <c r="H51" s="8">
        <f>IF(F51="","",F51+G51)</f>
        <v/>
      </c>
      <c r="I51" s="2" t="n"/>
      <c r="J51" s="2" t="n"/>
      <c r="K51" s="10" t="n"/>
      <c r="L51" s="2" t="n"/>
      <c r="M51" s="2" t="n"/>
    </row>
    <row r="52">
      <c r="A52" s="2" t="n"/>
      <c r="B52" s="2" t="n"/>
      <c r="C52" s="2" t="n"/>
      <c r="D52" s="2" t="n"/>
      <c r="E52" s="2" t="n"/>
      <c r="F52" s="8" t="n"/>
      <c r="G52" s="8">
        <f>IF(F52="","",F52*Configuracion!$G$2)</f>
        <v/>
      </c>
      <c r="H52" s="8">
        <f>IF(F52="","",F52+G52)</f>
        <v/>
      </c>
      <c r="I52" s="2" t="n"/>
      <c r="J52" s="2" t="n"/>
      <c r="K52" s="10" t="n"/>
      <c r="L52" s="2" t="n"/>
      <c r="M52" s="2" t="n"/>
    </row>
    <row r="53">
      <c r="A53" s="2" t="n"/>
      <c r="B53" s="2" t="n"/>
      <c r="C53" s="2" t="n"/>
      <c r="D53" s="2" t="n"/>
      <c r="E53" s="2" t="n"/>
      <c r="F53" s="8" t="n"/>
      <c r="G53" s="8">
        <f>IF(F53="","",F53*Configuracion!$G$2)</f>
        <v/>
      </c>
      <c r="H53" s="8">
        <f>IF(F53="","",F53+G53)</f>
        <v/>
      </c>
      <c r="I53" s="2" t="n"/>
      <c r="J53" s="2" t="n"/>
      <c r="K53" s="10" t="n"/>
      <c r="L53" s="2" t="n"/>
      <c r="M53" s="2" t="n"/>
    </row>
    <row r="54">
      <c r="A54" s="2" t="n"/>
      <c r="B54" s="2" t="n"/>
      <c r="C54" s="2" t="n"/>
      <c r="D54" s="2" t="n"/>
      <c r="E54" s="2" t="n"/>
      <c r="F54" s="8" t="n"/>
      <c r="G54" s="8">
        <f>IF(F54="","",F54*Configuracion!$G$2)</f>
        <v/>
      </c>
      <c r="H54" s="8">
        <f>IF(F54="","",F54+G54)</f>
        <v/>
      </c>
      <c r="I54" s="2" t="n"/>
      <c r="J54" s="2" t="n"/>
      <c r="K54" s="10" t="n"/>
      <c r="L54" s="2" t="n"/>
      <c r="M54" s="2" t="n"/>
    </row>
    <row r="55">
      <c r="A55" s="2" t="n"/>
      <c r="B55" s="2" t="n"/>
      <c r="C55" s="2" t="n"/>
      <c r="D55" s="2" t="n"/>
      <c r="E55" s="2" t="n"/>
      <c r="F55" s="8" t="n"/>
      <c r="G55" s="8">
        <f>IF(F55="","",F55*Configuracion!$G$2)</f>
        <v/>
      </c>
      <c r="H55" s="8">
        <f>IF(F55="","",F55+G55)</f>
        <v/>
      </c>
      <c r="I55" s="2" t="n"/>
      <c r="J55" s="2" t="n"/>
      <c r="K55" s="10" t="n"/>
      <c r="L55" s="2" t="n"/>
      <c r="M55" s="2" t="n"/>
    </row>
    <row r="56">
      <c r="A56" s="2" t="n"/>
      <c r="B56" s="2" t="n"/>
      <c r="C56" s="2" t="n"/>
      <c r="D56" s="2" t="n"/>
      <c r="E56" s="2" t="n"/>
      <c r="F56" s="8" t="n"/>
      <c r="G56" s="8">
        <f>IF(F56="","",F56*Configuracion!$G$2)</f>
        <v/>
      </c>
      <c r="H56" s="8">
        <f>IF(F56="","",F56+G56)</f>
        <v/>
      </c>
      <c r="I56" s="2" t="n"/>
      <c r="J56" s="2" t="n"/>
      <c r="K56" s="10" t="n"/>
      <c r="L56" s="2" t="n"/>
      <c r="M56" s="2" t="n"/>
    </row>
    <row r="57">
      <c r="A57" s="2" t="n"/>
      <c r="B57" s="2" t="n"/>
      <c r="C57" s="2" t="n"/>
      <c r="D57" s="2" t="n"/>
      <c r="E57" s="2" t="n"/>
      <c r="F57" s="8" t="n"/>
      <c r="G57" s="8">
        <f>IF(F57="","",F57*Configuracion!$G$2)</f>
        <v/>
      </c>
      <c r="H57" s="8">
        <f>IF(F57="","",F57+G57)</f>
        <v/>
      </c>
      <c r="I57" s="2" t="n"/>
      <c r="J57" s="2" t="n"/>
      <c r="K57" s="10" t="n"/>
      <c r="L57" s="2" t="n"/>
      <c r="M57" s="2" t="n"/>
    </row>
    <row r="58">
      <c r="A58" s="2" t="n"/>
      <c r="B58" s="2" t="n"/>
      <c r="C58" s="2" t="n"/>
      <c r="D58" s="2" t="n"/>
      <c r="E58" s="2" t="n"/>
      <c r="F58" s="8" t="n"/>
      <c r="G58" s="8">
        <f>IF(F58="","",F58*Configuracion!$G$2)</f>
        <v/>
      </c>
      <c r="H58" s="8">
        <f>IF(F58="","",F58+G58)</f>
        <v/>
      </c>
      <c r="I58" s="2" t="n"/>
      <c r="J58" s="2" t="n"/>
      <c r="K58" s="10" t="n"/>
      <c r="L58" s="2" t="n"/>
      <c r="M58" s="2" t="n"/>
    </row>
    <row r="59">
      <c r="A59" s="2" t="n"/>
      <c r="B59" s="2" t="n"/>
      <c r="C59" s="2" t="n"/>
      <c r="D59" s="2" t="n"/>
      <c r="E59" s="2" t="n"/>
      <c r="F59" s="8" t="n"/>
      <c r="G59" s="8">
        <f>IF(F59="","",F59*Configuracion!$G$2)</f>
        <v/>
      </c>
      <c r="H59" s="8">
        <f>IF(F59="","",F59+G59)</f>
        <v/>
      </c>
      <c r="I59" s="2" t="n"/>
      <c r="J59" s="2" t="n"/>
      <c r="K59" s="10" t="n"/>
      <c r="L59" s="2" t="n"/>
      <c r="M59" s="2" t="n"/>
    </row>
    <row r="60">
      <c r="A60" s="2" t="n"/>
      <c r="B60" s="2" t="n"/>
      <c r="C60" s="2" t="n"/>
      <c r="D60" s="2" t="n"/>
      <c r="E60" s="2" t="n"/>
      <c r="F60" s="8" t="n"/>
      <c r="G60" s="8">
        <f>IF(F60="","",F60*Configuracion!$G$2)</f>
        <v/>
      </c>
      <c r="H60" s="8">
        <f>IF(F60="","",F60+G60)</f>
        <v/>
      </c>
      <c r="I60" s="2" t="n"/>
      <c r="J60" s="2" t="n"/>
      <c r="K60" s="10" t="n"/>
      <c r="L60" s="2" t="n"/>
      <c r="M60" s="2" t="n"/>
    </row>
    <row r="61">
      <c r="A61" s="2" t="n"/>
      <c r="B61" s="2" t="n"/>
      <c r="C61" s="2" t="n"/>
      <c r="D61" s="2" t="n"/>
      <c r="E61" s="2" t="n"/>
      <c r="F61" s="8" t="n"/>
      <c r="G61" s="8">
        <f>IF(F61="","",F61*Configuracion!$G$2)</f>
        <v/>
      </c>
      <c r="H61" s="8">
        <f>IF(F61="","",F61+G61)</f>
        <v/>
      </c>
      <c r="I61" s="2" t="n"/>
      <c r="J61" s="2" t="n"/>
      <c r="K61" s="10" t="n"/>
      <c r="L61" s="2" t="n"/>
      <c r="M61" s="2" t="n"/>
    </row>
    <row r="62">
      <c r="A62" s="2" t="n"/>
      <c r="B62" s="2" t="n"/>
      <c r="C62" s="2" t="n"/>
      <c r="D62" s="2" t="n"/>
      <c r="E62" s="2" t="n"/>
      <c r="F62" s="8" t="n"/>
      <c r="G62" s="8">
        <f>IF(F62="","",F62*Configuracion!$G$2)</f>
        <v/>
      </c>
      <c r="H62" s="8">
        <f>IF(F62="","",F62+G62)</f>
        <v/>
      </c>
      <c r="I62" s="2" t="n"/>
      <c r="J62" s="2" t="n"/>
      <c r="K62" s="10" t="n"/>
      <c r="L62" s="2" t="n"/>
      <c r="M62" s="2" t="n"/>
    </row>
    <row r="63">
      <c r="A63" s="2" t="n"/>
      <c r="B63" s="2" t="n"/>
      <c r="C63" s="2" t="n"/>
      <c r="D63" s="2" t="n"/>
      <c r="E63" s="2" t="n"/>
      <c r="F63" s="8" t="n"/>
      <c r="G63" s="8">
        <f>IF(F63="","",F63*Configuracion!$G$2)</f>
        <v/>
      </c>
      <c r="H63" s="8">
        <f>IF(F63="","",F63+G63)</f>
        <v/>
      </c>
      <c r="I63" s="2" t="n"/>
      <c r="J63" s="2" t="n"/>
      <c r="K63" s="10" t="n"/>
      <c r="L63" s="2" t="n"/>
      <c r="M63" s="2" t="n"/>
    </row>
    <row r="64">
      <c r="A64" s="2" t="n"/>
      <c r="B64" s="2" t="n"/>
      <c r="C64" s="2" t="n"/>
      <c r="D64" s="2" t="n"/>
      <c r="E64" s="2" t="n"/>
      <c r="F64" s="8" t="n"/>
      <c r="G64" s="8">
        <f>IF(F64="","",F64*Configuracion!$G$2)</f>
        <v/>
      </c>
      <c r="H64" s="8">
        <f>IF(F64="","",F64+G64)</f>
        <v/>
      </c>
      <c r="I64" s="2" t="n"/>
      <c r="J64" s="2" t="n"/>
      <c r="K64" s="10" t="n"/>
      <c r="L64" s="2" t="n"/>
      <c r="M64" s="2" t="n"/>
    </row>
    <row r="65">
      <c r="A65" s="2" t="n"/>
      <c r="B65" s="2" t="n"/>
      <c r="C65" s="2" t="n"/>
      <c r="D65" s="2" t="n"/>
      <c r="E65" s="2" t="n"/>
      <c r="F65" s="8" t="n"/>
      <c r="G65" s="8">
        <f>IF(F65="","",F65*Configuracion!$G$2)</f>
        <v/>
      </c>
      <c r="H65" s="8">
        <f>IF(F65="","",F65+G65)</f>
        <v/>
      </c>
      <c r="I65" s="2" t="n"/>
      <c r="J65" s="2" t="n"/>
      <c r="K65" s="10" t="n"/>
      <c r="L65" s="2" t="n"/>
      <c r="M65" s="2" t="n"/>
    </row>
    <row r="66">
      <c r="A66" s="2" t="n"/>
      <c r="B66" s="2" t="n"/>
      <c r="C66" s="2" t="n"/>
      <c r="D66" s="2" t="n"/>
      <c r="E66" s="2" t="n"/>
      <c r="F66" s="8" t="n"/>
      <c r="G66" s="8">
        <f>IF(F66="","",F66*Configuracion!$G$2)</f>
        <v/>
      </c>
      <c r="H66" s="8">
        <f>IF(F66="","",F66+G66)</f>
        <v/>
      </c>
      <c r="I66" s="2" t="n"/>
      <c r="J66" s="2" t="n"/>
      <c r="K66" s="10" t="n"/>
      <c r="L66" s="2" t="n"/>
      <c r="M66" s="2" t="n"/>
    </row>
    <row r="67">
      <c r="A67" s="2" t="n"/>
      <c r="B67" s="2" t="n"/>
      <c r="C67" s="2" t="n"/>
      <c r="D67" s="2" t="n"/>
      <c r="E67" s="2" t="n"/>
      <c r="F67" s="8" t="n"/>
      <c r="G67" s="8">
        <f>IF(F67="","",F67*Configuracion!$G$2)</f>
        <v/>
      </c>
      <c r="H67" s="8">
        <f>IF(F67="","",F67+G67)</f>
        <v/>
      </c>
      <c r="I67" s="2" t="n"/>
      <c r="J67" s="2" t="n"/>
      <c r="K67" s="10" t="n"/>
      <c r="L67" s="2" t="n"/>
      <c r="M67" s="2" t="n"/>
    </row>
    <row r="68">
      <c r="A68" s="2" t="n"/>
      <c r="B68" s="2" t="n"/>
      <c r="C68" s="2" t="n"/>
      <c r="D68" s="2" t="n"/>
      <c r="E68" s="2" t="n"/>
      <c r="F68" s="8" t="n"/>
      <c r="G68" s="8">
        <f>IF(F68="","",F68*Configuracion!$G$2)</f>
        <v/>
      </c>
      <c r="H68" s="8">
        <f>IF(F68="","",F68+G68)</f>
        <v/>
      </c>
      <c r="I68" s="2" t="n"/>
      <c r="J68" s="2" t="n"/>
      <c r="K68" s="10" t="n"/>
      <c r="L68" s="2" t="n"/>
      <c r="M68" s="2" t="n"/>
    </row>
    <row r="69">
      <c r="A69" s="2" t="n"/>
      <c r="B69" s="2" t="n"/>
      <c r="C69" s="2" t="n"/>
      <c r="D69" s="2" t="n"/>
      <c r="E69" s="2" t="n"/>
      <c r="F69" s="8" t="n"/>
      <c r="G69" s="8">
        <f>IF(F69="","",F69*Configuracion!$G$2)</f>
        <v/>
      </c>
      <c r="H69" s="8">
        <f>IF(F69="","",F69+G69)</f>
        <v/>
      </c>
      <c r="I69" s="2" t="n"/>
      <c r="J69" s="2" t="n"/>
      <c r="K69" s="10" t="n"/>
      <c r="L69" s="2" t="n"/>
      <c r="M69" s="2" t="n"/>
    </row>
    <row r="70">
      <c r="A70" s="2" t="n"/>
      <c r="B70" s="2" t="n"/>
      <c r="C70" s="2" t="n"/>
      <c r="D70" s="2" t="n"/>
      <c r="E70" s="2" t="n"/>
      <c r="F70" s="8" t="n"/>
      <c r="G70" s="8">
        <f>IF(F70="","",F70*Configuracion!$G$2)</f>
        <v/>
      </c>
      <c r="H70" s="8">
        <f>IF(F70="","",F70+G70)</f>
        <v/>
      </c>
      <c r="I70" s="2" t="n"/>
      <c r="J70" s="2" t="n"/>
      <c r="K70" s="10" t="n"/>
      <c r="L70" s="2" t="n"/>
      <c r="M70" s="2" t="n"/>
    </row>
    <row r="71">
      <c r="A71" s="2" t="n"/>
      <c r="B71" s="2" t="n"/>
      <c r="C71" s="2" t="n"/>
      <c r="D71" s="2" t="n"/>
      <c r="E71" s="2" t="n"/>
      <c r="F71" s="8" t="n"/>
      <c r="G71" s="8">
        <f>IF(F71="","",F71*Configuracion!$G$2)</f>
        <v/>
      </c>
      <c r="H71" s="8">
        <f>IF(F71="","",F71+G71)</f>
        <v/>
      </c>
      <c r="I71" s="2" t="n"/>
      <c r="J71" s="2" t="n"/>
      <c r="K71" s="10" t="n"/>
      <c r="L71" s="2" t="n"/>
      <c r="M71" s="2" t="n"/>
    </row>
    <row r="72">
      <c r="A72" s="2" t="n"/>
      <c r="B72" s="2" t="n"/>
      <c r="C72" s="2" t="n"/>
      <c r="D72" s="2" t="n"/>
      <c r="E72" s="2" t="n"/>
      <c r="F72" s="8" t="n"/>
      <c r="G72" s="8">
        <f>IF(F72="","",F72*Configuracion!$G$2)</f>
        <v/>
      </c>
      <c r="H72" s="8">
        <f>IF(F72="","",F72+G72)</f>
        <v/>
      </c>
      <c r="I72" s="2" t="n"/>
      <c r="J72" s="2" t="n"/>
      <c r="K72" s="10" t="n"/>
      <c r="L72" s="2" t="n"/>
      <c r="M72" s="2" t="n"/>
    </row>
    <row r="73">
      <c r="A73" s="2" t="n"/>
      <c r="B73" s="2" t="n"/>
      <c r="C73" s="2" t="n"/>
      <c r="D73" s="2" t="n"/>
      <c r="E73" s="2" t="n"/>
      <c r="F73" s="8" t="n"/>
      <c r="G73" s="8">
        <f>IF(F73="","",F73*Configuracion!$G$2)</f>
        <v/>
      </c>
      <c r="H73" s="8">
        <f>IF(F73="","",F73+G73)</f>
        <v/>
      </c>
      <c r="I73" s="2" t="n"/>
      <c r="J73" s="2" t="n"/>
      <c r="K73" s="10" t="n"/>
      <c r="L73" s="2" t="n"/>
      <c r="M73" s="2" t="n"/>
    </row>
    <row r="74">
      <c r="A74" s="2" t="n"/>
      <c r="B74" s="2" t="n"/>
      <c r="C74" s="2" t="n"/>
      <c r="D74" s="2" t="n"/>
      <c r="E74" s="2" t="n"/>
      <c r="F74" s="8" t="n"/>
      <c r="G74" s="8">
        <f>IF(F74="","",F74*Configuracion!$G$2)</f>
        <v/>
      </c>
      <c r="H74" s="8">
        <f>IF(F74="","",F74+G74)</f>
        <v/>
      </c>
      <c r="I74" s="2" t="n"/>
      <c r="J74" s="2" t="n"/>
      <c r="K74" s="10" t="n"/>
      <c r="L74" s="2" t="n"/>
      <c r="M74" s="2" t="n"/>
    </row>
    <row r="75">
      <c r="A75" s="2" t="n"/>
      <c r="B75" s="2" t="n"/>
      <c r="C75" s="2" t="n"/>
      <c r="D75" s="2" t="n"/>
      <c r="E75" s="2" t="n"/>
      <c r="F75" s="8" t="n"/>
      <c r="G75" s="8">
        <f>IF(F75="","",F75*Configuracion!$G$2)</f>
        <v/>
      </c>
      <c r="H75" s="8">
        <f>IF(F75="","",F75+G75)</f>
        <v/>
      </c>
      <c r="I75" s="2" t="n"/>
      <c r="J75" s="2" t="n"/>
      <c r="K75" s="10" t="n"/>
      <c r="L75" s="2" t="n"/>
      <c r="M75" s="2" t="n"/>
    </row>
    <row r="76">
      <c r="A76" s="2" t="n"/>
      <c r="B76" s="2" t="n"/>
      <c r="C76" s="2" t="n"/>
      <c r="D76" s="2" t="n"/>
      <c r="E76" s="2" t="n"/>
      <c r="F76" s="8" t="n"/>
      <c r="G76" s="8">
        <f>IF(F76="","",F76*Configuracion!$G$2)</f>
        <v/>
      </c>
      <c r="H76" s="8">
        <f>IF(F76="","",F76+G76)</f>
        <v/>
      </c>
      <c r="I76" s="2" t="n"/>
      <c r="J76" s="2" t="n"/>
      <c r="K76" s="10" t="n"/>
      <c r="L76" s="2" t="n"/>
      <c r="M76" s="2" t="n"/>
    </row>
    <row r="77">
      <c r="A77" s="2" t="n"/>
      <c r="B77" s="2" t="n"/>
      <c r="C77" s="2" t="n"/>
      <c r="D77" s="2" t="n"/>
      <c r="E77" s="2" t="n"/>
      <c r="F77" s="8" t="n"/>
      <c r="G77" s="8">
        <f>IF(F77="","",F77*Configuracion!$G$2)</f>
        <v/>
      </c>
      <c r="H77" s="8">
        <f>IF(F77="","",F77+G77)</f>
        <v/>
      </c>
      <c r="I77" s="2" t="n"/>
      <c r="J77" s="2" t="n"/>
      <c r="K77" s="10" t="n"/>
      <c r="L77" s="2" t="n"/>
      <c r="M77" s="2" t="n"/>
    </row>
    <row r="78">
      <c r="A78" s="2" t="n"/>
      <c r="B78" s="2" t="n"/>
      <c r="C78" s="2" t="n"/>
      <c r="D78" s="2" t="n"/>
      <c r="E78" s="2" t="n"/>
      <c r="F78" s="8" t="n"/>
      <c r="G78" s="8">
        <f>IF(F78="","",F78*Configuracion!$G$2)</f>
        <v/>
      </c>
      <c r="H78" s="8">
        <f>IF(F78="","",F78+G78)</f>
        <v/>
      </c>
      <c r="I78" s="2" t="n"/>
      <c r="J78" s="2" t="n"/>
      <c r="K78" s="10" t="n"/>
      <c r="L78" s="2" t="n"/>
      <c r="M78" s="2" t="n"/>
    </row>
    <row r="79">
      <c r="A79" s="2" t="n"/>
      <c r="B79" s="2" t="n"/>
      <c r="C79" s="2" t="n"/>
      <c r="D79" s="2" t="n"/>
      <c r="E79" s="2" t="n"/>
      <c r="F79" s="8" t="n"/>
      <c r="G79" s="8">
        <f>IF(F79="","",F79*Configuracion!$G$2)</f>
        <v/>
      </c>
      <c r="H79" s="8">
        <f>IF(F79="","",F79+G79)</f>
        <v/>
      </c>
      <c r="I79" s="2" t="n"/>
      <c r="J79" s="2" t="n"/>
      <c r="K79" s="10" t="n"/>
      <c r="L79" s="2" t="n"/>
      <c r="M79" s="2" t="n"/>
    </row>
    <row r="80">
      <c r="A80" s="2" t="n"/>
      <c r="B80" s="2" t="n"/>
      <c r="C80" s="2" t="n"/>
      <c r="D80" s="2" t="n"/>
      <c r="E80" s="2" t="n"/>
      <c r="F80" s="8" t="n"/>
      <c r="G80" s="8">
        <f>IF(F80="","",F80*Configuracion!$G$2)</f>
        <v/>
      </c>
      <c r="H80" s="8">
        <f>IF(F80="","",F80+G80)</f>
        <v/>
      </c>
      <c r="I80" s="2" t="n"/>
      <c r="J80" s="2" t="n"/>
      <c r="K80" s="10" t="n"/>
      <c r="L80" s="2" t="n"/>
      <c r="M80" s="2" t="n"/>
    </row>
    <row r="81">
      <c r="A81" s="2" t="n"/>
      <c r="B81" s="2" t="n"/>
      <c r="C81" s="2" t="n"/>
      <c r="D81" s="2" t="n"/>
      <c r="E81" s="2" t="n"/>
      <c r="F81" s="8" t="n"/>
      <c r="G81" s="8">
        <f>IF(F81="","",F81*Configuracion!$G$2)</f>
        <v/>
      </c>
      <c r="H81" s="8">
        <f>IF(F81="","",F81+G81)</f>
        <v/>
      </c>
      <c r="I81" s="2" t="n"/>
      <c r="J81" s="2" t="n"/>
      <c r="K81" s="10" t="n"/>
      <c r="L81" s="2" t="n"/>
      <c r="M81" s="2" t="n"/>
    </row>
    <row r="82">
      <c r="A82" s="2" t="n"/>
      <c r="B82" s="2" t="n"/>
      <c r="C82" s="2" t="n"/>
      <c r="D82" s="2" t="n"/>
      <c r="E82" s="2" t="n"/>
      <c r="F82" s="8" t="n"/>
      <c r="G82" s="8">
        <f>IF(F82="","",F82*Configuracion!$G$2)</f>
        <v/>
      </c>
      <c r="H82" s="8">
        <f>IF(F82="","",F82+G82)</f>
        <v/>
      </c>
      <c r="I82" s="2" t="n"/>
      <c r="J82" s="2" t="n"/>
      <c r="K82" s="10" t="n"/>
      <c r="L82" s="2" t="n"/>
      <c r="M82" s="2" t="n"/>
    </row>
    <row r="83">
      <c r="A83" s="2" t="n"/>
      <c r="B83" s="2" t="n"/>
      <c r="C83" s="2" t="n"/>
      <c r="D83" s="2" t="n"/>
      <c r="E83" s="2" t="n"/>
      <c r="F83" s="8" t="n"/>
      <c r="G83" s="8">
        <f>IF(F83="","",F83*Configuracion!$G$2)</f>
        <v/>
      </c>
      <c r="H83" s="8">
        <f>IF(F83="","",F83+G83)</f>
        <v/>
      </c>
      <c r="I83" s="2" t="n"/>
      <c r="J83" s="2" t="n"/>
      <c r="K83" s="10" t="n"/>
      <c r="L83" s="2" t="n"/>
      <c r="M83" s="2" t="n"/>
    </row>
    <row r="84">
      <c r="A84" s="2" t="n"/>
      <c r="B84" s="2" t="n"/>
      <c r="C84" s="2" t="n"/>
      <c r="D84" s="2" t="n"/>
      <c r="E84" s="2" t="n"/>
      <c r="F84" s="8" t="n"/>
      <c r="G84" s="8">
        <f>IF(F84="","",F84*Configuracion!$G$2)</f>
        <v/>
      </c>
      <c r="H84" s="8">
        <f>IF(F84="","",F84+G84)</f>
        <v/>
      </c>
      <c r="I84" s="2" t="n"/>
      <c r="J84" s="2" t="n"/>
      <c r="K84" s="10" t="n"/>
      <c r="L84" s="2" t="n"/>
      <c r="M84" s="2" t="n"/>
    </row>
    <row r="85">
      <c r="A85" s="2" t="n"/>
      <c r="B85" s="2" t="n"/>
      <c r="C85" s="2" t="n"/>
      <c r="D85" s="2" t="n"/>
      <c r="E85" s="2" t="n"/>
      <c r="F85" s="8" t="n"/>
      <c r="G85" s="8">
        <f>IF(F85="","",F85*Configuracion!$G$2)</f>
        <v/>
      </c>
      <c r="H85" s="8">
        <f>IF(F85="","",F85+G85)</f>
        <v/>
      </c>
      <c r="I85" s="2" t="n"/>
      <c r="J85" s="2" t="n"/>
      <c r="K85" s="10" t="n"/>
      <c r="L85" s="2" t="n"/>
      <c r="M85" s="2" t="n"/>
    </row>
    <row r="86">
      <c r="A86" s="2" t="n"/>
      <c r="B86" s="2" t="n"/>
      <c r="C86" s="2" t="n"/>
      <c r="D86" s="2" t="n"/>
      <c r="E86" s="2" t="n"/>
      <c r="F86" s="8" t="n"/>
      <c r="G86" s="8">
        <f>IF(F86="","",F86*Configuracion!$G$2)</f>
        <v/>
      </c>
      <c r="H86" s="8">
        <f>IF(F86="","",F86+G86)</f>
        <v/>
      </c>
      <c r="I86" s="2" t="n"/>
      <c r="J86" s="2" t="n"/>
      <c r="K86" s="10" t="n"/>
      <c r="L86" s="2" t="n"/>
      <c r="M86" s="2" t="n"/>
    </row>
    <row r="87">
      <c r="A87" s="2" t="n"/>
      <c r="B87" s="2" t="n"/>
      <c r="C87" s="2" t="n"/>
      <c r="D87" s="2" t="n"/>
      <c r="E87" s="2" t="n"/>
      <c r="F87" s="8" t="n"/>
      <c r="G87" s="8">
        <f>IF(F87="","",F87*Configuracion!$G$2)</f>
        <v/>
      </c>
      <c r="H87" s="8">
        <f>IF(F87="","",F87+G87)</f>
        <v/>
      </c>
      <c r="I87" s="2" t="n"/>
      <c r="J87" s="2" t="n"/>
      <c r="K87" s="10" t="n"/>
      <c r="L87" s="2" t="n"/>
      <c r="M87" s="2" t="n"/>
    </row>
    <row r="88">
      <c r="A88" s="2" t="n"/>
      <c r="B88" s="2" t="n"/>
      <c r="C88" s="2" t="n"/>
      <c r="D88" s="2" t="n"/>
      <c r="E88" s="2" t="n"/>
      <c r="F88" s="8" t="n"/>
      <c r="G88" s="8">
        <f>IF(F88="","",F88*Configuracion!$G$2)</f>
        <v/>
      </c>
      <c r="H88" s="8">
        <f>IF(F88="","",F88+G88)</f>
        <v/>
      </c>
      <c r="I88" s="2" t="n"/>
      <c r="J88" s="2" t="n"/>
      <c r="K88" s="10" t="n"/>
      <c r="L88" s="2" t="n"/>
      <c r="M88" s="2" t="n"/>
    </row>
    <row r="89">
      <c r="A89" s="2" t="n"/>
      <c r="B89" s="2" t="n"/>
      <c r="C89" s="2" t="n"/>
      <c r="D89" s="2" t="n"/>
      <c r="E89" s="2" t="n"/>
      <c r="F89" s="8" t="n"/>
      <c r="G89" s="8">
        <f>IF(F89="","",F89*Configuracion!$G$2)</f>
        <v/>
      </c>
      <c r="H89" s="8">
        <f>IF(F89="","",F89+G89)</f>
        <v/>
      </c>
      <c r="I89" s="2" t="n"/>
      <c r="J89" s="2" t="n"/>
      <c r="K89" s="10" t="n"/>
      <c r="L89" s="2" t="n"/>
      <c r="M89" s="2" t="n"/>
    </row>
    <row r="90">
      <c r="A90" s="2" t="n"/>
      <c r="B90" s="2" t="n"/>
      <c r="C90" s="2" t="n"/>
      <c r="D90" s="2" t="n"/>
      <c r="E90" s="2" t="n"/>
      <c r="F90" s="8" t="n"/>
      <c r="G90" s="8">
        <f>IF(F90="","",F90*Configuracion!$G$2)</f>
        <v/>
      </c>
      <c r="H90" s="8">
        <f>IF(F90="","",F90+G90)</f>
        <v/>
      </c>
      <c r="I90" s="2" t="n"/>
      <c r="J90" s="2" t="n"/>
      <c r="K90" s="10" t="n"/>
      <c r="L90" s="2" t="n"/>
      <c r="M90" s="2" t="n"/>
    </row>
    <row r="91">
      <c r="A91" s="2" t="n"/>
      <c r="B91" s="2" t="n"/>
      <c r="C91" s="2" t="n"/>
      <c r="D91" s="2" t="n"/>
      <c r="E91" s="2" t="n"/>
      <c r="F91" s="8" t="n"/>
      <c r="G91" s="8">
        <f>IF(F91="","",F91*Configuracion!$G$2)</f>
        <v/>
      </c>
      <c r="H91" s="8">
        <f>IF(F91="","",F91+G91)</f>
        <v/>
      </c>
      <c r="I91" s="2" t="n"/>
      <c r="J91" s="2" t="n"/>
      <c r="K91" s="10" t="n"/>
      <c r="L91" s="2" t="n"/>
      <c r="M91" s="2" t="n"/>
    </row>
    <row r="92">
      <c r="A92" s="2" t="n"/>
      <c r="B92" s="2" t="n"/>
      <c r="C92" s="2" t="n"/>
      <c r="D92" s="2" t="n"/>
      <c r="E92" s="2" t="n"/>
      <c r="F92" s="8" t="n"/>
      <c r="G92" s="8">
        <f>IF(F92="","",F92*Configuracion!$G$2)</f>
        <v/>
      </c>
      <c r="H92" s="8">
        <f>IF(F92="","",F92+G92)</f>
        <v/>
      </c>
      <c r="I92" s="2" t="n"/>
      <c r="J92" s="2" t="n"/>
      <c r="K92" s="10" t="n"/>
      <c r="L92" s="2" t="n"/>
      <c r="M92" s="2" t="n"/>
    </row>
    <row r="93">
      <c r="A93" s="2" t="n"/>
      <c r="B93" s="2" t="n"/>
      <c r="C93" s="2" t="n"/>
      <c r="D93" s="2" t="n"/>
      <c r="E93" s="2" t="n"/>
      <c r="F93" s="8" t="n"/>
      <c r="G93" s="8">
        <f>IF(F93="","",F93*Configuracion!$G$2)</f>
        <v/>
      </c>
      <c r="H93" s="8">
        <f>IF(F93="","",F93+G93)</f>
        <v/>
      </c>
      <c r="I93" s="2" t="n"/>
      <c r="J93" s="2" t="n"/>
      <c r="K93" s="10" t="n"/>
      <c r="L93" s="2" t="n"/>
      <c r="M93" s="2" t="n"/>
    </row>
    <row r="94">
      <c r="A94" s="2" t="n"/>
      <c r="B94" s="2" t="n"/>
      <c r="C94" s="2" t="n"/>
      <c r="D94" s="2" t="n"/>
      <c r="E94" s="2" t="n"/>
      <c r="F94" s="8" t="n"/>
      <c r="G94" s="8">
        <f>IF(F94="","",F94*Configuracion!$G$2)</f>
        <v/>
      </c>
      <c r="H94" s="8">
        <f>IF(F94="","",F94+G94)</f>
        <v/>
      </c>
      <c r="I94" s="2" t="n"/>
      <c r="J94" s="2" t="n"/>
      <c r="K94" s="10" t="n"/>
      <c r="L94" s="2" t="n"/>
      <c r="M94" s="2" t="n"/>
    </row>
    <row r="95">
      <c r="A95" s="2" t="n"/>
      <c r="B95" s="2" t="n"/>
      <c r="C95" s="2" t="n"/>
      <c r="D95" s="2" t="n"/>
      <c r="E95" s="2" t="n"/>
      <c r="F95" s="8" t="n"/>
      <c r="G95" s="8">
        <f>IF(F95="","",F95*Configuracion!$G$2)</f>
        <v/>
      </c>
      <c r="H95" s="8">
        <f>IF(F95="","",F95+G95)</f>
        <v/>
      </c>
      <c r="I95" s="2" t="n"/>
      <c r="J95" s="2" t="n"/>
      <c r="K95" s="10" t="n"/>
      <c r="L95" s="2" t="n"/>
      <c r="M95" s="2" t="n"/>
    </row>
    <row r="96">
      <c r="A96" s="2" t="n"/>
      <c r="B96" s="2" t="n"/>
      <c r="C96" s="2" t="n"/>
      <c r="D96" s="2" t="n"/>
      <c r="E96" s="2" t="n"/>
      <c r="F96" s="8" t="n"/>
      <c r="G96" s="8">
        <f>IF(F96="","",F96*Configuracion!$G$2)</f>
        <v/>
      </c>
      <c r="H96" s="8">
        <f>IF(F96="","",F96+G96)</f>
        <v/>
      </c>
      <c r="I96" s="2" t="n"/>
      <c r="J96" s="2" t="n"/>
      <c r="K96" s="10" t="n"/>
      <c r="L96" s="2" t="n"/>
      <c r="M96" s="2" t="n"/>
    </row>
    <row r="97">
      <c r="A97" s="2" t="n"/>
      <c r="B97" s="2" t="n"/>
      <c r="C97" s="2" t="n"/>
      <c r="D97" s="2" t="n"/>
      <c r="E97" s="2" t="n"/>
      <c r="F97" s="8" t="n"/>
      <c r="G97" s="8">
        <f>IF(F97="","",F97*Configuracion!$G$2)</f>
        <v/>
      </c>
      <c r="H97" s="8">
        <f>IF(F97="","",F97+G97)</f>
        <v/>
      </c>
      <c r="I97" s="2" t="n"/>
      <c r="J97" s="2" t="n"/>
      <c r="K97" s="10" t="n"/>
      <c r="L97" s="2" t="n"/>
      <c r="M97" s="2" t="n"/>
    </row>
    <row r="98">
      <c r="A98" s="2" t="n"/>
      <c r="B98" s="2" t="n"/>
      <c r="C98" s="2" t="n"/>
      <c r="D98" s="2" t="n"/>
      <c r="E98" s="2" t="n"/>
      <c r="F98" s="8" t="n"/>
      <c r="G98" s="8">
        <f>IF(F98="","",F98*Configuracion!$G$2)</f>
        <v/>
      </c>
      <c r="H98" s="8">
        <f>IF(F98="","",F98+G98)</f>
        <v/>
      </c>
      <c r="I98" s="2" t="n"/>
      <c r="J98" s="2" t="n"/>
      <c r="K98" s="10" t="n"/>
      <c r="L98" s="2" t="n"/>
      <c r="M98" s="2" t="n"/>
    </row>
    <row r="99">
      <c r="A99" s="2" t="n"/>
      <c r="B99" s="2" t="n"/>
      <c r="C99" s="2" t="n"/>
      <c r="D99" s="2" t="n"/>
      <c r="E99" s="2" t="n"/>
      <c r="F99" s="8" t="n"/>
      <c r="G99" s="8">
        <f>IF(F99="","",F99*Configuracion!$G$2)</f>
        <v/>
      </c>
      <c r="H99" s="8">
        <f>IF(F99="","",F99+G99)</f>
        <v/>
      </c>
      <c r="I99" s="2" t="n"/>
      <c r="J99" s="2" t="n"/>
      <c r="K99" s="10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8" t="n"/>
      <c r="G100" s="8">
        <f>IF(F100="","",F100*Configuracion!$G$2)</f>
        <v/>
      </c>
      <c r="H100" s="8">
        <f>IF(F100="","",F100+G100)</f>
        <v/>
      </c>
      <c r="I100" s="2" t="n"/>
      <c r="J100" s="2" t="n"/>
      <c r="K100" s="10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8" t="n"/>
      <c r="G101" s="8">
        <f>IF(F101="","",F101*Configuracion!$G$2)</f>
        <v/>
      </c>
      <c r="H101" s="8">
        <f>IF(F101="","",F101+G101)</f>
        <v/>
      </c>
      <c r="I101" s="2" t="n"/>
      <c r="J101" s="2" t="n"/>
      <c r="K101" s="10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8" t="n"/>
      <c r="G102" s="8">
        <f>IF(F102="","",F102*Configuracion!$G$2)</f>
        <v/>
      </c>
      <c r="H102" s="8">
        <f>IF(F102="","",F102+G102)</f>
        <v/>
      </c>
      <c r="I102" s="2" t="n"/>
      <c r="J102" s="2" t="n"/>
      <c r="K102" s="10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8" t="n"/>
      <c r="G103" s="8">
        <f>IF(F103="","",F103*Configuracion!$G$2)</f>
        <v/>
      </c>
      <c r="H103" s="8">
        <f>IF(F103="","",F103+G103)</f>
        <v/>
      </c>
      <c r="I103" s="2" t="n"/>
      <c r="J103" s="2" t="n"/>
      <c r="K103" s="10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8" t="n"/>
      <c r="G104" s="8">
        <f>IF(F104="","",F104*Configuracion!$G$2)</f>
        <v/>
      </c>
      <c r="H104" s="8">
        <f>IF(F104="","",F104+G104)</f>
        <v/>
      </c>
      <c r="I104" s="2" t="n"/>
      <c r="J104" s="2" t="n"/>
      <c r="K104" s="10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8" t="n"/>
      <c r="G105" s="8">
        <f>IF(F105="","",F105*Configuracion!$G$2)</f>
        <v/>
      </c>
      <c r="H105" s="8">
        <f>IF(F105="","",F105+G105)</f>
        <v/>
      </c>
      <c r="I105" s="2" t="n"/>
      <c r="J105" s="2" t="n"/>
      <c r="K105" s="10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8" t="n"/>
      <c r="G106" s="8">
        <f>IF(F106="","",F106*Configuracion!$G$2)</f>
        <v/>
      </c>
      <c r="H106" s="8">
        <f>IF(F106="","",F106+G106)</f>
        <v/>
      </c>
      <c r="I106" s="2" t="n"/>
      <c r="J106" s="2" t="n"/>
      <c r="K106" s="10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8" t="n"/>
      <c r="G107" s="8">
        <f>IF(F107="","",F107*Configuracion!$G$2)</f>
        <v/>
      </c>
      <c r="H107" s="8">
        <f>IF(F107="","",F107+G107)</f>
        <v/>
      </c>
      <c r="I107" s="2" t="n"/>
      <c r="J107" s="2" t="n"/>
      <c r="K107" s="10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8" t="n"/>
      <c r="G108" s="8">
        <f>IF(F108="","",F108*Configuracion!$G$2)</f>
        <v/>
      </c>
      <c r="H108" s="8">
        <f>IF(F108="","",F108+G108)</f>
        <v/>
      </c>
      <c r="I108" s="2" t="n"/>
      <c r="J108" s="2" t="n"/>
      <c r="K108" s="10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8" t="n"/>
      <c r="G109" s="8">
        <f>IF(F109="","",F109*Configuracion!$G$2)</f>
        <v/>
      </c>
      <c r="H109" s="8">
        <f>IF(F109="","",F109+G109)</f>
        <v/>
      </c>
      <c r="I109" s="2" t="n"/>
      <c r="J109" s="2" t="n"/>
      <c r="K109" s="10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8" t="n"/>
      <c r="G110" s="8">
        <f>IF(F110="","",F110*Configuracion!$G$2)</f>
        <v/>
      </c>
      <c r="H110" s="8">
        <f>IF(F110="","",F110+G110)</f>
        <v/>
      </c>
      <c r="I110" s="2" t="n"/>
      <c r="J110" s="2" t="n"/>
      <c r="K110" s="10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8" t="n"/>
      <c r="G111" s="8">
        <f>IF(F111="","",F111*Configuracion!$G$2)</f>
        <v/>
      </c>
      <c r="H111" s="8">
        <f>IF(F111="","",F111+G111)</f>
        <v/>
      </c>
      <c r="I111" s="2" t="n"/>
      <c r="J111" s="2" t="n"/>
      <c r="K111" s="10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8" t="n"/>
      <c r="G112" s="8">
        <f>IF(F112="","",F112*Configuracion!$G$2)</f>
        <v/>
      </c>
      <c r="H112" s="8">
        <f>IF(F112="","",F112+G112)</f>
        <v/>
      </c>
      <c r="I112" s="2" t="n"/>
      <c r="J112" s="2" t="n"/>
      <c r="K112" s="10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8" t="n"/>
      <c r="G113" s="8">
        <f>IF(F113="","",F113*Configuracion!$G$2)</f>
        <v/>
      </c>
      <c r="H113" s="8">
        <f>IF(F113="","",F113+G113)</f>
        <v/>
      </c>
      <c r="I113" s="2" t="n"/>
      <c r="J113" s="2" t="n"/>
      <c r="K113" s="10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8" t="n"/>
      <c r="G114" s="8">
        <f>IF(F114="","",F114*Configuracion!$G$2)</f>
        <v/>
      </c>
      <c r="H114" s="8">
        <f>IF(F114="","",F114+G114)</f>
        <v/>
      </c>
      <c r="I114" s="2" t="n"/>
      <c r="J114" s="2" t="n"/>
      <c r="K114" s="10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8" t="n"/>
      <c r="G115" s="8">
        <f>IF(F115="","",F115*Configuracion!$G$2)</f>
        <v/>
      </c>
      <c r="H115" s="8">
        <f>IF(F115="","",F115+G115)</f>
        <v/>
      </c>
      <c r="I115" s="2" t="n"/>
      <c r="J115" s="2" t="n"/>
      <c r="K115" s="10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8" t="n"/>
      <c r="G116" s="8">
        <f>IF(F116="","",F116*Configuracion!$G$2)</f>
        <v/>
      </c>
      <c r="H116" s="8">
        <f>IF(F116="","",F116+G116)</f>
        <v/>
      </c>
      <c r="I116" s="2" t="n"/>
      <c r="J116" s="2" t="n"/>
      <c r="K116" s="10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8" t="n"/>
      <c r="G117" s="8">
        <f>IF(F117="","",F117*Configuracion!$G$2)</f>
        <v/>
      </c>
      <c r="H117" s="8">
        <f>IF(F117="","",F117+G117)</f>
        <v/>
      </c>
      <c r="I117" s="2" t="n"/>
      <c r="J117" s="2" t="n"/>
      <c r="K117" s="10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8" t="n"/>
      <c r="G118" s="8">
        <f>IF(F118="","",F118*Configuracion!$G$2)</f>
        <v/>
      </c>
      <c r="H118" s="8">
        <f>IF(F118="","",F118+G118)</f>
        <v/>
      </c>
      <c r="I118" s="2" t="n"/>
      <c r="J118" s="2" t="n"/>
      <c r="K118" s="10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8" t="n"/>
      <c r="G119" s="8">
        <f>IF(F119="","",F119*Configuracion!$G$2)</f>
        <v/>
      </c>
      <c r="H119" s="8">
        <f>IF(F119="","",F119+G119)</f>
        <v/>
      </c>
      <c r="I119" s="2" t="n"/>
      <c r="J119" s="2" t="n"/>
      <c r="K119" s="10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8" t="n"/>
      <c r="G120" s="8">
        <f>IF(F120="","",F120*Configuracion!$G$2)</f>
        <v/>
      </c>
      <c r="H120" s="8">
        <f>IF(F120="","",F120+G120)</f>
        <v/>
      </c>
      <c r="I120" s="2" t="n"/>
      <c r="J120" s="2" t="n"/>
      <c r="K120" s="10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8" t="n"/>
      <c r="G121" s="8">
        <f>IF(F121="","",F121*Configuracion!$G$2)</f>
        <v/>
      </c>
      <c r="H121" s="8">
        <f>IF(F121="","",F121+G121)</f>
        <v/>
      </c>
      <c r="I121" s="2" t="n"/>
      <c r="J121" s="2" t="n"/>
      <c r="K121" s="10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8" t="n"/>
      <c r="G122" s="8">
        <f>IF(F122="","",F122*Configuracion!$G$2)</f>
        <v/>
      </c>
      <c r="H122" s="8">
        <f>IF(F122="","",F122+G122)</f>
        <v/>
      </c>
      <c r="I122" s="2" t="n"/>
      <c r="J122" s="2" t="n"/>
      <c r="K122" s="10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8" t="n"/>
      <c r="G123" s="8">
        <f>IF(F123="","",F123*Configuracion!$G$2)</f>
        <v/>
      </c>
      <c r="H123" s="8">
        <f>IF(F123="","",F123+G123)</f>
        <v/>
      </c>
      <c r="I123" s="2" t="n"/>
      <c r="J123" s="2" t="n"/>
      <c r="K123" s="10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8" t="n"/>
      <c r="G124" s="8">
        <f>IF(F124="","",F124*Configuracion!$G$2)</f>
        <v/>
      </c>
      <c r="H124" s="8">
        <f>IF(F124="","",F124+G124)</f>
        <v/>
      </c>
      <c r="I124" s="2" t="n"/>
      <c r="J124" s="2" t="n"/>
      <c r="K124" s="10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8" t="n"/>
      <c r="G125" s="8">
        <f>IF(F125="","",F125*Configuracion!$G$2)</f>
        <v/>
      </c>
      <c r="H125" s="8">
        <f>IF(F125="","",F125+G125)</f>
        <v/>
      </c>
      <c r="I125" s="2" t="n"/>
      <c r="J125" s="2" t="n"/>
      <c r="K125" s="10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8" t="n"/>
      <c r="G126" s="8">
        <f>IF(F126="","",F126*Configuracion!$G$2)</f>
        <v/>
      </c>
      <c r="H126" s="8">
        <f>IF(F126="","",F126+G126)</f>
        <v/>
      </c>
      <c r="I126" s="2" t="n"/>
      <c r="J126" s="2" t="n"/>
      <c r="K126" s="10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8" t="n"/>
      <c r="G127" s="8">
        <f>IF(F127="","",F127*Configuracion!$G$2)</f>
        <v/>
      </c>
      <c r="H127" s="8">
        <f>IF(F127="","",F127+G127)</f>
        <v/>
      </c>
      <c r="I127" s="2" t="n"/>
      <c r="J127" s="2" t="n"/>
      <c r="K127" s="10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8" t="n"/>
      <c r="G128" s="8">
        <f>IF(F128="","",F128*Configuracion!$G$2)</f>
        <v/>
      </c>
      <c r="H128" s="8">
        <f>IF(F128="","",F128+G128)</f>
        <v/>
      </c>
      <c r="I128" s="2" t="n"/>
      <c r="J128" s="2" t="n"/>
      <c r="K128" s="10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8" t="n"/>
      <c r="G129" s="8">
        <f>IF(F129="","",F129*Configuracion!$G$2)</f>
        <v/>
      </c>
      <c r="H129" s="8">
        <f>IF(F129="","",F129+G129)</f>
        <v/>
      </c>
      <c r="I129" s="2" t="n"/>
      <c r="J129" s="2" t="n"/>
      <c r="K129" s="10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8" t="n"/>
      <c r="G130" s="8">
        <f>IF(F130="","",F130*Configuracion!$G$2)</f>
        <v/>
      </c>
      <c r="H130" s="8">
        <f>IF(F130="","",F130+G130)</f>
        <v/>
      </c>
      <c r="I130" s="2" t="n"/>
      <c r="J130" s="2" t="n"/>
      <c r="K130" s="10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8" t="n"/>
      <c r="G131" s="8">
        <f>IF(F131="","",F131*Configuracion!$G$2)</f>
        <v/>
      </c>
      <c r="H131" s="8">
        <f>IF(F131="","",F131+G131)</f>
        <v/>
      </c>
      <c r="I131" s="2" t="n"/>
      <c r="J131" s="2" t="n"/>
      <c r="K131" s="10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8" t="n"/>
      <c r="G132" s="8">
        <f>IF(F132="","",F132*Configuracion!$G$2)</f>
        <v/>
      </c>
      <c r="H132" s="8">
        <f>IF(F132="","",F132+G132)</f>
        <v/>
      </c>
      <c r="I132" s="2" t="n"/>
      <c r="J132" s="2" t="n"/>
      <c r="K132" s="10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8" t="n"/>
      <c r="G133" s="8">
        <f>IF(F133="","",F133*Configuracion!$G$2)</f>
        <v/>
      </c>
      <c r="H133" s="8">
        <f>IF(F133="","",F133+G133)</f>
        <v/>
      </c>
      <c r="I133" s="2" t="n"/>
      <c r="J133" s="2" t="n"/>
      <c r="K133" s="10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8" t="n"/>
      <c r="G134" s="8">
        <f>IF(F134="","",F134*Configuracion!$G$2)</f>
        <v/>
      </c>
      <c r="H134" s="8">
        <f>IF(F134="","",F134+G134)</f>
        <v/>
      </c>
      <c r="I134" s="2" t="n"/>
      <c r="J134" s="2" t="n"/>
      <c r="K134" s="10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8" t="n"/>
      <c r="G135" s="8">
        <f>IF(F135="","",F135*Configuracion!$G$2)</f>
        <v/>
      </c>
      <c r="H135" s="8">
        <f>IF(F135="","",F135+G135)</f>
        <v/>
      </c>
      <c r="I135" s="2" t="n"/>
      <c r="J135" s="2" t="n"/>
      <c r="K135" s="10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8" t="n"/>
      <c r="G136" s="8">
        <f>IF(F136="","",F136*Configuracion!$G$2)</f>
        <v/>
      </c>
      <c r="H136" s="8">
        <f>IF(F136="","",F136+G136)</f>
        <v/>
      </c>
      <c r="I136" s="2" t="n"/>
      <c r="J136" s="2" t="n"/>
      <c r="K136" s="10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8" t="n"/>
      <c r="G137" s="8">
        <f>IF(F137="","",F137*Configuracion!$G$2)</f>
        <v/>
      </c>
      <c r="H137" s="8">
        <f>IF(F137="","",F137+G137)</f>
        <v/>
      </c>
      <c r="I137" s="2" t="n"/>
      <c r="J137" s="2" t="n"/>
      <c r="K137" s="10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8" t="n"/>
      <c r="G138" s="8">
        <f>IF(F138="","",F138*Configuracion!$G$2)</f>
        <v/>
      </c>
      <c r="H138" s="8">
        <f>IF(F138="","",F138+G138)</f>
        <v/>
      </c>
      <c r="I138" s="2" t="n"/>
      <c r="J138" s="2" t="n"/>
      <c r="K138" s="10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8" t="n"/>
      <c r="G139" s="8">
        <f>IF(F139="","",F139*Configuracion!$G$2)</f>
        <v/>
      </c>
      <c r="H139" s="8">
        <f>IF(F139="","",F139+G139)</f>
        <v/>
      </c>
      <c r="I139" s="2" t="n"/>
      <c r="J139" s="2" t="n"/>
      <c r="K139" s="10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8" t="n"/>
      <c r="G140" s="8">
        <f>IF(F140="","",F140*Configuracion!$G$2)</f>
        <v/>
      </c>
      <c r="H140" s="8">
        <f>IF(F140="","",F140+G140)</f>
        <v/>
      </c>
      <c r="I140" s="2" t="n"/>
      <c r="J140" s="2" t="n"/>
      <c r="K140" s="10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8" t="n"/>
      <c r="G141" s="8">
        <f>IF(F141="","",F141*Configuracion!$G$2)</f>
        <v/>
      </c>
      <c r="H141" s="8">
        <f>IF(F141="","",F141+G141)</f>
        <v/>
      </c>
      <c r="I141" s="2" t="n"/>
      <c r="J141" s="2" t="n"/>
      <c r="K141" s="10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8" t="n"/>
      <c r="G142" s="8">
        <f>IF(F142="","",F142*Configuracion!$G$2)</f>
        <v/>
      </c>
      <c r="H142" s="8">
        <f>IF(F142="","",F142+G142)</f>
        <v/>
      </c>
      <c r="I142" s="2" t="n"/>
      <c r="J142" s="2" t="n"/>
      <c r="K142" s="10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8" t="n"/>
      <c r="G143" s="8">
        <f>IF(F143="","",F143*Configuracion!$G$2)</f>
        <v/>
      </c>
      <c r="H143" s="8">
        <f>IF(F143="","",F143+G143)</f>
        <v/>
      </c>
      <c r="I143" s="2" t="n"/>
      <c r="J143" s="2" t="n"/>
      <c r="K143" s="10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8" t="n"/>
      <c r="G144" s="8">
        <f>IF(F144="","",F144*Configuracion!$G$2)</f>
        <v/>
      </c>
      <c r="H144" s="8">
        <f>IF(F144="","",F144+G144)</f>
        <v/>
      </c>
      <c r="I144" s="2" t="n"/>
      <c r="J144" s="2" t="n"/>
      <c r="K144" s="10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8" t="n"/>
      <c r="G145" s="8">
        <f>IF(F145="","",F145*Configuracion!$G$2)</f>
        <v/>
      </c>
      <c r="H145" s="8">
        <f>IF(F145="","",F145+G145)</f>
        <v/>
      </c>
      <c r="I145" s="2" t="n"/>
      <c r="J145" s="2" t="n"/>
      <c r="K145" s="10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8" t="n"/>
      <c r="G146" s="8">
        <f>IF(F146="","",F146*Configuracion!$G$2)</f>
        <v/>
      </c>
      <c r="H146" s="8">
        <f>IF(F146="","",F146+G146)</f>
        <v/>
      </c>
      <c r="I146" s="2" t="n"/>
      <c r="J146" s="2" t="n"/>
      <c r="K146" s="10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8" t="n"/>
      <c r="G147" s="8">
        <f>IF(F147="","",F147*Configuracion!$G$2)</f>
        <v/>
      </c>
      <c r="H147" s="8">
        <f>IF(F147="","",F147+G147)</f>
        <v/>
      </c>
      <c r="I147" s="2" t="n"/>
      <c r="J147" s="2" t="n"/>
      <c r="K147" s="10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8" t="n"/>
      <c r="G148" s="8">
        <f>IF(F148="","",F148*Configuracion!$G$2)</f>
        <v/>
      </c>
      <c r="H148" s="8">
        <f>IF(F148="","",F148+G148)</f>
        <v/>
      </c>
      <c r="I148" s="2" t="n"/>
      <c r="J148" s="2" t="n"/>
      <c r="K148" s="10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8" t="n"/>
      <c r="G149" s="8">
        <f>IF(F149="","",F149*Configuracion!$G$2)</f>
        <v/>
      </c>
      <c r="H149" s="8">
        <f>IF(F149="","",F149+G149)</f>
        <v/>
      </c>
      <c r="I149" s="2" t="n"/>
      <c r="J149" s="2" t="n"/>
      <c r="K149" s="10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8" t="n"/>
      <c r="G150" s="8">
        <f>IF(F150="","",F150*Configuracion!$G$2)</f>
        <v/>
      </c>
      <c r="H150" s="8">
        <f>IF(F150="","",F150+G150)</f>
        <v/>
      </c>
      <c r="I150" s="2" t="n"/>
      <c r="J150" s="2" t="n"/>
      <c r="K150" s="10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8" t="n"/>
      <c r="G151" s="8">
        <f>IF(F151="","",F151*Configuracion!$G$2)</f>
        <v/>
      </c>
      <c r="H151" s="8">
        <f>IF(F151="","",F151+G151)</f>
        <v/>
      </c>
      <c r="I151" s="2" t="n"/>
      <c r="J151" s="2" t="n"/>
      <c r="K151" s="10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8" t="n"/>
      <c r="G152" s="8">
        <f>IF(F152="","",F152*Configuracion!$G$2)</f>
        <v/>
      </c>
      <c r="H152" s="8">
        <f>IF(F152="","",F152+G152)</f>
        <v/>
      </c>
      <c r="I152" s="2" t="n"/>
      <c r="J152" s="2" t="n"/>
      <c r="K152" s="10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8" t="n"/>
      <c r="G153" s="8">
        <f>IF(F153="","",F153*Configuracion!$G$2)</f>
        <v/>
      </c>
      <c r="H153" s="8">
        <f>IF(F153="","",F153+G153)</f>
        <v/>
      </c>
      <c r="I153" s="2" t="n"/>
      <c r="J153" s="2" t="n"/>
      <c r="K153" s="10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8" t="n"/>
      <c r="G154" s="8">
        <f>IF(F154="","",F154*Configuracion!$G$2)</f>
        <v/>
      </c>
      <c r="H154" s="8">
        <f>IF(F154="","",F154+G154)</f>
        <v/>
      </c>
      <c r="I154" s="2" t="n"/>
      <c r="J154" s="2" t="n"/>
      <c r="K154" s="10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8" t="n"/>
      <c r="G155" s="8">
        <f>IF(F155="","",F155*Configuracion!$G$2)</f>
        <v/>
      </c>
      <c r="H155" s="8">
        <f>IF(F155="","",F155+G155)</f>
        <v/>
      </c>
      <c r="I155" s="2" t="n"/>
      <c r="J155" s="2" t="n"/>
      <c r="K155" s="10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8" t="n"/>
      <c r="G156" s="8">
        <f>IF(F156="","",F156*Configuracion!$G$2)</f>
        <v/>
      </c>
      <c r="H156" s="8">
        <f>IF(F156="","",F156+G156)</f>
        <v/>
      </c>
      <c r="I156" s="2" t="n"/>
      <c r="J156" s="2" t="n"/>
      <c r="K156" s="10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8" t="n"/>
      <c r="G157" s="8">
        <f>IF(F157="","",F157*Configuracion!$G$2)</f>
        <v/>
      </c>
      <c r="H157" s="8">
        <f>IF(F157="","",F157+G157)</f>
        <v/>
      </c>
      <c r="I157" s="2" t="n"/>
      <c r="J157" s="2" t="n"/>
      <c r="K157" s="10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8" t="n"/>
      <c r="G158" s="8">
        <f>IF(F158="","",F158*Configuracion!$G$2)</f>
        <v/>
      </c>
      <c r="H158" s="8">
        <f>IF(F158="","",F158+G158)</f>
        <v/>
      </c>
      <c r="I158" s="2" t="n"/>
      <c r="J158" s="2" t="n"/>
      <c r="K158" s="10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8" t="n"/>
      <c r="G159" s="8">
        <f>IF(F159="","",F159*Configuracion!$G$2)</f>
        <v/>
      </c>
      <c r="H159" s="8">
        <f>IF(F159="","",F159+G159)</f>
        <v/>
      </c>
      <c r="I159" s="2" t="n"/>
      <c r="J159" s="2" t="n"/>
      <c r="K159" s="10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8" t="n"/>
      <c r="G160" s="8">
        <f>IF(F160="","",F160*Configuracion!$G$2)</f>
        <v/>
      </c>
      <c r="H160" s="8">
        <f>IF(F160="","",F160+G160)</f>
        <v/>
      </c>
      <c r="I160" s="2" t="n"/>
      <c r="J160" s="2" t="n"/>
      <c r="K160" s="10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8" t="n"/>
      <c r="G161" s="8">
        <f>IF(F161="","",F161*Configuracion!$G$2)</f>
        <v/>
      </c>
      <c r="H161" s="8">
        <f>IF(F161="","",F161+G161)</f>
        <v/>
      </c>
      <c r="I161" s="2" t="n"/>
      <c r="J161" s="2" t="n"/>
      <c r="K161" s="10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8" t="n"/>
      <c r="G162" s="8">
        <f>IF(F162="","",F162*Configuracion!$G$2)</f>
        <v/>
      </c>
      <c r="H162" s="8">
        <f>IF(F162="","",F162+G162)</f>
        <v/>
      </c>
      <c r="I162" s="2" t="n"/>
      <c r="J162" s="2" t="n"/>
      <c r="K162" s="10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8" t="n"/>
      <c r="G163" s="8">
        <f>IF(F163="","",F163*Configuracion!$G$2)</f>
        <v/>
      </c>
      <c r="H163" s="8">
        <f>IF(F163="","",F163+G163)</f>
        <v/>
      </c>
      <c r="I163" s="2" t="n"/>
      <c r="J163" s="2" t="n"/>
      <c r="K163" s="10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8" t="n"/>
      <c r="G164" s="8">
        <f>IF(F164="","",F164*Configuracion!$G$2)</f>
        <v/>
      </c>
      <c r="H164" s="8">
        <f>IF(F164="","",F164+G164)</f>
        <v/>
      </c>
      <c r="I164" s="2" t="n"/>
      <c r="J164" s="2" t="n"/>
      <c r="K164" s="10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8" t="n"/>
      <c r="G165" s="8">
        <f>IF(F165="","",F165*Configuracion!$G$2)</f>
        <v/>
      </c>
      <c r="H165" s="8">
        <f>IF(F165="","",F165+G165)</f>
        <v/>
      </c>
      <c r="I165" s="2" t="n"/>
      <c r="J165" s="2" t="n"/>
      <c r="K165" s="10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8" t="n"/>
      <c r="G166" s="8">
        <f>IF(F166="","",F166*Configuracion!$G$2)</f>
        <v/>
      </c>
      <c r="H166" s="8">
        <f>IF(F166="","",F166+G166)</f>
        <v/>
      </c>
      <c r="I166" s="2" t="n"/>
      <c r="J166" s="2" t="n"/>
      <c r="K166" s="10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8" t="n"/>
      <c r="G167" s="8">
        <f>IF(F167="","",F167*Configuracion!$G$2)</f>
        <v/>
      </c>
      <c r="H167" s="8">
        <f>IF(F167="","",F167+G167)</f>
        <v/>
      </c>
      <c r="I167" s="2" t="n"/>
      <c r="J167" s="2" t="n"/>
      <c r="K167" s="10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8" t="n"/>
      <c r="G168" s="8">
        <f>IF(F168="","",F168*Configuracion!$G$2)</f>
        <v/>
      </c>
      <c r="H168" s="8">
        <f>IF(F168="","",F168+G168)</f>
        <v/>
      </c>
      <c r="I168" s="2" t="n"/>
      <c r="J168" s="2" t="n"/>
      <c r="K168" s="10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8" t="n"/>
      <c r="G169" s="8">
        <f>IF(F169="","",F169*Configuracion!$G$2)</f>
        <v/>
      </c>
      <c r="H169" s="8">
        <f>IF(F169="","",F169+G169)</f>
        <v/>
      </c>
      <c r="I169" s="2" t="n"/>
      <c r="J169" s="2" t="n"/>
      <c r="K169" s="10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8" t="n"/>
      <c r="G170" s="8">
        <f>IF(F170="","",F170*Configuracion!$G$2)</f>
        <v/>
      </c>
      <c r="H170" s="8">
        <f>IF(F170="","",F170+G170)</f>
        <v/>
      </c>
      <c r="I170" s="2" t="n"/>
      <c r="J170" s="2" t="n"/>
      <c r="K170" s="10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8" t="n"/>
      <c r="G171" s="8">
        <f>IF(F171="","",F171*Configuracion!$G$2)</f>
        <v/>
      </c>
      <c r="H171" s="8">
        <f>IF(F171="","",F171+G171)</f>
        <v/>
      </c>
      <c r="I171" s="2" t="n"/>
      <c r="J171" s="2" t="n"/>
      <c r="K171" s="10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8" t="n"/>
      <c r="G172" s="8">
        <f>IF(F172="","",F172*Configuracion!$G$2)</f>
        <v/>
      </c>
      <c r="H172" s="8">
        <f>IF(F172="","",F172+G172)</f>
        <v/>
      </c>
      <c r="I172" s="2" t="n"/>
      <c r="J172" s="2" t="n"/>
      <c r="K172" s="10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8" t="n"/>
      <c r="G173" s="8">
        <f>IF(F173="","",F173*Configuracion!$G$2)</f>
        <v/>
      </c>
      <c r="H173" s="8">
        <f>IF(F173="","",F173+G173)</f>
        <v/>
      </c>
      <c r="I173" s="2" t="n"/>
      <c r="J173" s="2" t="n"/>
      <c r="K173" s="10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8" t="n"/>
      <c r="G174" s="8">
        <f>IF(F174="","",F174*Configuracion!$G$2)</f>
        <v/>
      </c>
      <c r="H174" s="8">
        <f>IF(F174="","",F174+G174)</f>
        <v/>
      </c>
      <c r="I174" s="2" t="n"/>
      <c r="J174" s="2" t="n"/>
      <c r="K174" s="10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8" t="n"/>
      <c r="G175" s="8">
        <f>IF(F175="","",F175*Configuracion!$G$2)</f>
        <v/>
      </c>
      <c r="H175" s="8">
        <f>IF(F175="","",F175+G175)</f>
        <v/>
      </c>
      <c r="I175" s="2" t="n"/>
      <c r="J175" s="2" t="n"/>
      <c r="K175" s="10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8" t="n"/>
      <c r="G176" s="8">
        <f>IF(F176="","",F176*Configuracion!$G$2)</f>
        <v/>
      </c>
      <c r="H176" s="8">
        <f>IF(F176="","",F176+G176)</f>
        <v/>
      </c>
      <c r="I176" s="2" t="n"/>
      <c r="J176" s="2" t="n"/>
      <c r="K176" s="10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8" t="n"/>
      <c r="G177" s="8">
        <f>IF(F177="","",F177*Configuracion!$G$2)</f>
        <v/>
      </c>
      <c r="H177" s="8">
        <f>IF(F177="","",F177+G177)</f>
        <v/>
      </c>
      <c r="I177" s="2" t="n"/>
      <c r="J177" s="2" t="n"/>
      <c r="K177" s="10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8" t="n"/>
      <c r="G178" s="8">
        <f>IF(F178="","",F178*Configuracion!$G$2)</f>
        <v/>
      </c>
      <c r="H178" s="8">
        <f>IF(F178="","",F178+G178)</f>
        <v/>
      </c>
      <c r="I178" s="2" t="n"/>
      <c r="J178" s="2" t="n"/>
      <c r="K178" s="10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8" t="n"/>
      <c r="G179" s="8">
        <f>IF(F179="","",F179*Configuracion!$G$2)</f>
        <v/>
      </c>
      <c r="H179" s="8">
        <f>IF(F179="","",F179+G179)</f>
        <v/>
      </c>
      <c r="I179" s="2" t="n"/>
      <c r="J179" s="2" t="n"/>
      <c r="K179" s="10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8" t="n"/>
      <c r="G180" s="8">
        <f>IF(F180="","",F180*Configuracion!$G$2)</f>
        <v/>
      </c>
      <c r="H180" s="8">
        <f>IF(F180="","",F180+G180)</f>
        <v/>
      </c>
      <c r="I180" s="2" t="n"/>
      <c r="J180" s="2" t="n"/>
      <c r="K180" s="10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8" t="n"/>
      <c r="G181" s="8">
        <f>IF(F181="","",F181*Configuracion!$G$2)</f>
        <v/>
      </c>
      <c r="H181" s="8">
        <f>IF(F181="","",F181+G181)</f>
        <v/>
      </c>
      <c r="I181" s="2" t="n"/>
      <c r="J181" s="2" t="n"/>
      <c r="K181" s="10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8" t="n"/>
      <c r="G182" s="8">
        <f>IF(F182="","",F182*Configuracion!$G$2)</f>
        <v/>
      </c>
      <c r="H182" s="8">
        <f>IF(F182="","",F182+G182)</f>
        <v/>
      </c>
      <c r="I182" s="2" t="n"/>
      <c r="J182" s="2" t="n"/>
      <c r="K182" s="10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8" t="n"/>
      <c r="G183" s="8">
        <f>IF(F183="","",F183*Configuracion!$G$2)</f>
        <v/>
      </c>
      <c r="H183" s="8">
        <f>IF(F183="","",F183+G183)</f>
        <v/>
      </c>
      <c r="I183" s="2" t="n"/>
      <c r="J183" s="2" t="n"/>
      <c r="K183" s="10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8" t="n"/>
      <c r="G184" s="8">
        <f>IF(F184="","",F184*Configuracion!$G$2)</f>
        <v/>
      </c>
      <c r="H184" s="8">
        <f>IF(F184="","",F184+G184)</f>
        <v/>
      </c>
      <c r="I184" s="2" t="n"/>
      <c r="J184" s="2" t="n"/>
      <c r="K184" s="10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8" t="n"/>
      <c r="G185" s="8">
        <f>IF(F185="","",F185*Configuracion!$G$2)</f>
        <v/>
      </c>
      <c r="H185" s="8">
        <f>IF(F185="","",F185+G185)</f>
        <v/>
      </c>
      <c r="I185" s="2" t="n"/>
      <c r="J185" s="2" t="n"/>
      <c r="K185" s="10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8" t="n"/>
      <c r="G186" s="8">
        <f>IF(F186="","",F186*Configuracion!$G$2)</f>
        <v/>
      </c>
      <c r="H186" s="8">
        <f>IF(F186="","",F186+G186)</f>
        <v/>
      </c>
      <c r="I186" s="2" t="n"/>
      <c r="J186" s="2" t="n"/>
      <c r="K186" s="10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8" t="n"/>
      <c r="G187" s="8">
        <f>IF(F187="","",F187*Configuracion!$G$2)</f>
        <v/>
      </c>
      <c r="H187" s="8">
        <f>IF(F187="","",F187+G187)</f>
        <v/>
      </c>
      <c r="I187" s="2" t="n"/>
      <c r="J187" s="2" t="n"/>
      <c r="K187" s="10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8" t="n"/>
      <c r="G188" s="8">
        <f>IF(F188="","",F188*Configuracion!$G$2)</f>
        <v/>
      </c>
      <c r="H188" s="8">
        <f>IF(F188="","",F188+G188)</f>
        <v/>
      </c>
      <c r="I188" s="2" t="n"/>
      <c r="J188" s="2" t="n"/>
      <c r="K188" s="10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8" t="n"/>
      <c r="G189" s="8">
        <f>IF(F189="","",F189*Configuracion!$G$2)</f>
        <v/>
      </c>
      <c r="H189" s="8">
        <f>IF(F189="","",F189+G189)</f>
        <v/>
      </c>
      <c r="I189" s="2" t="n"/>
      <c r="J189" s="2" t="n"/>
      <c r="K189" s="10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8" t="n"/>
      <c r="G190" s="8">
        <f>IF(F190="","",F190*Configuracion!$G$2)</f>
        <v/>
      </c>
      <c r="H190" s="8">
        <f>IF(F190="","",F190+G190)</f>
        <v/>
      </c>
      <c r="I190" s="2" t="n"/>
      <c r="J190" s="2" t="n"/>
      <c r="K190" s="10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8" t="n"/>
      <c r="G191" s="8">
        <f>IF(F191="","",F191*Configuracion!$G$2)</f>
        <v/>
      </c>
      <c r="H191" s="8">
        <f>IF(F191="","",F191+G191)</f>
        <v/>
      </c>
      <c r="I191" s="2" t="n"/>
      <c r="J191" s="2" t="n"/>
      <c r="K191" s="10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8" t="n"/>
      <c r="G192" s="8">
        <f>IF(F192="","",F192*Configuracion!$G$2)</f>
        <v/>
      </c>
      <c r="H192" s="8">
        <f>IF(F192="","",F192+G192)</f>
        <v/>
      </c>
      <c r="I192" s="2" t="n"/>
      <c r="J192" s="2" t="n"/>
      <c r="K192" s="10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8" t="n"/>
      <c r="G193" s="8">
        <f>IF(F193="","",F193*Configuracion!$G$2)</f>
        <v/>
      </c>
      <c r="H193" s="8">
        <f>IF(F193="","",F193+G193)</f>
        <v/>
      </c>
      <c r="I193" s="2" t="n"/>
      <c r="J193" s="2" t="n"/>
      <c r="K193" s="10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8" t="n"/>
      <c r="G194" s="8">
        <f>IF(F194="","",F194*Configuracion!$G$2)</f>
        <v/>
      </c>
      <c r="H194" s="8">
        <f>IF(F194="","",F194+G194)</f>
        <v/>
      </c>
      <c r="I194" s="2" t="n"/>
      <c r="J194" s="2" t="n"/>
      <c r="K194" s="10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8" t="n"/>
      <c r="G195" s="8">
        <f>IF(F195="","",F195*Configuracion!$G$2)</f>
        <v/>
      </c>
      <c r="H195" s="8">
        <f>IF(F195="","",F195+G195)</f>
        <v/>
      </c>
      <c r="I195" s="2" t="n"/>
      <c r="J195" s="2" t="n"/>
      <c r="K195" s="10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8" t="n"/>
      <c r="G196" s="8">
        <f>IF(F196="","",F196*Configuracion!$G$2)</f>
        <v/>
      </c>
      <c r="H196" s="8">
        <f>IF(F196="","",F196+G196)</f>
        <v/>
      </c>
      <c r="I196" s="2" t="n"/>
      <c r="J196" s="2" t="n"/>
      <c r="K196" s="10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8" t="n"/>
      <c r="G197" s="8">
        <f>IF(F197="","",F197*Configuracion!$G$2)</f>
        <v/>
      </c>
      <c r="H197" s="8">
        <f>IF(F197="","",F197+G197)</f>
        <v/>
      </c>
      <c r="I197" s="2" t="n"/>
      <c r="J197" s="2" t="n"/>
      <c r="K197" s="10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8" t="n"/>
      <c r="G198" s="8">
        <f>IF(F198="","",F198*Configuracion!$G$2)</f>
        <v/>
      </c>
      <c r="H198" s="8">
        <f>IF(F198="","",F198+G198)</f>
        <v/>
      </c>
      <c r="I198" s="2" t="n"/>
      <c r="J198" s="2" t="n"/>
      <c r="K198" s="10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8" t="n"/>
      <c r="G199" s="8">
        <f>IF(F199="","",F199*Configuracion!$G$2)</f>
        <v/>
      </c>
      <c r="H199" s="8">
        <f>IF(F199="","",F199+G199)</f>
        <v/>
      </c>
      <c r="I199" s="2" t="n"/>
      <c r="J199" s="2" t="n"/>
      <c r="K199" s="10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8" t="n"/>
      <c r="G200" s="8">
        <f>IF(F200="","",F200*Configuracion!$G$2)</f>
        <v/>
      </c>
      <c r="H200" s="8">
        <f>IF(F200="","",F200+G200)</f>
        <v/>
      </c>
      <c r="I200" s="2" t="n"/>
      <c r="J200" s="2" t="n"/>
      <c r="K200" s="10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8" t="n"/>
      <c r="G201" s="8">
        <f>IF(F201="","",F201*Configuracion!$G$2)</f>
        <v/>
      </c>
      <c r="H201" s="8">
        <f>IF(F201="","",F201+G201)</f>
        <v/>
      </c>
      <c r="I201" s="2" t="n"/>
      <c r="J201" s="2" t="n"/>
      <c r="K201" s="10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8" t="n"/>
      <c r="G202" s="8">
        <f>IF(F202="","",F202*Configuracion!$G$2)</f>
        <v/>
      </c>
      <c r="H202" s="8">
        <f>IF(F202="","",F202+G202)</f>
        <v/>
      </c>
      <c r="I202" s="2" t="n"/>
      <c r="J202" s="2" t="n"/>
      <c r="K202" s="10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8" t="n"/>
      <c r="G203" s="8">
        <f>IF(F203="","",F203*Configuracion!$G$2)</f>
        <v/>
      </c>
      <c r="H203" s="8">
        <f>IF(F203="","",F203+G203)</f>
        <v/>
      </c>
      <c r="I203" s="2" t="n"/>
      <c r="J203" s="2" t="n"/>
      <c r="K203" s="10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8" t="n"/>
      <c r="G204" s="8">
        <f>IF(F204="","",F204*Configuracion!$G$2)</f>
        <v/>
      </c>
      <c r="H204" s="8">
        <f>IF(F204="","",F204+G204)</f>
        <v/>
      </c>
      <c r="I204" s="2" t="n"/>
      <c r="J204" s="2" t="n"/>
      <c r="K204" s="10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8" t="n"/>
      <c r="G205" s="8">
        <f>IF(F205="","",F205*Configuracion!$G$2)</f>
        <v/>
      </c>
      <c r="H205" s="8">
        <f>IF(F205="","",F205+G205)</f>
        <v/>
      </c>
      <c r="I205" s="2" t="n"/>
      <c r="J205" s="2" t="n"/>
      <c r="K205" s="10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8" t="n"/>
      <c r="G206" s="8">
        <f>IF(F206="","",F206*Configuracion!$G$2)</f>
        <v/>
      </c>
      <c r="H206" s="8">
        <f>IF(F206="","",F206+G206)</f>
        <v/>
      </c>
      <c r="I206" s="2" t="n"/>
      <c r="J206" s="2" t="n"/>
      <c r="K206" s="10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8" t="n"/>
      <c r="G207" s="8">
        <f>IF(F207="","",F207*Configuracion!$G$2)</f>
        <v/>
      </c>
      <c r="H207" s="8">
        <f>IF(F207="","",F207+G207)</f>
        <v/>
      </c>
      <c r="I207" s="2" t="n"/>
      <c r="J207" s="2" t="n"/>
      <c r="K207" s="10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8" t="n"/>
      <c r="G208" s="8">
        <f>IF(F208="","",F208*Configuracion!$G$2)</f>
        <v/>
      </c>
      <c r="H208" s="8">
        <f>IF(F208="","",F208+G208)</f>
        <v/>
      </c>
      <c r="I208" s="2" t="n"/>
      <c r="J208" s="2" t="n"/>
      <c r="K208" s="10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8" t="n"/>
      <c r="G209" s="8">
        <f>IF(F209="","",F209*Configuracion!$G$2)</f>
        <v/>
      </c>
      <c r="H209" s="8">
        <f>IF(F209="","",F209+G209)</f>
        <v/>
      </c>
      <c r="I209" s="2" t="n"/>
      <c r="J209" s="2" t="n"/>
      <c r="K209" s="10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8" t="n"/>
      <c r="G210" s="8">
        <f>IF(F210="","",F210*Configuracion!$G$2)</f>
        <v/>
      </c>
      <c r="H210" s="8">
        <f>IF(F210="","",F210+G210)</f>
        <v/>
      </c>
      <c r="I210" s="2" t="n"/>
      <c r="J210" s="2" t="n"/>
      <c r="K210" s="10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8" t="n"/>
      <c r="G211" s="8">
        <f>IF(F211="","",F211*Configuracion!$G$2)</f>
        <v/>
      </c>
      <c r="H211" s="8">
        <f>IF(F211="","",F211+G211)</f>
        <v/>
      </c>
      <c r="I211" s="2" t="n"/>
      <c r="J211" s="2" t="n"/>
      <c r="K211" s="10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8" t="n"/>
      <c r="G212" s="8">
        <f>IF(F212="","",F212*Configuracion!$G$2)</f>
        <v/>
      </c>
      <c r="H212" s="8">
        <f>IF(F212="","",F212+G212)</f>
        <v/>
      </c>
      <c r="I212" s="2" t="n"/>
      <c r="J212" s="2" t="n"/>
      <c r="K212" s="10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8" t="n"/>
      <c r="G213" s="8">
        <f>IF(F213="","",F213*Configuracion!$G$2)</f>
        <v/>
      </c>
      <c r="H213" s="8">
        <f>IF(F213="","",F213+G213)</f>
        <v/>
      </c>
      <c r="I213" s="2" t="n"/>
      <c r="J213" s="2" t="n"/>
      <c r="K213" s="10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8" t="n"/>
      <c r="G214" s="8">
        <f>IF(F214="","",F214*Configuracion!$G$2)</f>
        <v/>
      </c>
      <c r="H214" s="8">
        <f>IF(F214="","",F214+G214)</f>
        <v/>
      </c>
      <c r="I214" s="2" t="n"/>
      <c r="J214" s="2" t="n"/>
      <c r="K214" s="10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8" t="n"/>
      <c r="G215" s="8">
        <f>IF(F215="","",F215*Configuracion!$G$2)</f>
        <v/>
      </c>
      <c r="H215" s="8">
        <f>IF(F215="","",F215+G215)</f>
        <v/>
      </c>
      <c r="I215" s="2" t="n"/>
      <c r="J215" s="2" t="n"/>
      <c r="K215" s="10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8" t="n"/>
      <c r="G216" s="8">
        <f>IF(F216="","",F216*Configuracion!$G$2)</f>
        <v/>
      </c>
      <c r="H216" s="8">
        <f>IF(F216="","",F216+G216)</f>
        <v/>
      </c>
      <c r="I216" s="2" t="n"/>
      <c r="J216" s="2" t="n"/>
      <c r="K216" s="10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8" t="n"/>
      <c r="G217" s="8">
        <f>IF(F217="","",F217*Configuracion!$G$2)</f>
        <v/>
      </c>
      <c r="H217" s="8">
        <f>IF(F217="","",F217+G217)</f>
        <v/>
      </c>
      <c r="I217" s="2" t="n"/>
      <c r="J217" s="2" t="n"/>
      <c r="K217" s="10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8" t="n"/>
      <c r="G218" s="8">
        <f>IF(F218="","",F218*Configuracion!$G$2)</f>
        <v/>
      </c>
      <c r="H218" s="8">
        <f>IF(F218="","",F218+G218)</f>
        <v/>
      </c>
      <c r="I218" s="2" t="n"/>
      <c r="J218" s="2" t="n"/>
      <c r="K218" s="10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8" t="n"/>
      <c r="G219" s="8">
        <f>IF(F219="","",F219*Configuracion!$G$2)</f>
        <v/>
      </c>
      <c r="H219" s="8">
        <f>IF(F219="","",F219+G219)</f>
        <v/>
      </c>
      <c r="I219" s="2" t="n"/>
      <c r="J219" s="2" t="n"/>
      <c r="K219" s="10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8" t="n"/>
      <c r="G220" s="8">
        <f>IF(F220="","",F220*Configuracion!$G$2)</f>
        <v/>
      </c>
      <c r="H220" s="8">
        <f>IF(F220="","",F220+G220)</f>
        <v/>
      </c>
      <c r="I220" s="2" t="n"/>
      <c r="J220" s="2" t="n"/>
      <c r="K220" s="10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8" t="n"/>
      <c r="G221" s="8">
        <f>IF(F221="","",F221*Configuracion!$G$2)</f>
        <v/>
      </c>
      <c r="H221" s="8">
        <f>IF(F221="","",F221+G221)</f>
        <v/>
      </c>
      <c r="I221" s="2" t="n"/>
      <c r="J221" s="2" t="n"/>
      <c r="K221" s="10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8" t="n"/>
      <c r="G222" s="8">
        <f>IF(F222="","",F222*Configuracion!$G$2)</f>
        <v/>
      </c>
      <c r="H222" s="8">
        <f>IF(F222="","",F222+G222)</f>
        <v/>
      </c>
      <c r="I222" s="2" t="n"/>
      <c r="J222" s="2" t="n"/>
      <c r="K222" s="10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8" t="n"/>
      <c r="G223" s="8">
        <f>IF(F223="","",F223*Configuracion!$G$2)</f>
        <v/>
      </c>
      <c r="H223" s="8">
        <f>IF(F223="","",F223+G223)</f>
        <v/>
      </c>
      <c r="I223" s="2" t="n"/>
      <c r="J223" s="2" t="n"/>
      <c r="K223" s="10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8" t="n"/>
      <c r="G224" s="8">
        <f>IF(F224="","",F224*Configuracion!$G$2)</f>
        <v/>
      </c>
      <c r="H224" s="8">
        <f>IF(F224="","",F224+G224)</f>
        <v/>
      </c>
      <c r="I224" s="2" t="n"/>
      <c r="J224" s="2" t="n"/>
      <c r="K224" s="10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8" t="n"/>
      <c r="G225" s="8">
        <f>IF(F225="","",F225*Configuracion!$G$2)</f>
        <v/>
      </c>
      <c r="H225" s="8">
        <f>IF(F225="","",F225+G225)</f>
        <v/>
      </c>
      <c r="I225" s="2" t="n"/>
      <c r="J225" s="2" t="n"/>
      <c r="K225" s="10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8" t="n"/>
      <c r="G226" s="8">
        <f>IF(F226="","",F226*Configuracion!$G$2)</f>
        <v/>
      </c>
      <c r="H226" s="8">
        <f>IF(F226="","",F226+G226)</f>
        <v/>
      </c>
      <c r="I226" s="2" t="n"/>
      <c r="J226" s="2" t="n"/>
      <c r="K226" s="10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8" t="n"/>
      <c r="G227" s="8">
        <f>IF(F227="","",F227*Configuracion!$G$2)</f>
        <v/>
      </c>
      <c r="H227" s="8">
        <f>IF(F227="","",F227+G227)</f>
        <v/>
      </c>
      <c r="I227" s="2" t="n"/>
      <c r="J227" s="2" t="n"/>
      <c r="K227" s="10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8" t="n"/>
      <c r="G228" s="8">
        <f>IF(F228="","",F228*Configuracion!$G$2)</f>
        <v/>
      </c>
      <c r="H228" s="8">
        <f>IF(F228="","",F228+G228)</f>
        <v/>
      </c>
      <c r="I228" s="2" t="n"/>
      <c r="J228" s="2" t="n"/>
      <c r="K228" s="10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8" t="n"/>
      <c r="G229" s="8">
        <f>IF(F229="","",F229*Configuracion!$G$2)</f>
        <v/>
      </c>
      <c r="H229" s="8">
        <f>IF(F229="","",F229+G229)</f>
        <v/>
      </c>
      <c r="I229" s="2" t="n"/>
      <c r="J229" s="2" t="n"/>
      <c r="K229" s="10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8" t="n"/>
      <c r="G230" s="8">
        <f>IF(F230="","",F230*Configuracion!$G$2)</f>
        <v/>
      </c>
      <c r="H230" s="8">
        <f>IF(F230="","",F230+G230)</f>
        <v/>
      </c>
      <c r="I230" s="2" t="n"/>
      <c r="J230" s="2" t="n"/>
      <c r="K230" s="10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8" t="n"/>
      <c r="G231" s="8">
        <f>IF(F231="","",F231*Configuracion!$G$2)</f>
        <v/>
      </c>
      <c r="H231" s="8">
        <f>IF(F231="","",F231+G231)</f>
        <v/>
      </c>
      <c r="I231" s="2" t="n"/>
      <c r="J231" s="2" t="n"/>
      <c r="K231" s="10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8" t="n"/>
      <c r="G232" s="8">
        <f>IF(F232="","",F232*Configuracion!$G$2)</f>
        <v/>
      </c>
      <c r="H232" s="8">
        <f>IF(F232="","",F232+G232)</f>
        <v/>
      </c>
      <c r="I232" s="2" t="n"/>
      <c r="J232" s="2" t="n"/>
      <c r="K232" s="10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8" t="n"/>
      <c r="G233" s="8">
        <f>IF(F233="","",F233*Configuracion!$G$2)</f>
        <v/>
      </c>
      <c r="H233" s="8">
        <f>IF(F233="","",F233+G233)</f>
        <v/>
      </c>
      <c r="I233" s="2" t="n"/>
      <c r="J233" s="2" t="n"/>
      <c r="K233" s="10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8" t="n"/>
      <c r="G234" s="8">
        <f>IF(F234="","",F234*Configuracion!$G$2)</f>
        <v/>
      </c>
      <c r="H234" s="8">
        <f>IF(F234="","",F234+G234)</f>
        <v/>
      </c>
      <c r="I234" s="2" t="n"/>
      <c r="J234" s="2" t="n"/>
      <c r="K234" s="10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8" t="n"/>
      <c r="G235" s="8">
        <f>IF(F235="","",F235*Configuracion!$G$2)</f>
        <v/>
      </c>
      <c r="H235" s="8">
        <f>IF(F235="","",F235+G235)</f>
        <v/>
      </c>
      <c r="I235" s="2" t="n"/>
      <c r="J235" s="2" t="n"/>
      <c r="K235" s="10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8" t="n"/>
      <c r="G236" s="8">
        <f>IF(F236="","",F236*Configuracion!$G$2)</f>
        <v/>
      </c>
      <c r="H236" s="8">
        <f>IF(F236="","",F236+G236)</f>
        <v/>
      </c>
      <c r="I236" s="2" t="n"/>
      <c r="J236" s="2" t="n"/>
      <c r="K236" s="10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8" t="n"/>
      <c r="G237" s="8">
        <f>IF(F237="","",F237*Configuracion!$G$2)</f>
        <v/>
      </c>
      <c r="H237" s="8">
        <f>IF(F237="","",F237+G237)</f>
        <v/>
      </c>
      <c r="I237" s="2" t="n"/>
      <c r="J237" s="2" t="n"/>
      <c r="K237" s="10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8" t="n"/>
      <c r="G238" s="8">
        <f>IF(F238="","",F238*Configuracion!$G$2)</f>
        <v/>
      </c>
      <c r="H238" s="8">
        <f>IF(F238="","",F238+G238)</f>
        <v/>
      </c>
      <c r="I238" s="2" t="n"/>
      <c r="J238" s="2" t="n"/>
      <c r="K238" s="10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8" t="n"/>
      <c r="G239" s="8">
        <f>IF(F239="","",F239*Configuracion!$G$2)</f>
        <v/>
      </c>
      <c r="H239" s="8">
        <f>IF(F239="","",F239+G239)</f>
        <v/>
      </c>
      <c r="I239" s="2" t="n"/>
      <c r="J239" s="2" t="n"/>
      <c r="K239" s="10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8" t="n"/>
      <c r="G240" s="8">
        <f>IF(F240="","",F240*Configuracion!$G$2)</f>
        <v/>
      </c>
      <c r="H240" s="8">
        <f>IF(F240="","",F240+G240)</f>
        <v/>
      </c>
      <c r="I240" s="2" t="n"/>
      <c r="J240" s="2" t="n"/>
      <c r="K240" s="10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8" t="n"/>
      <c r="G241" s="8">
        <f>IF(F241="","",F241*Configuracion!$G$2)</f>
        <v/>
      </c>
      <c r="H241" s="8">
        <f>IF(F241="","",F241+G241)</f>
        <v/>
      </c>
      <c r="I241" s="2" t="n"/>
      <c r="J241" s="2" t="n"/>
      <c r="K241" s="10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8" t="n"/>
      <c r="G242" s="8">
        <f>IF(F242="","",F242*Configuracion!$G$2)</f>
        <v/>
      </c>
      <c r="H242" s="8">
        <f>IF(F242="","",F242+G242)</f>
        <v/>
      </c>
      <c r="I242" s="2" t="n"/>
      <c r="J242" s="2" t="n"/>
      <c r="K242" s="10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8" t="n"/>
      <c r="G243" s="8">
        <f>IF(F243="","",F243*Configuracion!$G$2)</f>
        <v/>
      </c>
      <c r="H243" s="8">
        <f>IF(F243="","",F243+G243)</f>
        <v/>
      </c>
      <c r="I243" s="2" t="n"/>
      <c r="J243" s="2" t="n"/>
      <c r="K243" s="10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8" t="n"/>
      <c r="G244" s="8">
        <f>IF(F244="","",F244*Configuracion!$G$2)</f>
        <v/>
      </c>
      <c r="H244" s="8">
        <f>IF(F244="","",F244+G244)</f>
        <v/>
      </c>
      <c r="I244" s="2" t="n"/>
      <c r="J244" s="2" t="n"/>
      <c r="K244" s="10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8" t="n"/>
      <c r="G245" s="8">
        <f>IF(F245="","",F245*Configuracion!$G$2)</f>
        <v/>
      </c>
      <c r="H245" s="8">
        <f>IF(F245="","",F245+G245)</f>
        <v/>
      </c>
      <c r="I245" s="2" t="n"/>
      <c r="J245" s="2" t="n"/>
      <c r="K245" s="10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8" t="n"/>
      <c r="G246" s="8">
        <f>IF(F246="","",F246*Configuracion!$G$2)</f>
        <v/>
      </c>
      <c r="H246" s="8">
        <f>IF(F246="","",F246+G246)</f>
        <v/>
      </c>
      <c r="I246" s="2" t="n"/>
      <c r="J246" s="2" t="n"/>
      <c r="K246" s="10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8" t="n"/>
      <c r="G247" s="8">
        <f>IF(F247="","",F247*Configuracion!$G$2)</f>
        <v/>
      </c>
      <c r="H247" s="8">
        <f>IF(F247="","",F247+G247)</f>
        <v/>
      </c>
      <c r="I247" s="2" t="n"/>
      <c r="J247" s="2" t="n"/>
      <c r="K247" s="10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8" t="n"/>
      <c r="G248" s="8">
        <f>IF(F248="","",F248*Configuracion!$G$2)</f>
        <v/>
      </c>
      <c r="H248" s="8">
        <f>IF(F248="","",F248+G248)</f>
        <v/>
      </c>
      <c r="I248" s="2" t="n"/>
      <c r="J248" s="2" t="n"/>
      <c r="K248" s="10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8" t="n"/>
      <c r="G249" s="8">
        <f>IF(F249="","",F249*Configuracion!$G$2)</f>
        <v/>
      </c>
      <c r="H249" s="8">
        <f>IF(F249="","",F249+G249)</f>
        <v/>
      </c>
      <c r="I249" s="2" t="n"/>
      <c r="J249" s="2" t="n"/>
      <c r="K249" s="10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8" t="n"/>
      <c r="G250" s="8">
        <f>IF(F250="","",F250*Configuracion!$G$2)</f>
        <v/>
      </c>
      <c r="H250" s="8">
        <f>IF(F250="","",F250+G250)</f>
        <v/>
      </c>
      <c r="I250" s="2" t="n"/>
      <c r="J250" s="2" t="n"/>
      <c r="K250" s="10" t="n"/>
      <c r="L250" s="2" t="n"/>
      <c r="M250" s="2" t="n"/>
    </row>
  </sheetData>
  <dataValidations count="2">
    <dataValidation sqref="J2:J250" showDropDown="0" showInputMessage="0" showErrorMessage="0" allowBlank="1" type="list">
      <formula1>"Pendiente,Pagado,Vencido,No aplica"</formula1>
    </dataValidation>
    <dataValidation sqref="I2:I25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23" customWidth="1" min="13" max="13"/>
    <col width="15" customWidth="1" min="14" max="14"/>
  </cols>
  <sheetData>
    <row r="1">
      <c r="A1" s="4" t="inlineStr">
        <is>
          <t>ID_Cliente</t>
        </is>
      </c>
      <c r="B1" s="4" t="inlineStr">
        <is>
          <t>Nombre_Cliente</t>
        </is>
      </c>
      <c r="C1" s="4" t="inlineStr">
        <is>
          <t>Tipo_Cliente</t>
        </is>
      </c>
      <c r="D1" s="4" t="inlineStr">
        <is>
          <t>RUT</t>
        </is>
      </c>
      <c r="E1" s="4" t="inlineStr">
        <is>
          <t>Contacto</t>
        </is>
      </c>
      <c r="F1" s="4" t="inlineStr">
        <is>
          <t>Telefono</t>
        </is>
      </c>
      <c r="G1" s="4" t="inlineStr">
        <is>
          <t>Email</t>
        </is>
      </c>
      <c r="H1" s="4" t="inlineStr">
        <is>
          <t>Comuna</t>
        </is>
      </c>
      <c r="I1" s="4" t="inlineStr">
        <is>
          <t>Region</t>
        </is>
      </c>
      <c r="J1" s="4" t="inlineStr">
        <is>
          <t>Sector</t>
        </is>
      </c>
      <c r="K1" s="4" t="inlineStr">
        <is>
          <t>Estado</t>
        </is>
      </c>
      <c r="L1" s="4" t="inlineStr">
        <is>
          <t>Fuente_Contacto</t>
        </is>
      </c>
      <c r="M1" s="4" t="inlineStr">
        <is>
          <t>Fecha_Primer_Contacto</t>
        </is>
      </c>
      <c r="N1" s="4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0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0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0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0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0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0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0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10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10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10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10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10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10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10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10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10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10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10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10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10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10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10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10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10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10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10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10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10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10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10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10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10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10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10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10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10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10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10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10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10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10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10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10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10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10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10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10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10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10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10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10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10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10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10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10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10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10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10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10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10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10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10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10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10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10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10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10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10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10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10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10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10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10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10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10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10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10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10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10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10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10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10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10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10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10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10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10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10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10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10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10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10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10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10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10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10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10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10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10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10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10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10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10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10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10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10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10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10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10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10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10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10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10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10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10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10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10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10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10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10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10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10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10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10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10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10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10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10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10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10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10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10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10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10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10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10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10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10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10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10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10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10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10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10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10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10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10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10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10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10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10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10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10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10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10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10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10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10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10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10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10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10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10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10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10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10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10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10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10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10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10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10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10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10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10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10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10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10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10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10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10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10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10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10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10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10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10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10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10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10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10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10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10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10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10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10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10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10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10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10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10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10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10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10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10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10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10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10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10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10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10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10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10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10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10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10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10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10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10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10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10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10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10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10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10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10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10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10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10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10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10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10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10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10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10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10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10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10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10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10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10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10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10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10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10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10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10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10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10" t="n"/>
      <c r="N250" s="2" t="n"/>
    </row>
  </sheetData>
  <dataValidations count="2">
    <dataValidation sqref="C2:C250" showDropDown="0" showInputMessage="0" showErrorMessage="0" allowBlank="1" type="list">
      <formula1>"Particular,Arquitecto,Constructora,Contratista,Inmobiliaria,Mineria,Ingenieria,Municipio,Otro"</formula1>
    </dataValidation>
    <dataValidation sqref="K2:K250" showDropDown="0" showInputMessage="0" showErrorMessage="0" allowBlank="1" type="list">
      <formula1>"Prospecto,Contactado,Cotizado,Cliente Activo,Cliente Inactivo,Perdido"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8" customWidth="1" min="8" max="8"/>
    <col width="19" customWidth="1" min="9" max="9"/>
    <col width="36" customWidth="1" min="10" max="10"/>
    <col width="15" customWidth="1" min="11" max="11"/>
  </cols>
  <sheetData>
    <row r="1">
      <c r="A1" s="4" t="inlineStr">
        <is>
          <t>ID_Servicio</t>
        </is>
      </c>
      <c r="B1" s="4" t="inlineStr">
        <is>
          <t>Nombre_Servicio</t>
        </is>
      </c>
      <c r="C1" s="4" t="inlineStr">
        <is>
          <t>Categoria</t>
        </is>
      </c>
      <c r="D1" s="4" t="inlineStr">
        <is>
          <t>Descripcion</t>
        </is>
      </c>
      <c r="E1" s="4" t="inlineStr">
        <is>
          <t>Precio_Minimo</t>
        </is>
      </c>
      <c r="F1" s="4" t="inlineStr">
        <is>
          <t>Precio_Maximo</t>
        </is>
      </c>
      <c r="G1" s="4" t="inlineStr">
        <is>
          <t>Unidad_Cobro</t>
        </is>
      </c>
      <c r="H1" s="4" t="inlineStr">
        <is>
          <t>Requiere_Terreno</t>
        </is>
      </c>
      <c r="I1" s="4" t="inlineStr">
        <is>
          <t>Requiere_Gabinete</t>
        </is>
      </c>
      <c r="J1" s="4" t="inlineStr">
        <is>
          <t>Documentos_Entregables</t>
        </is>
      </c>
      <c r="K1" s="4" t="inlineStr">
        <is>
          <t>Observaciones</t>
        </is>
      </c>
    </row>
    <row r="2">
      <c r="A2" s="2" t="inlineStr">
        <is>
          <t>SER-001</t>
        </is>
      </c>
      <c r="B2" s="2" t="inlineStr">
        <is>
          <t>Levantamiento topografico urbano simple</t>
        </is>
      </c>
      <c r="C2" s="2" t="inlineStr">
        <is>
          <t>Topografia</t>
        </is>
      </c>
      <c r="D2" s="2" t="inlineStr"/>
      <c r="E2" s="8" t="n">
        <v>300000</v>
      </c>
      <c r="F2" s="8" t="n">
        <v>800000</v>
      </c>
      <c r="G2" s="2" t="inlineStr">
        <is>
          <t>Proyecto</t>
        </is>
      </c>
      <c r="H2" s="2" t="b">
        <v>1</v>
      </c>
      <c r="I2" s="2" t="b">
        <v>1</v>
      </c>
      <c r="J2" s="2" t="inlineStr">
        <is>
          <t>Plano, informe, archivos digitales</t>
        </is>
      </c>
      <c r="K2" s="2" t="inlineStr"/>
    </row>
    <row r="3">
      <c r="A3" s="2" t="inlineStr">
        <is>
          <t>SER-002</t>
        </is>
      </c>
      <c r="B3" s="2" t="inlineStr">
        <is>
          <t>Levantamiento loteo/parcela</t>
        </is>
      </c>
      <c r="C3" s="2" t="inlineStr">
        <is>
          <t>Topografia</t>
        </is>
      </c>
      <c r="D3" s="2" t="inlineStr"/>
      <c r="E3" s="8" t="n">
        <v>500000</v>
      </c>
      <c r="F3" s="8" t="n">
        <v>1500000</v>
      </c>
      <c r="G3" s="2" t="inlineStr">
        <is>
          <t>Proyecto</t>
        </is>
      </c>
      <c r="H3" s="2" t="b">
        <v>1</v>
      </c>
      <c r="I3" s="2" t="b">
        <v>1</v>
      </c>
      <c r="J3" s="2" t="inlineStr">
        <is>
          <t>Plano, informe, archivos digitales</t>
        </is>
      </c>
      <c r="K3" s="2" t="inlineStr"/>
    </row>
    <row r="4">
      <c r="A4" s="2" t="inlineStr">
        <is>
          <t>SER-003</t>
        </is>
      </c>
      <c r="B4" s="2" t="inlineStr">
        <is>
          <t>Georreferenciacion de imagenes historicas</t>
        </is>
      </c>
      <c r="C4" s="2" t="inlineStr">
        <is>
          <t>GIS</t>
        </is>
      </c>
      <c r="D4" s="2" t="inlineStr"/>
      <c r="E4" s="8" t="n">
        <v>200000</v>
      </c>
      <c r="F4" s="8" t="n">
        <v>800000</v>
      </c>
      <c r="G4" s="2" t="inlineStr">
        <is>
          <t>Proyecto</t>
        </is>
      </c>
      <c r="H4" s="2" t="b">
        <v>1</v>
      </c>
      <c r="I4" s="2" t="b">
        <v>1</v>
      </c>
      <c r="J4" s="2" t="inlineStr">
        <is>
          <t>Plano, informe, archivos digitales</t>
        </is>
      </c>
      <c r="K4" s="2" t="inlineStr"/>
    </row>
    <row r="5">
      <c r="A5" s="2" t="inlineStr">
        <is>
          <t>SER-004</t>
        </is>
      </c>
      <c r="B5" s="2" t="inlineStr">
        <is>
          <t>Conversion KML/KMZ/SHP/DXF</t>
        </is>
      </c>
      <c r="C5" s="2" t="inlineStr">
        <is>
          <t>GIS</t>
        </is>
      </c>
      <c r="D5" s="2" t="inlineStr"/>
      <c r="E5" s="8" t="n">
        <v>100000</v>
      </c>
      <c r="F5" s="8" t="n">
        <v>500000</v>
      </c>
      <c r="G5" s="2" t="inlineStr">
        <is>
          <t>Proyecto</t>
        </is>
      </c>
      <c r="H5" s="2" t="b">
        <v>1</v>
      </c>
      <c r="I5" s="2" t="b">
        <v>1</v>
      </c>
      <c r="J5" s="2" t="inlineStr">
        <is>
          <t>Plano, informe, archivos digitales</t>
        </is>
      </c>
      <c r="K5" s="2" t="inlineStr"/>
    </row>
    <row r="6">
      <c r="A6" s="2" t="inlineStr">
        <is>
          <t>SER-005</t>
        </is>
      </c>
      <c r="B6" s="2" t="inlineStr">
        <is>
          <t>Cubicacion de movimiento de tierras</t>
        </is>
      </c>
      <c r="C6" s="2" t="inlineStr">
        <is>
          <t>Ingenieria</t>
        </is>
      </c>
      <c r="D6" s="2" t="inlineStr"/>
      <c r="E6" s="8" t="n">
        <v>300000</v>
      </c>
      <c r="F6" s="8" t="n">
        <v>2000000</v>
      </c>
      <c r="G6" s="2" t="inlineStr">
        <is>
          <t>Proyecto</t>
        </is>
      </c>
      <c r="H6" s="2" t="b">
        <v>1</v>
      </c>
      <c r="I6" s="2" t="b">
        <v>1</v>
      </c>
      <c r="J6" s="2" t="inlineStr">
        <is>
          <t>Plano, informe, archivos digitales</t>
        </is>
      </c>
      <c r="K6" s="2" t="inlineStr"/>
    </row>
    <row r="7">
      <c r="A7" s="2" t="inlineStr">
        <is>
          <t>SER-006</t>
        </is>
      </c>
      <c r="B7" s="2" t="inlineStr">
        <is>
          <t>Modelos digitales de terreno MDT</t>
        </is>
      </c>
      <c r="C7" s="2" t="inlineStr">
        <is>
          <t>Topografia</t>
        </is>
      </c>
      <c r="D7" s="2" t="inlineStr"/>
      <c r="E7" s="8" t="n">
        <v>300000</v>
      </c>
      <c r="F7" s="8" t="n">
        <v>1500000</v>
      </c>
      <c r="G7" s="2" t="inlineStr">
        <is>
          <t>Proyecto</t>
        </is>
      </c>
      <c r="H7" s="2" t="b">
        <v>1</v>
      </c>
      <c r="I7" s="2" t="b">
        <v>1</v>
      </c>
      <c r="J7" s="2" t="inlineStr">
        <is>
          <t>Plano, informe, archivos digitales</t>
        </is>
      </c>
      <c r="K7" s="2" t="inlineStr"/>
    </row>
    <row r="8">
      <c r="A8" s="2" t="inlineStr">
        <is>
          <t>SER-007</t>
        </is>
      </c>
      <c r="B8" s="2" t="inlineStr">
        <is>
          <t>Apoyo Oficina Tecnica</t>
        </is>
      </c>
      <c r="C8" s="2" t="inlineStr">
        <is>
          <t>Oficina Tecnica</t>
        </is>
      </c>
      <c r="D8" s="2" t="inlineStr"/>
      <c r="E8" s="8" t="n">
        <v>500000</v>
      </c>
      <c r="F8" s="8" t="n">
        <v>2000000</v>
      </c>
      <c r="G8" s="2" t="inlineStr">
        <is>
          <t>Proyecto</t>
        </is>
      </c>
      <c r="H8" s="2" t="b">
        <v>1</v>
      </c>
      <c r="I8" s="2" t="b">
        <v>1</v>
      </c>
      <c r="J8" s="2" t="inlineStr">
        <is>
          <t>Plano, informe, archivos digitales</t>
        </is>
      </c>
      <c r="K8" s="2" t="inlineStr"/>
    </row>
    <row r="9">
      <c r="A9" s="2" t="inlineStr">
        <is>
          <t>SER-008</t>
        </is>
      </c>
      <c r="B9" s="2" t="inlineStr">
        <is>
          <t>Procesamiento GIS y cartografia</t>
        </is>
      </c>
      <c r="C9" s="2" t="inlineStr">
        <is>
          <t>GIS</t>
        </is>
      </c>
      <c r="D9" s="2" t="inlineStr"/>
      <c r="E9" s="8" t="n">
        <v>300000</v>
      </c>
      <c r="F9" s="8" t="n">
        <v>1500000</v>
      </c>
      <c r="G9" s="2" t="inlineStr">
        <is>
          <t>Proyecto</t>
        </is>
      </c>
      <c r="H9" s="2" t="b">
        <v>1</v>
      </c>
      <c r="I9" s="2" t="b">
        <v>1</v>
      </c>
      <c r="J9" s="2" t="inlineStr">
        <is>
          <t>Plano, informe, archivos digitales</t>
        </is>
      </c>
      <c r="K9" s="2" t="inlineStr"/>
    </row>
    <row r="10">
      <c r="A10" s="2" t="n"/>
      <c r="B10" s="2" t="n"/>
      <c r="C10" s="2" t="n"/>
      <c r="D10" s="2" t="n"/>
      <c r="E10" s="8" t="n"/>
      <c r="F10" s="8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8" t="n"/>
      <c r="F11" s="8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8" t="n"/>
      <c r="F12" s="8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8" t="n"/>
      <c r="F13" s="8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8" t="n"/>
      <c r="F14" s="8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8" t="n"/>
      <c r="F15" s="8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8" t="n"/>
      <c r="F16" s="8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8" t="n"/>
      <c r="F17" s="8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8" t="n"/>
      <c r="F18" s="8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8" t="n"/>
      <c r="F19" s="8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8" t="n"/>
      <c r="F20" s="8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8" t="n"/>
      <c r="F21" s="8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8" t="n"/>
      <c r="F22" s="8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8" t="n"/>
      <c r="F23" s="8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8" t="n"/>
      <c r="F24" s="8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8" t="n"/>
      <c r="F25" s="8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8" t="n"/>
      <c r="F26" s="8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8" t="n"/>
      <c r="F27" s="8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8" t="n"/>
      <c r="F28" s="8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8" t="n"/>
      <c r="F29" s="8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8" t="n"/>
      <c r="F30" s="8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8" t="n"/>
      <c r="F31" s="8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8" t="n"/>
      <c r="F32" s="8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8" t="n"/>
      <c r="F33" s="8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8" t="n"/>
      <c r="F34" s="8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8" t="n"/>
      <c r="F35" s="8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8" t="n"/>
      <c r="F36" s="8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8" t="n"/>
      <c r="F37" s="8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8" t="n"/>
      <c r="F38" s="8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8" t="n"/>
      <c r="F39" s="8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8" t="n"/>
      <c r="F40" s="8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8" t="n"/>
      <c r="F41" s="8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8" t="n"/>
      <c r="F42" s="8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8" t="n"/>
      <c r="F43" s="8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8" t="n"/>
      <c r="F44" s="8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8" t="n"/>
      <c r="F45" s="8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8" t="n"/>
      <c r="F46" s="8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8" t="n"/>
      <c r="F47" s="8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8" t="n"/>
      <c r="F48" s="8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8" t="n"/>
      <c r="F49" s="8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8" t="n"/>
      <c r="F50" s="8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8" t="n"/>
      <c r="F51" s="8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8" t="n"/>
      <c r="F52" s="8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8" t="n"/>
      <c r="F53" s="8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8" t="n"/>
      <c r="F54" s="8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8" t="n"/>
      <c r="F55" s="8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8" t="n"/>
      <c r="F56" s="8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8" t="n"/>
      <c r="F57" s="8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8" t="n"/>
      <c r="F58" s="8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8" t="n"/>
      <c r="F59" s="8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8" t="n"/>
      <c r="F60" s="8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8" t="n"/>
      <c r="F61" s="8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8" t="n"/>
      <c r="F62" s="8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8" t="n"/>
      <c r="F63" s="8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8" t="n"/>
      <c r="F64" s="8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8" t="n"/>
      <c r="F65" s="8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8" t="n"/>
      <c r="F66" s="8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8" t="n"/>
      <c r="F67" s="8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8" t="n"/>
      <c r="F68" s="8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8" t="n"/>
      <c r="F69" s="8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8" t="n"/>
      <c r="F70" s="8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8" t="n"/>
      <c r="F71" s="8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8" t="n"/>
      <c r="F72" s="8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8" t="n"/>
      <c r="F73" s="8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8" t="n"/>
      <c r="F74" s="8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8" t="n"/>
      <c r="F75" s="8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8" t="n"/>
      <c r="F76" s="8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8" t="n"/>
      <c r="F77" s="8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8" t="n"/>
      <c r="F78" s="8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8" t="n"/>
      <c r="F79" s="8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8" t="n"/>
      <c r="F80" s="8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8" t="n"/>
      <c r="F81" s="8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8" t="n"/>
      <c r="F82" s="8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8" t="n"/>
      <c r="F83" s="8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8" t="n"/>
      <c r="F84" s="8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8" t="n"/>
      <c r="F85" s="8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8" t="n"/>
      <c r="F86" s="8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8" t="n"/>
      <c r="F87" s="8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8" t="n"/>
      <c r="F88" s="8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8" t="n"/>
      <c r="F89" s="8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8" t="n"/>
      <c r="F90" s="8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8" t="n"/>
      <c r="F91" s="8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8" t="n"/>
      <c r="F92" s="8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8" t="n"/>
      <c r="F93" s="8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8" t="n"/>
      <c r="F94" s="8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8" t="n"/>
      <c r="F95" s="8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8" t="n"/>
      <c r="F96" s="8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8" t="n"/>
      <c r="F97" s="8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8" t="n"/>
      <c r="F98" s="8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8" t="n"/>
      <c r="F99" s="8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8" t="n"/>
      <c r="F100" s="8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8" t="n"/>
      <c r="F101" s="8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8" t="n"/>
      <c r="F102" s="8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8" t="n"/>
      <c r="F103" s="8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8" t="n"/>
      <c r="F104" s="8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8" t="n"/>
      <c r="F105" s="8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8" t="n"/>
      <c r="F106" s="8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8" t="n"/>
      <c r="F107" s="8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8" t="n"/>
      <c r="F108" s="8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8" t="n"/>
      <c r="F109" s="8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8" t="n"/>
      <c r="F110" s="8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8" t="n"/>
      <c r="F111" s="8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8" t="n"/>
      <c r="F112" s="8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8" t="n"/>
      <c r="F113" s="8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8" t="n"/>
      <c r="F114" s="8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8" t="n"/>
      <c r="F115" s="8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8" t="n"/>
      <c r="F116" s="8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8" t="n"/>
      <c r="F117" s="8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8" t="n"/>
      <c r="F118" s="8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8" t="n"/>
      <c r="F119" s="8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8" t="n"/>
      <c r="F120" s="8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8" t="n"/>
      <c r="F121" s="8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8" t="n"/>
      <c r="F122" s="8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8" t="n"/>
      <c r="F123" s="8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8" t="n"/>
      <c r="F124" s="8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8" t="n"/>
      <c r="F125" s="8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8" t="n"/>
      <c r="F126" s="8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8" t="n"/>
      <c r="F127" s="8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8" t="n"/>
      <c r="F128" s="8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8" t="n"/>
      <c r="F129" s="8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8" t="n"/>
      <c r="F130" s="8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8" t="n"/>
      <c r="F131" s="8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8" t="n"/>
      <c r="F132" s="8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8" t="n"/>
      <c r="F133" s="8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8" t="n"/>
      <c r="F134" s="8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8" t="n"/>
      <c r="F135" s="8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8" t="n"/>
      <c r="F136" s="8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8" t="n"/>
      <c r="F137" s="8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8" t="n"/>
      <c r="F138" s="8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8" t="n"/>
      <c r="F139" s="8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8" t="n"/>
      <c r="F140" s="8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8" t="n"/>
      <c r="F141" s="8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8" t="n"/>
      <c r="F142" s="8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8" t="n"/>
      <c r="F143" s="8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8" t="n"/>
      <c r="F144" s="8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8" t="n"/>
      <c r="F145" s="8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8" t="n"/>
      <c r="F146" s="8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8" t="n"/>
      <c r="F147" s="8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8" t="n"/>
      <c r="F148" s="8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8" t="n"/>
      <c r="F149" s="8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8" t="n"/>
      <c r="F150" s="8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8" t="n"/>
      <c r="F151" s="8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8" t="n"/>
      <c r="F152" s="8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8" t="n"/>
      <c r="F153" s="8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8" t="n"/>
      <c r="F154" s="8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8" t="n"/>
      <c r="F155" s="8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8" t="n"/>
      <c r="F156" s="8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8" t="n"/>
      <c r="F157" s="8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8" t="n"/>
      <c r="F158" s="8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8" t="n"/>
      <c r="F159" s="8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8" t="n"/>
      <c r="F160" s="8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8" t="n"/>
      <c r="F161" s="8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8" t="n"/>
      <c r="F162" s="8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8" t="n"/>
      <c r="F163" s="8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8" t="n"/>
      <c r="F164" s="8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8" t="n"/>
      <c r="F165" s="8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8" t="n"/>
      <c r="F166" s="8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8" t="n"/>
      <c r="F167" s="8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8" t="n"/>
      <c r="F168" s="8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8" t="n"/>
      <c r="F169" s="8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8" t="n"/>
      <c r="F170" s="8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8" t="n"/>
      <c r="F171" s="8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8" t="n"/>
      <c r="F172" s="8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8" t="n"/>
      <c r="F173" s="8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8" t="n"/>
      <c r="F174" s="8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8" t="n"/>
      <c r="F175" s="8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8" t="n"/>
      <c r="F176" s="8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8" t="n"/>
      <c r="F177" s="8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8" t="n"/>
      <c r="F178" s="8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8" t="n"/>
      <c r="F179" s="8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8" t="n"/>
      <c r="F180" s="8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8" t="n"/>
      <c r="F181" s="8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8" t="n"/>
      <c r="F182" s="8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8" t="n"/>
      <c r="F183" s="8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8" t="n"/>
      <c r="F184" s="8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8" t="n"/>
      <c r="F185" s="8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8" t="n"/>
      <c r="F186" s="8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8" t="n"/>
      <c r="F187" s="8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8" t="n"/>
      <c r="F188" s="8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8" t="n"/>
      <c r="F189" s="8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8" t="n"/>
      <c r="F190" s="8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8" t="n"/>
      <c r="F191" s="8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8" t="n"/>
      <c r="F192" s="8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8" t="n"/>
      <c r="F193" s="8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8" t="n"/>
      <c r="F194" s="8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8" t="n"/>
      <c r="F195" s="8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8" t="n"/>
      <c r="F196" s="8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8" t="n"/>
      <c r="F197" s="8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8" t="n"/>
      <c r="F198" s="8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8" t="n"/>
      <c r="F199" s="8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8" t="n"/>
      <c r="F200" s="8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8" t="n"/>
      <c r="F201" s="8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8" t="n"/>
      <c r="F202" s="8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8" t="n"/>
      <c r="F203" s="8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8" t="n"/>
      <c r="F204" s="8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8" t="n"/>
      <c r="F205" s="8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8" t="n"/>
      <c r="F206" s="8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8" t="n"/>
      <c r="F207" s="8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8" t="n"/>
      <c r="F208" s="8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8" t="n"/>
      <c r="F209" s="8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8" t="n"/>
      <c r="F210" s="8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8" t="n"/>
      <c r="F211" s="8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8" t="n"/>
      <c r="F212" s="8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8" t="n"/>
      <c r="F213" s="8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8" t="n"/>
      <c r="F214" s="8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8" t="n"/>
      <c r="F215" s="8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8" t="n"/>
      <c r="F216" s="8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8" t="n"/>
      <c r="F217" s="8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8" t="n"/>
      <c r="F218" s="8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8" t="n"/>
      <c r="F219" s="8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8" t="n"/>
      <c r="F220" s="8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8" t="n"/>
      <c r="F221" s="8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8" t="n"/>
      <c r="F222" s="8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8" t="n"/>
      <c r="F223" s="8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8" t="n"/>
      <c r="F224" s="8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8" t="n"/>
      <c r="F225" s="8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8" t="n"/>
      <c r="F226" s="8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8" t="n"/>
      <c r="F227" s="8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8" t="n"/>
      <c r="F228" s="8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8" t="n"/>
      <c r="F229" s="8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8" t="n"/>
      <c r="F230" s="8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8" t="n"/>
      <c r="F231" s="8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8" t="n"/>
      <c r="F232" s="8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8" t="n"/>
      <c r="F233" s="8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8" t="n"/>
      <c r="F234" s="8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8" t="n"/>
      <c r="F235" s="8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8" t="n"/>
      <c r="F236" s="8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8" t="n"/>
      <c r="F237" s="8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8" t="n"/>
      <c r="F238" s="8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8" t="n"/>
      <c r="F239" s="8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8" t="n"/>
      <c r="F240" s="8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8" t="n"/>
      <c r="F241" s="8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8" t="n"/>
      <c r="F242" s="8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8" t="n"/>
      <c r="F243" s="8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8" t="n"/>
      <c r="F244" s="8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8" t="n"/>
      <c r="F245" s="8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8" t="n"/>
      <c r="F246" s="8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8" t="n"/>
      <c r="F247" s="8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8" t="n"/>
      <c r="F248" s="8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8" t="n"/>
      <c r="F249" s="8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8" t="n"/>
      <c r="F250" s="8" t="n"/>
      <c r="G250" s="2" t="n"/>
      <c r="H250" s="2" t="n"/>
      <c r="I250" s="2" t="n"/>
      <c r="J250" s="2" t="n"/>
      <c r="K250" s="2" t="n"/>
    </row>
  </sheetData>
  <dataValidations count="3">
    <dataValidation sqref="G2:G250" showDropDown="0" showInputMessage="0" showErrorMessage="0" allowBlank="1" type="list">
      <formula1>"Proyecto,Hora,Dia,m2,ha,km,Informe"</formula1>
    </dataValidation>
    <dataValidation sqref="H2:H250" showDropDown="0" showInputMessage="0" showErrorMessage="0" allowBlank="1" type="list">
      <formula1>"TRUE,FALSE"</formula1>
    </dataValidation>
    <dataValidation sqref="I2:I25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7" customWidth="1" min="4" max="4"/>
    <col width="20" customWidth="1" min="5" max="5"/>
    <col width="13" customWidth="1" min="6" max="6"/>
    <col width="12" customWidth="1" min="7" max="7"/>
    <col width="38" customWidth="1" min="8" max="8"/>
    <col width="24" customWidth="1" min="9" max="9"/>
    <col width="10" customWidth="1" min="10" max="10"/>
    <col width="13" customWidth="1" min="11" max="11"/>
    <col width="17" customWidth="1" min="12" max="12"/>
    <col width="21" customWidth="1" min="13" max="13"/>
    <col width="22" customWidth="1" min="14" max="14"/>
    <col width="15" customWidth="1" min="15" max="15"/>
  </cols>
  <sheetData>
    <row r="1">
      <c r="A1" s="4" t="inlineStr">
        <is>
          <t>ID_Cotizacion</t>
        </is>
      </c>
      <c r="B1" s="4" t="inlineStr">
        <is>
          <t>Fecha</t>
        </is>
      </c>
      <c r="C1" s="4" t="inlineStr">
        <is>
          <t>ID_Cliente</t>
        </is>
      </c>
      <c r="D1" s="4" t="inlineStr">
        <is>
          <t>Nombre_Proyecto</t>
        </is>
      </c>
      <c r="E1" s="4" t="inlineStr">
        <is>
          <t>Servicio_Principal</t>
        </is>
      </c>
      <c r="F1" s="4" t="inlineStr">
        <is>
          <t>Descripcion</t>
        </is>
      </c>
      <c r="G1" s="4" t="inlineStr">
        <is>
          <t>Monto_Neto</t>
        </is>
      </c>
      <c r="H1" s="4" t="inlineStr">
        <is>
          <t>IVA</t>
        </is>
      </c>
      <c r="I1" s="4" t="inlineStr">
        <is>
          <t>Monto_Total</t>
        </is>
      </c>
      <c r="J1" s="4" t="inlineStr">
        <is>
          <t>Estado</t>
        </is>
      </c>
      <c r="K1" s="4" t="inlineStr">
        <is>
          <t>Fecha_Envio</t>
        </is>
      </c>
      <c r="L1" s="4" t="inlineStr">
        <is>
          <t>Fecha_Respuesta</t>
        </is>
      </c>
      <c r="M1" s="4" t="inlineStr">
        <is>
          <t>Probabilidad_Cierre</t>
        </is>
      </c>
      <c r="N1" s="4" t="inlineStr">
        <is>
          <t>Documento_Cotizacion</t>
        </is>
      </c>
      <c r="O1" s="4" t="inlineStr">
        <is>
          <t>Observaciones</t>
        </is>
      </c>
    </row>
    <row r="2">
      <c r="A2" s="2" t="n"/>
      <c r="B2" s="10" t="n"/>
      <c r="C2" s="2" t="n"/>
      <c r="D2" s="2" t="n"/>
      <c r="E2" s="2" t="n"/>
      <c r="F2" s="2" t="n"/>
      <c r="G2" s="8" t="n"/>
      <c r="H2" s="8">
        <f>IF(G2="","",G2*Configuracion!$G$2)</f>
        <v/>
      </c>
      <c r="I2" s="8">
        <f>IF(G2="","",G2+H2)</f>
        <v/>
      </c>
      <c r="J2" s="2" t="n"/>
      <c r="K2" s="10" t="n"/>
      <c r="L2" s="10" t="n"/>
      <c r="M2" s="11" t="n"/>
      <c r="N2" s="2" t="n"/>
      <c r="O2" s="2" t="n"/>
    </row>
    <row r="3">
      <c r="A3" s="2" t="n"/>
      <c r="B3" s="10" t="n"/>
      <c r="C3" s="2" t="n"/>
      <c r="D3" s="2" t="n"/>
      <c r="E3" s="2" t="n"/>
      <c r="F3" s="2" t="n"/>
      <c r="G3" s="8" t="n"/>
      <c r="H3" s="8">
        <f>IF(G3="","",G3*Configuracion!$G$2)</f>
        <v/>
      </c>
      <c r="I3" s="8">
        <f>IF(G3="","",G3+H3)</f>
        <v/>
      </c>
      <c r="J3" s="2" t="n"/>
      <c r="K3" s="10" t="n"/>
      <c r="L3" s="10" t="n"/>
      <c r="M3" s="11" t="n"/>
      <c r="N3" s="2" t="n"/>
      <c r="O3" s="2" t="n"/>
    </row>
    <row r="4">
      <c r="A4" s="2" t="n"/>
      <c r="B4" s="10" t="n"/>
      <c r="C4" s="2" t="n"/>
      <c r="D4" s="2" t="n"/>
      <c r="E4" s="2" t="n"/>
      <c r="F4" s="2" t="n"/>
      <c r="G4" s="8" t="n"/>
      <c r="H4" s="8">
        <f>IF(G4="","",G4*Configuracion!$G$2)</f>
        <v/>
      </c>
      <c r="I4" s="8">
        <f>IF(G4="","",G4+H4)</f>
        <v/>
      </c>
      <c r="J4" s="2" t="n"/>
      <c r="K4" s="10" t="n"/>
      <c r="L4" s="10" t="n"/>
      <c r="M4" s="11" t="n"/>
      <c r="N4" s="2" t="n"/>
      <c r="O4" s="2" t="n"/>
    </row>
    <row r="5">
      <c r="A5" s="2" t="n"/>
      <c r="B5" s="10" t="n"/>
      <c r="C5" s="2" t="n"/>
      <c r="D5" s="2" t="n"/>
      <c r="E5" s="2" t="n"/>
      <c r="F5" s="2" t="n"/>
      <c r="G5" s="8" t="n"/>
      <c r="H5" s="8">
        <f>IF(G5="","",G5*Configuracion!$G$2)</f>
        <v/>
      </c>
      <c r="I5" s="8">
        <f>IF(G5="","",G5+H5)</f>
        <v/>
      </c>
      <c r="J5" s="2" t="n"/>
      <c r="K5" s="10" t="n"/>
      <c r="L5" s="10" t="n"/>
      <c r="M5" s="11" t="n"/>
      <c r="N5" s="2" t="n"/>
      <c r="O5" s="2" t="n"/>
    </row>
    <row r="6">
      <c r="A6" s="2" t="n"/>
      <c r="B6" s="10" t="n"/>
      <c r="C6" s="2" t="n"/>
      <c r="D6" s="2" t="n"/>
      <c r="E6" s="2" t="n"/>
      <c r="F6" s="2" t="n"/>
      <c r="G6" s="8" t="n"/>
      <c r="H6" s="8">
        <f>IF(G6="","",G6*Configuracion!$G$2)</f>
        <v/>
      </c>
      <c r="I6" s="8">
        <f>IF(G6="","",G6+H6)</f>
        <v/>
      </c>
      <c r="J6" s="2" t="n"/>
      <c r="K6" s="10" t="n"/>
      <c r="L6" s="10" t="n"/>
      <c r="M6" s="11" t="n"/>
      <c r="N6" s="2" t="n"/>
      <c r="O6" s="2" t="n"/>
    </row>
    <row r="7">
      <c r="A7" s="2" t="n"/>
      <c r="B7" s="10" t="n"/>
      <c r="C7" s="2" t="n"/>
      <c r="D7" s="2" t="n"/>
      <c r="E7" s="2" t="n"/>
      <c r="F7" s="2" t="n"/>
      <c r="G7" s="8" t="n"/>
      <c r="H7" s="8">
        <f>IF(G7="","",G7*Configuracion!$G$2)</f>
        <v/>
      </c>
      <c r="I7" s="8">
        <f>IF(G7="","",G7+H7)</f>
        <v/>
      </c>
      <c r="J7" s="2" t="n"/>
      <c r="K7" s="10" t="n"/>
      <c r="L7" s="10" t="n"/>
      <c r="M7" s="11" t="n"/>
      <c r="N7" s="2" t="n"/>
      <c r="O7" s="2" t="n"/>
    </row>
    <row r="8">
      <c r="A8" s="2" t="n"/>
      <c r="B8" s="10" t="n"/>
      <c r="C8" s="2" t="n"/>
      <c r="D8" s="2" t="n"/>
      <c r="E8" s="2" t="n"/>
      <c r="F8" s="2" t="n"/>
      <c r="G8" s="8" t="n"/>
      <c r="H8" s="8">
        <f>IF(G8="","",G8*Configuracion!$G$2)</f>
        <v/>
      </c>
      <c r="I8" s="8">
        <f>IF(G8="","",G8+H8)</f>
        <v/>
      </c>
      <c r="J8" s="2" t="n"/>
      <c r="K8" s="10" t="n"/>
      <c r="L8" s="10" t="n"/>
      <c r="M8" s="11" t="n"/>
      <c r="N8" s="2" t="n"/>
      <c r="O8" s="2" t="n"/>
    </row>
    <row r="9">
      <c r="A9" s="2" t="n"/>
      <c r="B9" s="10" t="n"/>
      <c r="C9" s="2" t="n"/>
      <c r="D9" s="2" t="n"/>
      <c r="E9" s="2" t="n"/>
      <c r="F9" s="2" t="n"/>
      <c r="G9" s="8" t="n"/>
      <c r="H9" s="8">
        <f>IF(G9="","",G9*Configuracion!$G$2)</f>
        <v/>
      </c>
      <c r="I9" s="8">
        <f>IF(G9="","",G9+H9)</f>
        <v/>
      </c>
      <c r="J9" s="2" t="n"/>
      <c r="K9" s="10" t="n"/>
      <c r="L9" s="10" t="n"/>
      <c r="M9" s="11" t="n"/>
      <c r="N9" s="2" t="n"/>
      <c r="O9" s="2" t="n"/>
    </row>
    <row r="10">
      <c r="A10" s="2" t="n"/>
      <c r="B10" s="10" t="n"/>
      <c r="C10" s="2" t="n"/>
      <c r="D10" s="2" t="n"/>
      <c r="E10" s="2" t="n"/>
      <c r="F10" s="2" t="n"/>
      <c r="G10" s="8" t="n"/>
      <c r="H10" s="8">
        <f>IF(G10="","",G10*Configuracion!$G$2)</f>
        <v/>
      </c>
      <c r="I10" s="8">
        <f>IF(G10="","",G10+H10)</f>
        <v/>
      </c>
      <c r="J10" s="2" t="n"/>
      <c r="K10" s="10" t="n"/>
      <c r="L10" s="10" t="n"/>
      <c r="M10" s="11" t="n"/>
      <c r="N10" s="2" t="n"/>
      <c r="O10" s="2" t="n"/>
    </row>
    <row r="11">
      <c r="A11" s="2" t="n"/>
      <c r="B11" s="10" t="n"/>
      <c r="C11" s="2" t="n"/>
      <c r="D11" s="2" t="n"/>
      <c r="E11" s="2" t="n"/>
      <c r="F11" s="2" t="n"/>
      <c r="G11" s="8" t="n"/>
      <c r="H11" s="8">
        <f>IF(G11="","",G11*Configuracion!$G$2)</f>
        <v/>
      </c>
      <c r="I11" s="8">
        <f>IF(G11="","",G11+H11)</f>
        <v/>
      </c>
      <c r="J11" s="2" t="n"/>
      <c r="K11" s="10" t="n"/>
      <c r="L11" s="10" t="n"/>
      <c r="M11" s="11" t="n"/>
      <c r="N11" s="2" t="n"/>
      <c r="O11" s="2" t="n"/>
    </row>
    <row r="12">
      <c r="A12" s="2" t="n"/>
      <c r="B12" s="10" t="n"/>
      <c r="C12" s="2" t="n"/>
      <c r="D12" s="2" t="n"/>
      <c r="E12" s="2" t="n"/>
      <c r="F12" s="2" t="n"/>
      <c r="G12" s="8" t="n"/>
      <c r="H12" s="8">
        <f>IF(G12="","",G12*Configuracion!$G$2)</f>
        <v/>
      </c>
      <c r="I12" s="8">
        <f>IF(G12="","",G12+H12)</f>
        <v/>
      </c>
      <c r="J12" s="2" t="n"/>
      <c r="K12" s="10" t="n"/>
      <c r="L12" s="10" t="n"/>
      <c r="M12" s="11" t="n"/>
      <c r="N12" s="2" t="n"/>
      <c r="O12" s="2" t="n"/>
    </row>
    <row r="13">
      <c r="A13" s="2" t="n"/>
      <c r="B13" s="10" t="n"/>
      <c r="C13" s="2" t="n"/>
      <c r="D13" s="2" t="n"/>
      <c r="E13" s="2" t="n"/>
      <c r="F13" s="2" t="n"/>
      <c r="G13" s="8" t="n"/>
      <c r="H13" s="8">
        <f>IF(G13="","",G13*Configuracion!$G$2)</f>
        <v/>
      </c>
      <c r="I13" s="8">
        <f>IF(G13="","",G13+H13)</f>
        <v/>
      </c>
      <c r="J13" s="2" t="n"/>
      <c r="K13" s="10" t="n"/>
      <c r="L13" s="10" t="n"/>
      <c r="M13" s="11" t="n"/>
      <c r="N13" s="2" t="n"/>
      <c r="O13" s="2" t="n"/>
    </row>
    <row r="14">
      <c r="A14" s="2" t="n"/>
      <c r="B14" s="10" t="n"/>
      <c r="C14" s="2" t="n"/>
      <c r="D14" s="2" t="n"/>
      <c r="E14" s="2" t="n"/>
      <c r="F14" s="2" t="n"/>
      <c r="G14" s="8" t="n"/>
      <c r="H14" s="8">
        <f>IF(G14="","",G14*Configuracion!$G$2)</f>
        <v/>
      </c>
      <c r="I14" s="8">
        <f>IF(G14="","",G14+H14)</f>
        <v/>
      </c>
      <c r="J14" s="2" t="n"/>
      <c r="K14" s="10" t="n"/>
      <c r="L14" s="10" t="n"/>
      <c r="M14" s="11" t="n"/>
      <c r="N14" s="2" t="n"/>
      <c r="O14" s="2" t="n"/>
    </row>
    <row r="15">
      <c r="A15" s="2" t="n"/>
      <c r="B15" s="10" t="n"/>
      <c r="C15" s="2" t="n"/>
      <c r="D15" s="2" t="n"/>
      <c r="E15" s="2" t="n"/>
      <c r="F15" s="2" t="n"/>
      <c r="G15" s="8" t="n"/>
      <c r="H15" s="8">
        <f>IF(G15="","",G15*Configuracion!$G$2)</f>
        <v/>
      </c>
      <c r="I15" s="8">
        <f>IF(G15="","",G15+H15)</f>
        <v/>
      </c>
      <c r="J15" s="2" t="n"/>
      <c r="K15" s="10" t="n"/>
      <c r="L15" s="10" t="n"/>
      <c r="M15" s="11" t="n"/>
      <c r="N15" s="2" t="n"/>
      <c r="O15" s="2" t="n"/>
    </row>
    <row r="16">
      <c r="A16" s="2" t="n"/>
      <c r="B16" s="10" t="n"/>
      <c r="C16" s="2" t="n"/>
      <c r="D16" s="2" t="n"/>
      <c r="E16" s="2" t="n"/>
      <c r="F16" s="2" t="n"/>
      <c r="G16" s="8" t="n"/>
      <c r="H16" s="8">
        <f>IF(G16="","",G16*Configuracion!$G$2)</f>
        <v/>
      </c>
      <c r="I16" s="8">
        <f>IF(G16="","",G16+H16)</f>
        <v/>
      </c>
      <c r="J16" s="2" t="n"/>
      <c r="K16" s="10" t="n"/>
      <c r="L16" s="10" t="n"/>
      <c r="M16" s="11" t="n"/>
      <c r="N16" s="2" t="n"/>
      <c r="O16" s="2" t="n"/>
    </row>
    <row r="17">
      <c r="A17" s="2" t="n"/>
      <c r="B17" s="10" t="n"/>
      <c r="C17" s="2" t="n"/>
      <c r="D17" s="2" t="n"/>
      <c r="E17" s="2" t="n"/>
      <c r="F17" s="2" t="n"/>
      <c r="G17" s="8" t="n"/>
      <c r="H17" s="8">
        <f>IF(G17="","",G17*Configuracion!$G$2)</f>
        <v/>
      </c>
      <c r="I17" s="8">
        <f>IF(G17="","",G17+H17)</f>
        <v/>
      </c>
      <c r="J17" s="2" t="n"/>
      <c r="K17" s="10" t="n"/>
      <c r="L17" s="10" t="n"/>
      <c r="M17" s="11" t="n"/>
      <c r="N17" s="2" t="n"/>
      <c r="O17" s="2" t="n"/>
    </row>
    <row r="18">
      <c r="A18" s="2" t="n"/>
      <c r="B18" s="10" t="n"/>
      <c r="C18" s="2" t="n"/>
      <c r="D18" s="2" t="n"/>
      <c r="E18" s="2" t="n"/>
      <c r="F18" s="2" t="n"/>
      <c r="G18" s="8" t="n"/>
      <c r="H18" s="8">
        <f>IF(G18="","",G18*Configuracion!$G$2)</f>
        <v/>
      </c>
      <c r="I18" s="8">
        <f>IF(G18="","",G18+H18)</f>
        <v/>
      </c>
      <c r="J18" s="2" t="n"/>
      <c r="K18" s="10" t="n"/>
      <c r="L18" s="10" t="n"/>
      <c r="M18" s="11" t="n"/>
      <c r="N18" s="2" t="n"/>
      <c r="O18" s="2" t="n"/>
    </row>
    <row r="19">
      <c r="A19" s="2" t="n"/>
      <c r="B19" s="10" t="n"/>
      <c r="C19" s="2" t="n"/>
      <c r="D19" s="2" t="n"/>
      <c r="E19" s="2" t="n"/>
      <c r="F19" s="2" t="n"/>
      <c r="G19" s="8" t="n"/>
      <c r="H19" s="8">
        <f>IF(G19="","",G19*Configuracion!$G$2)</f>
        <v/>
      </c>
      <c r="I19" s="8">
        <f>IF(G19="","",G19+H19)</f>
        <v/>
      </c>
      <c r="J19" s="2" t="n"/>
      <c r="K19" s="10" t="n"/>
      <c r="L19" s="10" t="n"/>
      <c r="M19" s="11" t="n"/>
      <c r="N19" s="2" t="n"/>
      <c r="O19" s="2" t="n"/>
    </row>
    <row r="20">
      <c r="A20" s="2" t="n"/>
      <c r="B20" s="10" t="n"/>
      <c r="C20" s="2" t="n"/>
      <c r="D20" s="2" t="n"/>
      <c r="E20" s="2" t="n"/>
      <c r="F20" s="2" t="n"/>
      <c r="G20" s="8" t="n"/>
      <c r="H20" s="8">
        <f>IF(G20="","",G20*Configuracion!$G$2)</f>
        <v/>
      </c>
      <c r="I20" s="8">
        <f>IF(G20="","",G20+H20)</f>
        <v/>
      </c>
      <c r="J20" s="2" t="n"/>
      <c r="K20" s="10" t="n"/>
      <c r="L20" s="10" t="n"/>
      <c r="M20" s="11" t="n"/>
      <c r="N20" s="2" t="n"/>
      <c r="O20" s="2" t="n"/>
    </row>
    <row r="21">
      <c r="A21" s="2" t="n"/>
      <c r="B21" s="10" t="n"/>
      <c r="C21" s="2" t="n"/>
      <c r="D21" s="2" t="n"/>
      <c r="E21" s="2" t="n"/>
      <c r="F21" s="2" t="n"/>
      <c r="G21" s="8" t="n"/>
      <c r="H21" s="8">
        <f>IF(G21="","",G21*Configuracion!$G$2)</f>
        <v/>
      </c>
      <c r="I21" s="8">
        <f>IF(G21="","",G21+H21)</f>
        <v/>
      </c>
      <c r="J21" s="2" t="n"/>
      <c r="K21" s="10" t="n"/>
      <c r="L21" s="10" t="n"/>
      <c r="M21" s="11" t="n"/>
      <c r="N21" s="2" t="n"/>
      <c r="O21" s="2" t="n"/>
    </row>
    <row r="22">
      <c r="A22" s="2" t="n"/>
      <c r="B22" s="10" t="n"/>
      <c r="C22" s="2" t="n"/>
      <c r="D22" s="2" t="n"/>
      <c r="E22" s="2" t="n"/>
      <c r="F22" s="2" t="n"/>
      <c r="G22" s="8" t="n"/>
      <c r="H22" s="8">
        <f>IF(G22="","",G22*Configuracion!$G$2)</f>
        <v/>
      </c>
      <c r="I22" s="8">
        <f>IF(G22="","",G22+H22)</f>
        <v/>
      </c>
      <c r="J22" s="2" t="n"/>
      <c r="K22" s="10" t="n"/>
      <c r="L22" s="10" t="n"/>
      <c r="M22" s="11" t="n"/>
      <c r="N22" s="2" t="n"/>
      <c r="O22" s="2" t="n"/>
    </row>
    <row r="23">
      <c r="A23" s="2" t="n"/>
      <c r="B23" s="10" t="n"/>
      <c r="C23" s="2" t="n"/>
      <c r="D23" s="2" t="n"/>
      <c r="E23" s="2" t="n"/>
      <c r="F23" s="2" t="n"/>
      <c r="G23" s="8" t="n"/>
      <c r="H23" s="8">
        <f>IF(G23="","",G23*Configuracion!$G$2)</f>
        <v/>
      </c>
      <c r="I23" s="8">
        <f>IF(G23="","",G23+H23)</f>
        <v/>
      </c>
      <c r="J23" s="2" t="n"/>
      <c r="K23" s="10" t="n"/>
      <c r="L23" s="10" t="n"/>
      <c r="M23" s="11" t="n"/>
      <c r="N23" s="2" t="n"/>
      <c r="O23" s="2" t="n"/>
    </row>
    <row r="24">
      <c r="A24" s="2" t="n"/>
      <c r="B24" s="10" t="n"/>
      <c r="C24" s="2" t="n"/>
      <c r="D24" s="2" t="n"/>
      <c r="E24" s="2" t="n"/>
      <c r="F24" s="2" t="n"/>
      <c r="G24" s="8" t="n"/>
      <c r="H24" s="8">
        <f>IF(G24="","",G24*Configuracion!$G$2)</f>
        <v/>
      </c>
      <c r="I24" s="8">
        <f>IF(G24="","",G24+H24)</f>
        <v/>
      </c>
      <c r="J24" s="2" t="n"/>
      <c r="K24" s="10" t="n"/>
      <c r="L24" s="10" t="n"/>
      <c r="M24" s="11" t="n"/>
      <c r="N24" s="2" t="n"/>
      <c r="O24" s="2" t="n"/>
    </row>
    <row r="25">
      <c r="A25" s="2" t="n"/>
      <c r="B25" s="10" t="n"/>
      <c r="C25" s="2" t="n"/>
      <c r="D25" s="2" t="n"/>
      <c r="E25" s="2" t="n"/>
      <c r="F25" s="2" t="n"/>
      <c r="G25" s="8" t="n"/>
      <c r="H25" s="8">
        <f>IF(G25="","",G25*Configuracion!$G$2)</f>
        <v/>
      </c>
      <c r="I25" s="8">
        <f>IF(G25="","",G25+H25)</f>
        <v/>
      </c>
      <c r="J25" s="2" t="n"/>
      <c r="K25" s="10" t="n"/>
      <c r="L25" s="10" t="n"/>
      <c r="M25" s="11" t="n"/>
      <c r="N25" s="2" t="n"/>
      <c r="O25" s="2" t="n"/>
    </row>
    <row r="26">
      <c r="A26" s="2" t="n"/>
      <c r="B26" s="10" t="n"/>
      <c r="C26" s="2" t="n"/>
      <c r="D26" s="2" t="n"/>
      <c r="E26" s="2" t="n"/>
      <c r="F26" s="2" t="n"/>
      <c r="G26" s="8" t="n"/>
      <c r="H26" s="8">
        <f>IF(G26="","",G26*Configuracion!$G$2)</f>
        <v/>
      </c>
      <c r="I26" s="8">
        <f>IF(G26="","",G26+H26)</f>
        <v/>
      </c>
      <c r="J26" s="2" t="n"/>
      <c r="K26" s="10" t="n"/>
      <c r="L26" s="10" t="n"/>
      <c r="M26" s="11" t="n"/>
      <c r="N26" s="2" t="n"/>
      <c r="O26" s="2" t="n"/>
    </row>
    <row r="27">
      <c r="A27" s="2" t="n"/>
      <c r="B27" s="10" t="n"/>
      <c r="C27" s="2" t="n"/>
      <c r="D27" s="2" t="n"/>
      <c r="E27" s="2" t="n"/>
      <c r="F27" s="2" t="n"/>
      <c r="G27" s="8" t="n"/>
      <c r="H27" s="8">
        <f>IF(G27="","",G27*Configuracion!$G$2)</f>
        <v/>
      </c>
      <c r="I27" s="8">
        <f>IF(G27="","",G27+H27)</f>
        <v/>
      </c>
      <c r="J27" s="2" t="n"/>
      <c r="K27" s="10" t="n"/>
      <c r="L27" s="10" t="n"/>
      <c r="M27" s="11" t="n"/>
      <c r="N27" s="2" t="n"/>
      <c r="O27" s="2" t="n"/>
    </row>
    <row r="28">
      <c r="A28" s="2" t="n"/>
      <c r="B28" s="10" t="n"/>
      <c r="C28" s="2" t="n"/>
      <c r="D28" s="2" t="n"/>
      <c r="E28" s="2" t="n"/>
      <c r="F28" s="2" t="n"/>
      <c r="G28" s="8" t="n"/>
      <c r="H28" s="8">
        <f>IF(G28="","",G28*Configuracion!$G$2)</f>
        <v/>
      </c>
      <c r="I28" s="8">
        <f>IF(G28="","",G28+H28)</f>
        <v/>
      </c>
      <c r="J28" s="2" t="n"/>
      <c r="K28" s="10" t="n"/>
      <c r="L28" s="10" t="n"/>
      <c r="M28" s="11" t="n"/>
      <c r="N28" s="2" t="n"/>
      <c r="O28" s="2" t="n"/>
    </row>
    <row r="29">
      <c r="A29" s="2" t="n"/>
      <c r="B29" s="10" t="n"/>
      <c r="C29" s="2" t="n"/>
      <c r="D29" s="2" t="n"/>
      <c r="E29" s="2" t="n"/>
      <c r="F29" s="2" t="n"/>
      <c r="G29" s="8" t="n"/>
      <c r="H29" s="8">
        <f>IF(G29="","",G29*Configuracion!$G$2)</f>
        <v/>
      </c>
      <c r="I29" s="8">
        <f>IF(G29="","",G29+H29)</f>
        <v/>
      </c>
      <c r="J29" s="2" t="n"/>
      <c r="K29" s="10" t="n"/>
      <c r="L29" s="10" t="n"/>
      <c r="M29" s="11" t="n"/>
      <c r="N29" s="2" t="n"/>
      <c r="O29" s="2" t="n"/>
    </row>
    <row r="30">
      <c r="A30" s="2" t="n"/>
      <c r="B30" s="10" t="n"/>
      <c r="C30" s="2" t="n"/>
      <c r="D30" s="2" t="n"/>
      <c r="E30" s="2" t="n"/>
      <c r="F30" s="2" t="n"/>
      <c r="G30" s="8" t="n"/>
      <c r="H30" s="8">
        <f>IF(G30="","",G30*Configuracion!$G$2)</f>
        <v/>
      </c>
      <c r="I30" s="8">
        <f>IF(G30="","",G30+H30)</f>
        <v/>
      </c>
      <c r="J30" s="2" t="n"/>
      <c r="K30" s="10" t="n"/>
      <c r="L30" s="10" t="n"/>
      <c r="M30" s="11" t="n"/>
      <c r="N30" s="2" t="n"/>
      <c r="O30" s="2" t="n"/>
    </row>
    <row r="31">
      <c r="A31" s="2" t="n"/>
      <c r="B31" s="10" t="n"/>
      <c r="C31" s="2" t="n"/>
      <c r="D31" s="2" t="n"/>
      <c r="E31" s="2" t="n"/>
      <c r="F31" s="2" t="n"/>
      <c r="G31" s="8" t="n"/>
      <c r="H31" s="8">
        <f>IF(G31="","",G31*Configuracion!$G$2)</f>
        <v/>
      </c>
      <c r="I31" s="8">
        <f>IF(G31="","",G31+H31)</f>
        <v/>
      </c>
      <c r="J31" s="2" t="n"/>
      <c r="K31" s="10" t="n"/>
      <c r="L31" s="10" t="n"/>
      <c r="M31" s="11" t="n"/>
      <c r="N31" s="2" t="n"/>
      <c r="O31" s="2" t="n"/>
    </row>
    <row r="32">
      <c r="A32" s="2" t="n"/>
      <c r="B32" s="10" t="n"/>
      <c r="C32" s="2" t="n"/>
      <c r="D32" s="2" t="n"/>
      <c r="E32" s="2" t="n"/>
      <c r="F32" s="2" t="n"/>
      <c r="G32" s="8" t="n"/>
      <c r="H32" s="8">
        <f>IF(G32="","",G32*Configuracion!$G$2)</f>
        <v/>
      </c>
      <c r="I32" s="8">
        <f>IF(G32="","",G32+H32)</f>
        <v/>
      </c>
      <c r="J32" s="2" t="n"/>
      <c r="K32" s="10" t="n"/>
      <c r="L32" s="10" t="n"/>
      <c r="M32" s="11" t="n"/>
      <c r="N32" s="2" t="n"/>
      <c r="O32" s="2" t="n"/>
    </row>
    <row r="33">
      <c r="A33" s="2" t="n"/>
      <c r="B33" s="10" t="n"/>
      <c r="C33" s="2" t="n"/>
      <c r="D33" s="2" t="n"/>
      <c r="E33" s="2" t="n"/>
      <c r="F33" s="2" t="n"/>
      <c r="G33" s="8" t="n"/>
      <c r="H33" s="8">
        <f>IF(G33="","",G33*Configuracion!$G$2)</f>
        <v/>
      </c>
      <c r="I33" s="8">
        <f>IF(G33="","",G33+H33)</f>
        <v/>
      </c>
      <c r="J33" s="2" t="n"/>
      <c r="K33" s="10" t="n"/>
      <c r="L33" s="10" t="n"/>
      <c r="M33" s="11" t="n"/>
      <c r="N33" s="2" t="n"/>
      <c r="O33" s="2" t="n"/>
    </row>
    <row r="34">
      <c r="A34" s="2" t="n"/>
      <c r="B34" s="10" t="n"/>
      <c r="C34" s="2" t="n"/>
      <c r="D34" s="2" t="n"/>
      <c r="E34" s="2" t="n"/>
      <c r="F34" s="2" t="n"/>
      <c r="G34" s="8" t="n"/>
      <c r="H34" s="8">
        <f>IF(G34="","",G34*Configuracion!$G$2)</f>
        <v/>
      </c>
      <c r="I34" s="8">
        <f>IF(G34="","",G34+H34)</f>
        <v/>
      </c>
      <c r="J34" s="2" t="n"/>
      <c r="K34" s="10" t="n"/>
      <c r="L34" s="10" t="n"/>
      <c r="M34" s="11" t="n"/>
      <c r="N34" s="2" t="n"/>
      <c r="O34" s="2" t="n"/>
    </row>
    <row r="35">
      <c r="A35" s="2" t="n"/>
      <c r="B35" s="10" t="n"/>
      <c r="C35" s="2" t="n"/>
      <c r="D35" s="2" t="n"/>
      <c r="E35" s="2" t="n"/>
      <c r="F35" s="2" t="n"/>
      <c r="G35" s="8" t="n"/>
      <c r="H35" s="8">
        <f>IF(G35="","",G35*Configuracion!$G$2)</f>
        <v/>
      </c>
      <c r="I35" s="8">
        <f>IF(G35="","",G35+H35)</f>
        <v/>
      </c>
      <c r="J35" s="2" t="n"/>
      <c r="K35" s="10" t="n"/>
      <c r="L35" s="10" t="n"/>
      <c r="M35" s="11" t="n"/>
      <c r="N35" s="2" t="n"/>
      <c r="O35" s="2" t="n"/>
    </row>
    <row r="36">
      <c r="A36" s="2" t="n"/>
      <c r="B36" s="10" t="n"/>
      <c r="C36" s="2" t="n"/>
      <c r="D36" s="2" t="n"/>
      <c r="E36" s="2" t="n"/>
      <c r="F36" s="2" t="n"/>
      <c r="G36" s="8" t="n"/>
      <c r="H36" s="8">
        <f>IF(G36="","",G36*Configuracion!$G$2)</f>
        <v/>
      </c>
      <c r="I36" s="8">
        <f>IF(G36="","",G36+H36)</f>
        <v/>
      </c>
      <c r="J36" s="2" t="n"/>
      <c r="K36" s="10" t="n"/>
      <c r="L36" s="10" t="n"/>
      <c r="M36" s="11" t="n"/>
      <c r="N36" s="2" t="n"/>
      <c r="O36" s="2" t="n"/>
    </row>
    <row r="37">
      <c r="A37" s="2" t="n"/>
      <c r="B37" s="10" t="n"/>
      <c r="C37" s="2" t="n"/>
      <c r="D37" s="2" t="n"/>
      <c r="E37" s="2" t="n"/>
      <c r="F37" s="2" t="n"/>
      <c r="G37" s="8" t="n"/>
      <c r="H37" s="8">
        <f>IF(G37="","",G37*Configuracion!$G$2)</f>
        <v/>
      </c>
      <c r="I37" s="8">
        <f>IF(G37="","",G37+H37)</f>
        <v/>
      </c>
      <c r="J37" s="2" t="n"/>
      <c r="K37" s="10" t="n"/>
      <c r="L37" s="10" t="n"/>
      <c r="M37" s="11" t="n"/>
      <c r="N37" s="2" t="n"/>
      <c r="O37" s="2" t="n"/>
    </row>
    <row r="38">
      <c r="A38" s="2" t="n"/>
      <c r="B38" s="10" t="n"/>
      <c r="C38" s="2" t="n"/>
      <c r="D38" s="2" t="n"/>
      <c r="E38" s="2" t="n"/>
      <c r="F38" s="2" t="n"/>
      <c r="G38" s="8" t="n"/>
      <c r="H38" s="8">
        <f>IF(G38="","",G38*Configuracion!$G$2)</f>
        <v/>
      </c>
      <c r="I38" s="8">
        <f>IF(G38="","",G38+H38)</f>
        <v/>
      </c>
      <c r="J38" s="2" t="n"/>
      <c r="K38" s="10" t="n"/>
      <c r="L38" s="10" t="n"/>
      <c r="M38" s="11" t="n"/>
      <c r="N38" s="2" t="n"/>
      <c r="O38" s="2" t="n"/>
    </row>
    <row r="39">
      <c r="A39" s="2" t="n"/>
      <c r="B39" s="10" t="n"/>
      <c r="C39" s="2" t="n"/>
      <c r="D39" s="2" t="n"/>
      <c r="E39" s="2" t="n"/>
      <c r="F39" s="2" t="n"/>
      <c r="G39" s="8" t="n"/>
      <c r="H39" s="8">
        <f>IF(G39="","",G39*Configuracion!$G$2)</f>
        <v/>
      </c>
      <c r="I39" s="8">
        <f>IF(G39="","",G39+H39)</f>
        <v/>
      </c>
      <c r="J39" s="2" t="n"/>
      <c r="K39" s="10" t="n"/>
      <c r="L39" s="10" t="n"/>
      <c r="M39" s="11" t="n"/>
      <c r="N39" s="2" t="n"/>
      <c r="O39" s="2" t="n"/>
    </row>
    <row r="40">
      <c r="A40" s="2" t="n"/>
      <c r="B40" s="10" t="n"/>
      <c r="C40" s="2" t="n"/>
      <c r="D40" s="2" t="n"/>
      <c r="E40" s="2" t="n"/>
      <c r="F40" s="2" t="n"/>
      <c r="G40" s="8" t="n"/>
      <c r="H40" s="8">
        <f>IF(G40="","",G40*Configuracion!$G$2)</f>
        <v/>
      </c>
      <c r="I40" s="8">
        <f>IF(G40="","",G40+H40)</f>
        <v/>
      </c>
      <c r="J40" s="2" t="n"/>
      <c r="K40" s="10" t="n"/>
      <c r="L40" s="10" t="n"/>
      <c r="M40" s="11" t="n"/>
      <c r="N40" s="2" t="n"/>
      <c r="O40" s="2" t="n"/>
    </row>
    <row r="41">
      <c r="A41" s="2" t="n"/>
      <c r="B41" s="10" t="n"/>
      <c r="C41" s="2" t="n"/>
      <c r="D41" s="2" t="n"/>
      <c r="E41" s="2" t="n"/>
      <c r="F41" s="2" t="n"/>
      <c r="G41" s="8" t="n"/>
      <c r="H41" s="8">
        <f>IF(G41="","",G41*Configuracion!$G$2)</f>
        <v/>
      </c>
      <c r="I41" s="8">
        <f>IF(G41="","",G41+H41)</f>
        <v/>
      </c>
      <c r="J41" s="2" t="n"/>
      <c r="K41" s="10" t="n"/>
      <c r="L41" s="10" t="n"/>
      <c r="M41" s="11" t="n"/>
      <c r="N41" s="2" t="n"/>
      <c r="O41" s="2" t="n"/>
    </row>
    <row r="42">
      <c r="A42" s="2" t="n"/>
      <c r="B42" s="10" t="n"/>
      <c r="C42" s="2" t="n"/>
      <c r="D42" s="2" t="n"/>
      <c r="E42" s="2" t="n"/>
      <c r="F42" s="2" t="n"/>
      <c r="G42" s="8" t="n"/>
      <c r="H42" s="8">
        <f>IF(G42="","",G42*Configuracion!$G$2)</f>
        <v/>
      </c>
      <c r="I42" s="8">
        <f>IF(G42="","",G42+H42)</f>
        <v/>
      </c>
      <c r="J42" s="2" t="n"/>
      <c r="K42" s="10" t="n"/>
      <c r="L42" s="10" t="n"/>
      <c r="M42" s="11" t="n"/>
      <c r="N42" s="2" t="n"/>
      <c r="O42" s="2" t="n"/>
    </row>
    <row r="43">
      <c r="A43" s="2" t="n"/>
      <c r="B43" s="10" t="n"/>
      <c r="C43" s="2" t="n"/>
      <c r="D43" s="2" t="n"/>
      <c r="E43" s="2" t="n"/>
      <c r="F43" s="2" t="n"/>
      <c r="G43" s="8" t="n"/>
      <c r="H43" s="8">
        <f>IF(G43="","",G43*Configuracion!$G$2)</f>
        <v/>
      </c>
      <c r="I43" s="8">
        <f>IF(G43="","",G43+H43)</f>
        <v/>
      </c>
      <c r="J43" s="2" t="n"/>
      <c r="K43" s="10" t="n"/>
      <c r="L43" s="10" t="n"/>
      <c r="M43" s="11" t="n"/>
      <c r="N43" s="2" t="n"/>
      <c r="O43" s="2" t="n"/>
    </row>
    <row r="44">
      <c r="A44" s="2" t="n"/>
      <c r="B44" s="10" t="n"/>
      <c r="C44" s="2" t="n"/>
      <c r="D44" s="2" t="n"/>
      <c r="E44" s="2" t="n"/>
      <c r="F44" s="2" t="n"/>
      <c r="G44" s="8" t="n"/>
      <c r="H44" s="8">
        <f>IF(G44="","",G44*Configuracion!$G$2)</f>
        <v/>
      </c>
      <c r="I44" s="8">
        <f>IF(G44="","",G44+H44)</f>
        <v/>
      </c>
      <c r="J44" s="2" t="n"/>
      <c r="K44" s="10" t="n"/>
      <c r="L44" s="10" t="n"/>
      <c r="M44" s="11" t="n"/>
      <c r="N44" s="2" t="n"/>
      <c r="O44" s="2" t="n"/>
    </row>
    <row r="45">
      <c r="A45" s="2" t="n"/>
      <c r="B45" s="10" t="n"/>
      <c r="C45" s="2" t="n"/>
      <c r="D45" s="2" t="n"/>
      <c r="E45" s="2" t="n"/>
      <c r="F45" s="2" t="n"/>
      <c r="G45" s="8" t="n"/>
      <c r="H45" s="8">
        <f>IF(G45="","",G45*Configuracion!$G$2)</f>
        <v/>
      </c>
      <c r="I45" s="8">
        <f>IF(G45="","",G45+H45)</f>
        <v/>
      </c>
      <c r="J45" s="2" t="n"/>
      <c r="K45" s="10" t="n"/>
      <c r="L45" s="10" t="n"/>
      <c r="M45" s="11" t="n"/>
      <c r="N45" s="2" t="n"/>
      <c r="O45" s="2" t="n"/>
    </row>
    <row r="46">
      <c r="A46" s="2" t="n"/>
      <c r="B46" s="10" t="n"/>
      <c r="C46" s="2" t="n"/>
      <c r="D46" s="2" t="n"/>
      <c r="E46" s="2" t="n"/>
      <c r="F46" s="2" t="n"/>
      <c r="G46" s="8" t="n"/>
      <c r="H46" s="8">
        <f>IF(G46="","",G46*Configuracion!$G$2)</f>
        <v/>
      </c>
      <c r="I46" s="8">
        <f>IF(G46="","",G46+H46)</f>
        <v/>
      </c>
      <c r="J46" s="2" t="n"/>
      <c r="K46" s="10" t="n"/>
      <c r="L46" s="10" t="n"/>
      <c r="M46" s="11" t="n"/>
      <c r="N46" s="2" t="n"/>
      <c r="O46" s="2" t="n"/>
    </row>
    <row r="47">
      <c r="A47" s="2" t="n"/>
      <c r="B47" s="10" t="n"/>
      <c r="C47" s="2" t="n"/>
      <c r="D47" s="2" t="n"/>
      <c r="E47" s="2" t="n"/>
      <c r="F47" s="2" t="n"/>
      <c r="G47" s="8" t="n"/>
      <c r="H47" s="8">
        <f>IF(G47="","",G47*Configuracion!$G$2)</f>
        <v/>
      </c>
      <c r="I47" s="8">
        <f>IF(G47="","",G47+H47)</f>
        <v/>
      </c>
      <c r="J47" s="2" t="n"/>
      <c r="K47" s="10" t="n"/>
      <c r="L47" s="10" t="n"/>
      <c r="M47" s="11" t="n"/>
      <c r="N47" s="2" t="n"/>
      <c r="O47" s="2" t="n"/>
    </row>
    <row r="48">
      <c r="A48" s="2" t="n"/>
      <c r="B48" s="10" t="n"/>
      <c r="C48" s="2" t="n"/>
      <c r="D48" s="2" t="n"/>
      <c r="E48" s="2" t="n"/>
      <c r="F48" s="2" t="n"/>
      <c r="G48" s="8" t="n"/>
      <c r="H48" s="8">
        <f>IF(G48="","",G48*Configuracion!$G$2)</f>
        <v/>
      </c>
      <c r="I48" s="8">
        <f>IF(G48="","",G48+H48)</f>
        <v/>
      </c>
      <c r="J48" s="2" t="n"/>
      <c r="K48" s="10" t="n"/>
      <c r="L48" s="10" t="n"/>
      <c r="M48" s="11" t="n"/>
      <c r="N48" s="2" t="n"/>
      <c r="O48" s="2" t="n"/>
    </row>
    <row r="49">
      <c r="A49" s="2" t="n"/>
      <c r="B49" s="10" t="n"/>
      <c r="C49" s="2" t="n"/>
      <c r="D49" s="2" t="n"/>
      <c r="E49" s="2" t="n"/>
      <c r="F49" s="2" t="n"/>
      <c r="G49" s="8" t="n"/>
      <c r="H49" s="8">
        <f>IF(G49="","",G49*Configuracion!$G$2)</f>
        <v/>
      </c>
      <c r="I49" s="8">
        <f>IF(G49="","",G49+H49)</f>
        <v/>
      </c>
      <c r="J49" s="2" t="n"/>
      <c r="K49" s="10" t="n"/>
      <c r="L49" s="10" t="n"/>
      <c r="M49" s="11" t="n"/>
      <c r="N49" s="2" t="n"/>
      <c r="O49" s="2" t="n"/>
    </row>
    <row r="50">
      <c r="A50" s="2" t="n"/>
      <c r="B50" s="10" t="n"/>
      <c r="C50" s="2" t="n"/>
      <c r="D50" s="2" t="n"/>
      <c r="E50" s="2" t="n"/>
      <c r="F50" s="2" t="n"/>
      <c r="G50" s="8" t="n"/>
      <c r="H50" s="8">
        <f>IF(G50="","",G50*Configuracion!$G$2)</f>
        <v/>
      </c>
      <c r="I50" s="8">
        <f>IF(G50="","",G50+H50)</f>
        <v/>
      </c>
      <c r="J50" s="2" t="n"/>
      <c r="K50" s="10" t="n"/>
      <c r="L50" s="10" t="n"/>
      <c r="M50" s="11" t="n"/>
      <c r="N50" s="2" t="n"/>
      <c r="O50" s="2" t="n"/>
    </row>
    <row r="51">
      <c r="A51" s="2" t="n"/>
      <c r="B51" s="10" t="n"/>
      <c r="C51" s="2" t="n"/>
      <c r="D51" s="2" t="n"/>
      <c r="E51" s="2" t="n"/>
      <c r="F51" s="2" t="n"/>
      <c r="G51" s="8" t="n"/>
      <c r="H51" s="8">
        <f>IF(G51="","",G51*Configuracion!$G$2)</f>
        <v/>
      </c>
      <c r="I51" s="8">
        <f>IF(G51="","",G51+H51)</f>
        <v/>
      </c>
      <c r="J51" s="2" t="n"/>
      <c r="K51" s="10" t="n"/>
      <c r="L51" s="10" t="n"/>
      <c r="M51" s="11" t="n"/>
      <c r="N51" s="2" t="n"/>
      <c r="O51" s="2" t="n"/>
    </row>
    <row r="52">
      <c r="A52" s="2" t="n"/>
      <c r="B52" s="10" t="n"/>
      <c r="C52" s="2" t="n"/>
      <c r="D52" s="2" t="n"/>
      <c r="E52" s="2" t="n"/>
      <c r="F52" s="2" t="n"/>
      <c r="G52" s="8" t="n"/>
      <c r="H52" s="8">
        <f>IF(G52="","",G52*Configuracion!$G$2)</f>
        <v/>
      </c>
      <c r="I52" s="8">
        <f>IF(G52="","",G52+H52)</f>
        <v/>
      </c>
      <c r="J52" s="2" t="n"/>
      <c r="K52" s="10" t="n"/>
      <c r="L52" s="10" t="n"/>
      <c r="M52" s="11" t="n"/>
      <c r="N52" s="2" t="n"/>
      <c r="O52" s="2" t="n"/>
    </row>
    <row r="53">
      <c r="A53" s="2" t="n"/>
      <c r="B53" s="10" t="n"/>
      <c r="C53" s="2" t="n"/>
      <c r="D53" s="2" t="n"/>
      <c r="E53" s="2" t="n"/>
      <c r="F53" s="2" t="n"/>
      <c r="G53" s="8" t="n"/>
      <c r="H53" s="8">
        <f>IF(G53="","",G53*Configuracion!$G$2)</f>
        <v/>
      </c>
      <c r="I53" s="8">
        <f>IF(G53="","",G53+H53)</f>
        <v/>
      </c>
      <c r="J53" s="2" t="n"/>
      <c r="K53" s="10" t="n"/>
      <c r="L53" s="10" t="n"/>
      <c r="M53" s="11" t="n"/>
      <c r="N53" s="2" t="n"/>
      <c r="O53" s="2" t="n"/>
    </row>
    <row r="54">
      <c r="A54" s="2" t="n"/>
      <c r="B54" s="10" t="n"/>
      <c r="C54" s="2" t="n"/>
      <c r="D54" s="2" t="n"/>
      <c r="E54" s="2" t="n"/>
      <c r="F54" s="2" t="n"/>
      <c r="G54" s="8" t="n"/>
      <c r="H54" s="8">
        <f>IF(G54="","",G54*Configuracion!$G$2)</f>
        <v/>
      </c>
      <c r="I54" s="8">
        <f>IF(G54="","",G54+H54)</f>
        <v/>
      </c>
      <c r="J54" s="2" t="n"/>
      <c r="K54" s="10" t="n"/>
      <c r="L54" s="10" t="n"/>
      <c r="M54" s="11" t="n"/>
      <c r="N54" s="2" t="n"/>
      <c r="O54" s="2" t="n"/>
    </row>
    <row r="55">
      <c r="A55" s="2" t="n"/>
      <c r="B55" s="10" t="n"/>
      <c r="C55" s="2" t="n"/>
      <c r="D55" s="2" t="n"/>
      <c r="E55" s="2" t="n"/>
      <c r="F55" s="2" t="n"/>
      <c r="G55" s="8" t="n"/>
      <c r="H55" s="8">
        <f>IF(G55="","",G55*Configuracion!$G$2)</f>
        <v/>
      </c>
      <c r="I55" s="8">
        <f>IF(G55="","",G55+H55)</f>
        <v/>
      </c>
      <c r="J55" s="2" t="n"/>
      <c r="K55" s="10" t="n"/>
      <c r="L55" s="10" t="n"/>
      <c r="M55" s="11" t="n"/>
      <c r="N55" s="2" t="n"/>
      <c r="O55" s="2" t="n"/>
    </row>
    <row r="56">
      <c r="A56" s="2" t="n"/>
      <c r="B56" s="10" t="n"/>
      <c r="C56" s="2" t="n"/>
      <c r="D56" s="2" t="n"/>
      <c r="E56" s="2" t="n"/>
      <c r="F56" s="2" t="n"/>
      <c r="G56" s="8" t="n"/>
      <c r="H56" s="8">
        <f>IF(G56="","",G56*Configuracion!$G$2)</f>
        <v/>
      </c>
      <c r="I56" s="8">
        <f>IF(G56="","",G56+H56)</f>
        <v/>
      </c>
      <c r="J56" s="2" t="n"/>
      <c r="K56" s="10" t="n"/>
      <c r="L56" s="10" t="n"/>
      <c r="M56" s="11" t="n"/>
      <c r="N56" s="2" t="n"/>
      <c r="O56" s="2" t="n"/>
    </row>
    <row r="57">
      <c r="A57" s="2" t="n"/>
      <c r="B57" s="10" t="n"/>
      <c r="C57" s="2" t="n"/>
      <c r="D57" s="2" t="n"/>
      <c r="E57" s="2" t="n"/>
      <c r="F57" s="2" t="n"/>
      <c r="G57" s="8" t="n"/>
      <c r="H57" s="8">
        <f>IF(G57="","",G57*Configuracion!$G$2)</f>
        <v/>
      </c>
      <c r="I57" s="8">
        <f>IF(G57="","",G57+H57)</f>
        <v/>
      </c>
      <c r="J57" s="2" t="n"/>
      <c r="K57" s="10" t="n"/>
      <c r="L57" s="10" t="n"/>
      <c r="M57" s="11" t="n"/>
      <c r="N57" s="2" t="n"/>
      <c r="O57" s="2" t="n"/>
    </row>
    <row r="58">
      <c r="A58" s="2" t="n"/>
      <c r="B58" s="10" t="n"/>
      <c r="C58" s="2" t="n"/>
      <c r="D58" s="2" t="n"/>
      <c r="E58" s="2" t="n"/>
      <c r="F58" s="2" t="n"/>
      <c r="G58" s="8" t="n"/>
      <c r="H58" s="8">
        <f>IF(G58="","",G58*Configuracion!$G$2)</f>
        <v/>
      </c>
      <c r="I58" s="8">
        <f>IF(G58="","",G58+H58)</f>
        <v/>
      </c>
      <c r="J58" s="2" t="n"/>
      <c r="K58" s="10" t="n"/>
      <c r="L58" s="10" t="n"/>
      <c r="M58" s="11" t="n"/>
      <c r="N58" s="2" t="n"/>
      <c r="O58" s="2" t="n"/>
    </row>
    <row r="59">
      <c r="A59" s="2" t="n"/>
      <c r="B59" s="10" t="n"/>
      <c r="C59" s="2" t="n"/>
      <c r="D59" s="2" t="n"/>
      <c r="E59" s="2" t="n"/>
      <c r="F59" s="2" t="n"/>
      <c r="G59" s="8" t="n"/>
      <c r="H59" s="8">
        <f>IF(G59="","",G59*Configuracion!$G$2)</f>
        <v/>
      </c>
      <c r="I59" s="8">
        <f>IF(G59="","",G59+H59)</f>
        <v/>
      </c>
      <c r="J59" s="2" t="n"/>
      <c r="K59" s="10" t="n"/>
      <c r="L59" s="10" t="n"/>
      <c r="M59" s="11" t="n"/>
      <c r="N59" s="2" t="n"/>
      <c r="O59" s="2" t="n"/>
    </row>
    <row r="60">
      <c r="A60" s="2" t="n"/>
      <c r="B60" s="10" t="n"/>
      <c r="C60" s="2" t="n"/>
      <c r="D60" s="2" t="n"/>
      <c r="E60" s="2" t="n"/>
      <c r="F60" s="2" t="n"/>
      <c r="G60" s="8" t="n"/>
      <c r="H60" s="8">
        <f>IF(G60="","",G60*Configuracion!$G$2)</f>
        <v/>
      </c>
      <c r="I60" s="8">
        <f>IF(G60="","",G60+H60)</f>
        <v/>
      </c>
      <c r="J60" s="2" t="n"/>
      <c r="K60" s="10" t="n"/>
      <c r="L60" s="10" t="n"/>
      <c r="M60" s="11" t="n"/>
      <c r="N60" s="2" t="n"/>
      <c r="O60" s="2" t="n"/>
    </row>
    <row r="61">
      <c r="A61" s="2" t="n"/>
      <c r="B61" s="10" t="n"/>
      <c r="C61" s="2" t="n"/>
      <c r="D61" s="2" t="n"/>
      <c r="E61" s="2" t="n"/>
      <c r="F61" s="2" t="n"/>
      <c r="G61" s="8" t="n"/>
      <c r="H61" s="8">
        <f>IF(G61="","",G61*Configuracion!$G$2)</f>
        <v/>
      </c>
      <c r="I61" s="8">
        <f>IF(G61="","",G61+H61)</f>
        <v/>
      </c>
      <c r="J61" s="2" t="n"/>
      <c r="K61" s="10" t="n"/>
      <c r="L61" s="10" t="n"/>
      <c r="M61" s="11" t="n"/>
      <c r="N61" s="2" t="n"/>
      <c r="O61" s="2" t="n"/>
    </row>
    <row r="62">
      <c r="A62" s="2" t="n"/>
      <c r="B62" s="10" t="n"/>
      <c r="C62" s="2" t="n"/>
      <c r="D62" s="2" t="n"/>
      <c r="E62" s="2" t="n"/>
      <c r="F62" s="2" t="n"/>
      <c r="G62" s="8" t="n"/>
      <c r="H62" s="8">
        <f>IF(G62="","",G62*Configuracion!$G$2)</f>
        <v/>
      </c>
      <c r="I62" s="8">
        <f>IF(G62="","",G62+H62)</f>
        <v/>
      </c>
      <c r="J62" s="2" t="n"/>
      <c r="K62" s="10" t="n"/>
      <c r="L62" s="10" t="n"/>
      <c r="M62" s="11" t="n"/>
      <c r="N62" s="2" t="n"/>
      <c r="O62" s="2" t="n"/>
    </row>
    <row r="63">
      <c r="A63" s="2" t="n"/>
      <c r="B63" s="10" t="n"/>
      <c r="C63" s="2" t="n"/>
      <c r="D63" s="2" t="n"/>
      <c r="E63" s="2" t="n"/>
      <c r="F63" s="2" t="n"/>
      <c r="G63" s="8" t="n"/>
      <c r="H63" s="8">
        <f>IF(G63="","",G63*Configuracion!$G$2)</f>
        <v/>
      </c>
      <c r="I63" s="8">
        <f>IF(G63="","",G63+H63)</f>
        <v/>
      </c>
      <c r="J63" s="2" t="n"/>
      <c r="K63" s="10" t="n"/>
      <c r="L63" s="10" t="n"/>
      <c r="M63" s="11" t="n"/>
      <c r="N63" s="2" t="n"/>
      <c r="O63" s="2" t="n"/>
    </row>
    <row r="64">
      <c r="A64" s="2" t="n"/>
      <c r="B64" s="10" t="n"/>
      <c r="C64" s="2" t="n"/>
      <c r="D64" s="2" t="n"/>
      <c r="E64" s="2" t="n"/>
      <c r="F64" s="2" t="n"/>
      <c r="G64" s="8" t="n"/>
      <c r="H64" s="8">
        <f>IF(G64="","",G64*Configuracion!$G$2)</f>
        <v/>
      </c>
      <c r="I64" s="8">
        <f>IF(G64="","",G64+H64)</f>
        <v/>
      </c>
      <c r="J64" s="2" t="n"/>
      <c r="K64" s="10" t="n"/>
      <c r="L64" s="10" t="n"/>
      <c r="M64" s="11" t="n"/>
      <c r="N64" s="2" t="n"/>
      <c r="O64" s="2" t="n"/>
    </row>
    <row r="65">
      <c r="A65" s="2" t="n"/>
      <c r="B65" s="10" t="n"/>
      <c r="C65" s="2" t="n"/>
      <c r="D65" s="2" t="n"/>
      <c r="E65" s="2" t="n"/>
      <c r="F65" s="2" t="n"/>
      <c r="G65" s="8" t="n"/>
      <c r="H65" s="8">
        <f>IF(G65="","",G65*Configuracion!$G$2)</f>
        <v/>
      </c>
      <c r="I65" s="8">
        <f>IF(G65="","",G65+H65)</f>
        <v/>
      </c>
      <c r="J65" s="2" t="n"/>
      <c r="K65" s="10" t="n"/>
      <c r="L65" s="10" t="n"/>
      <c r="M65" s="11" t="n"/>
      <c r="N65" s="2" t="n"/>
      <c r="O65" s="2" t="n"/>
    </row>
    <row r="66">
      <c r="A66" s="2" t="n"/>
      <c r="B66" s="10" t="n"/>
      <c r="C66" s="2" t="n"/>
      <c r="D66" s="2" t="n"/>
      <c r="E66" s="2" t="n"/>
      <c r="F66" s="2" t="n"/>
      <c r="G66" s="8" t="n"/>
      <c r="H66" s="8">
        <f>IF(G66="","",G66*Configuracion!$G$2)</f>
        <v/>
      </c>
      <c r="I66" s="8">
        <f>IF(G66="","",G66+H66)</f>
        <v/>
      </c>
      <c r="J66" s="2" t="n"/>
      <c r="K66" s="10" t="n"/>
      <c r="L66" s="10" t="n"/>
      <c r="M66" s="11" t="n"/>
      <c r="N66" s="2" t="n"/>
      <c r="O66" s="2" t="n"/>
    </row>
    <row r="67">
      <c r="A67" s="2" t="n"/>
      <c r="B67" s="10" t="n"/>
      <c r="C67" s="2" t="n"/>
      <c r="D67" s="2" t="n"/>
      <c r="E67" s="2" t="n"/>
      <c r="F67" s="2" t="n"/>
      <c r="G67" s="8" t="n"/>
      <c r="H67" s="8">
        <f>IF(G67="","",G67*Configuracion!$G$2)</f>
        <v/>
      </c>
      <c r="I67" s="8">
        <f>IF(G67="","",G67+H67)</f>
        <v/>
      </c>
      <c r="J67" s="2" t="n"/>
      <c r="K67" s="10" t="n"/>
      <c r="L67" s="10" t="n"/>
      <c r="M67" s="11" t="n"/>
      <c r="N67" s="2" t="n"/>
      <c r="O67" s="2" t="n"/>
    </row>
    <row r="68">
      <c r="A68" s="2" t="n"/>
      <c r="B68" s="10" t="n"/>
      <c r="C68" s="2" t="n"/>
      <c r="D68" s="2" t="n"/>
      <c r="E68" s="2" t="n"/>
      <c r="F68" s="2" t="n"/>
      <c r="G68" s="8" t="n"/>
      <c r="H68" s="8">
        <f>IF(G68="","",G68*Configuracion!$G$2)</f>
        <v/>
      </c>
      <c r="I68" s="8">
        <f>IF(G68="","",G68+H68)</f>
        <v/>
      </c>
      <c r="J68" s="2" t="n"/>
      <c r="K68" s="10" t="n"/>
      <c r="L68" s="10" t="n"/>
      <c r="M68" s="11" t="n"/>
      <c r="N68" s="2" t="n"/>
      <c r="O68" s="2" t="n"/>
    </row>
    <row r="69">
      <c r="A69" s="2" t="n"/>
      <c r="B69" s="10" t="n"/>
      <c r="C69" s="2" t="n"/>
      <c r="D69" s="2" t="n"/>
      <c r="E69" s="2" t="n"/>
      <c r="F69" s="2" t="n"/>
      <c r="G69" s="8" t="n"/>
      <c r="H69" s="8">
        <f>IF(G69="","",G69*Configuracion!$G$2)</f>
        <v/>
      </c>
      <c r="I69" s="8">
        <f>IF(G69="","",G69+H69)</f>
        <v/>
      </c>
      <c r="J69" s="2" t="n"/>
      <c r="K69" s="10" t="n"/>
      <c r="L69" s="10" t="n"/>
      <c r="M69" s="11" t="n"/>
      <c r="N69" s="2" t="n"/>
      <c r="O69" s="2" t="n"/>
    </row>
    <row r="70">
      <c r="A70" s="2" t="n"/>
      <c r="B70" s="10" t="n"/>
      <c r="C70" s="2" t="n"/>
      <c r="D70" s="2" t="n"/>
      <c r="E70" s="2" t="n"/>
      <c r="F70" s="2" t="n"/>
      <c r="G70" s="8" t="n"/>
      <c r="H70" s="8">
        <f>IF(G70="","",G70*Configuracion!$G$2)</f>
        <v/>
      </c>
      <c r="I70" s="8">
        <f>IF(G70="","",G70+H70)</f>
        <v/>
      </c>
      <c r="J70" s="2" t="n"/>
      <c r="K70" s="10" t="n"/>
      <c r="L70" s="10" t="n"/>
      <c r="M70" s="11" t="n"/>
      <c r="N70" s="2" t="n"/>
      <c r="O70" s="2" t="n"/>
    </row>
    <row r="71">
      <c r="A71" s="2" t="n"/>
      <c r="B71" s="10" t="n"/>
      <c r="C71" s="2" t="n"/>
      <c r="D71" s="2" t="n"/>
      <c r="E71" s="2" t="n"/>
      <c r="F71" s="2" t="n"/>
      <c r="G71" s="8" t="n"/>
      <c r="H71" s="8">
        <f>IF(G71="","",G71*Configuracion!$G$2)</f>
        <v/>
      </c>
      <c r="I71" s="8">
        <f>IF(G71="","",G71+H71)</f>
        <v/>
      </c>
      <c r="J71" s="2" t="n"/>
      <c r="K71" s="10" t="n"/>
      <c r="L71" s="10" t="n"/>
      <c r="M71" s="11" t="n"/>
      <c r="N71" s="2" t="n"/>
      <c r="O71" s="2" t="n"/>
    </row>
    <row r="72">
      <c r="A72" s="2" t="n"/>
      <c r="B72" s="10" t="n"/>
      <c r="C72" s="2" t="n"/>
      <c r="D72" s="2" t="n"/>
      <c r="E72" s="2" t="n"/>
      <c r="F72" s="2" t="n"/>
      <c r="G72" s="8" t="n"/>
      <c r="H72" s="8">
        <f>IF(G72="","",G72*Configuracion!$G$2)</f>
        <v/>
      </c>
      <c r="I72" s="8">
        <f>IF(G72="","",G72+H72)</f>
        <v/>
      </c>
      <c r="J72" s="2" t="n"/>
      <c r="K72" s="10" t="n"/>
      <c r="L72" s="10" t="n"/>
      <c r="M72" s="11" t="n"/>
      <c r="N72" s="2" t="n"/>
      <c r="O72" s="2" t="n"/>
    </row>
    <row r="73">
      <c r="A73" s="2" t="n"/>
      <c r="B73" s="10" t="n"/>
      <c r="C73" s="2" t="n"/>
      <c r="D73" s="2" t="n"/>
      <c r="E73" s="2" t="n"/>
      <c r="F73" s="2" t="n"/>
      <c r="G73" s="8" t="n"/>
      <c r="H73" s="8">
        <f>IF(G73="","",G73*Configuracion!$G$2)</f>
        <v/>
      </c>
      <c r="I73" s="8">
        <f>IF(G73="","",G73+H73)</f>
        <v/>
      </c>
      <c r="J73" s="2" t="n"/>
      <c r="K73" s="10" t="n"/>
      <c r="L73" s="10" t="n"/>
      <c r="M73" s="11" t="n"/>
      <c r="N73" s="2" t="n"/>
      <c r="O73" s="2" t="n"/>
    </row>
    <row r="74">
      <c r="A74" s="2" t="n"/>
      <c r="B74" s="10" t="n"/>
      <c r="C74" s="2" t="n"/>
      <c r="D74" s="2" t="n"/>
      <c r="E74" s="2" t="n"/>
      <c r="F74" s="2" t="n"/>
      <c r="G74" s="8" t="n"/>
      <c r="H74" s="8">
        <f>IF(G74="","",G74*Configuracion!$G$2)</f>
        <v/>
      </c>
      <c r="I74" s="8">
        <f>IF(G74="","",G74+H74)</f>
        <v/>
      </c>
      <c r="J74" s="2" t="n"/>
      <c r="K74" s="10" t="n"/>
      <c r="L74" s="10" t="n"/>
      <c r="M74" s="11" t="n"/>
      <c r="N74" s="2" t="n"/>
      <c r="O74" s="2" t="n"/>
    </row>
    <row r="75">
      <c r="A75" s="2" t="n"/>
      <c r="B75" s="10" t="n"/>
      <c r="C75" s="2" t="n"/>
      <c r="D75" s="2" t="n"/>
      <c r="E75" s="2" t="n"/>
      <c r="F75" s="2" t="n"/>
      <c r="G75" s="8" t="n"/>
      <c r="H75" s="8">
        <f>IF(G75="","",G75*Configuracion!$G$2)</f>
        <v/>
      </c>
      <c r="I75" s="8">
        <f>IF(G75="","",G75+H75)</f>
        <v/>
      </c>
      <c r="J75" s="2" t="n"/>
      <c r="K75" s="10" t="n"/>
      <c r="L75" s="10" t="n"/>
      <c r="M75" s="11" t="n"/>
      <c r="N75" s="2" t="n"/>
      <c r="O75" s="2" t="n"/>
    </row>
    <row r="76">
      <c r="A76" s="2" t="n"/>
      <c r="B76" s="10" t="n"/>
      <c r="C76" s="2" t="n"/>
      <c r="D76" s="2" t="n"/>
      <c r="E76" s="2" t="n"/>
      <c r="F76" s="2" t="n"/>
      <c r="G76" s="8" t="n"/>
      <c r="H76" s="8">
        <f>IF(G76="","",G76*Configuracion!$G$2)</f>
        <v/>
      </c>
      <c r="I76" s="8">
        <f>IF(G76="","",G76+H76)</f>
        <v/>
      </c>
      <c r="J76" s="2" t="n"/>
      <c r="K76" s="10" t="n"/>
      <c r="L76" s="10" t="n"/>
      <c r="M76" s="11" t="n"/>
      <c r="N76" s="2" t="n"/>
      <c r="O76" s="2" t="n"/>
    </row>
    <row r="77">
      <c r="A77" s="2" t="n"/>
      <c r="B77" s="10" t="n"/>
      <c r="C77" s="2" t="n"/>
      <c r="D77" s="2" t="n"/>
      <c r="E77" s="2" t="n"/>
      <c r="F77" s="2" t="n"/>
      <c r="G77" s="8" t="n"/>
      <c r="H77" s="8">
        <f>IF(G77="","",G77*Configuracion!$G$2)</f>
        <v/>
      </c>
      <c r="I77" s="8">
        <f>IF(G77="","",G77+H77)</f>
        <v/>
      </c>
      <c r="J77" s="2" t="n"/>
      <c r="K77" s="10" t="n"/>
      <c r="L77" s="10" t="n"/>
      <c r="M77" s="11" t="n"/>
      <c r="N77" s="2" t="n"/>
      <c r="O77" s="2" t="n"/>
    </row>
    <row r="78">
      <c r="A78" s="2" t="n"/>
      <c r="B78" s="10" t="n"/>
      <c r="C78" s="2" t="n"/>
      <c r="D78" s="2" t="n"/>
      <c r="E78" s="2" t="n"/>
      <c r="F78" s="2" t="n"/>
      <c r="G78" s="8" t="n"/>
      <c r="H78" s="8">
        <f>IF(G78="","",G78*Configuracion!$G$2)</f>
        <v/>
      </c>
      <c r="I78" s="8">
        <f>IF(G78="","",G78+H78)</f>
        <v/>
      </c>
      <c r="J78" s="2" t="n"/>
      <c r="K78" s="10" t="n"/>
      <c r="L78" s="10" t="n"/>
      <c r="M78" s="11" t="n"/>
      <c r="N78" s="2" t="n"/>
      <c r="O78" s="2" t="n"/>
    </row>
    <row r="79">
      <c r="A79" s="2" t="n"/>
      <c r="B79" s="10" t="n"/>
      <c r="C79" s="2" t="n"/>
      <c r="D79" s="2" t="n"/>
      <c r="E79" s="2" t="n"/>
      <c r="F79" s="2" t="n"/>
      <c r="G79" s="8" t="n"/>
      <c r="H79" s="8">
        <f>IF(G79="","",G79*Configuracion!$G$2)</f>
        <v/>
      </c>
      <c r="I79" s="8">
        <f>IF(G79="","",G79+H79)</f>
        <v/>
      </c>
      <c r="J79" s="2" t="n"/>
      <c r="K79" s="10" t="n"/>
      <c r="L79" s="10" t="n"/>
      <c r="M79" s="11" t="n"/>
      <c r="N79" s="2" t="n"/>
      <c r="O79" s="2" t="n"/>
    </row>
    <row r="80">
      <c r="A80" s="2" t="n"/>
      <c r="B80" s="10" t="n"/>
      <c r="C80" s="2" t="n"/>
      <c r="D80" s="2" t="n"/>
      <c r="E80" s="2" t="n"/>
      <c r="F80" s="2" t="n"/>
      <c r="G80" s="8" t="n"/>
      <c r="H80" s="8">
        <f>IF(G80="","",G80*Configuracion!$G$2)</f>
        <v/>
      </c>
      <c r="I80" s="8">
        <f>IF(G80="","",G80+H80)</f>
        <v/>
      </c>
      <c r="J80" s="2" t="n"/>
      <c r="K80" s="10" t="n"/>
      <c r="L80" s="10" t="n"/>
      <c r="M80" s="11" t="n"/>
      <c r="N80" s="2" t="n"/>
      <c r="O80" s="2" t="n"/>
    </row>
    <row r="81">
      <c r="A81" s="2" t="n"/>
      <c r="B81" s="10" t="n"/>
      <c r="C81" s="2" t="n"/>
      <c r="D81" s="2" t="n"/>
      <c r="E81" s="2" t="n"/>
      <c r="F81" s="2" t="n"/>
      <c r="G81" s="8" t="n"/>
      <c r="H81" s="8">
        <f>IF(G81="","",G81*Configuracion!$G$2)</f>
        <v/>
      </c>
      <c r="I81" s="8">
        <f>IF(G81="","",G81+H81)</f>
        <v/>
      </c>
      <c r="J81" s="2" t="n"/>
      <c r="K81" s="10" t="n"/>
      <c r="L81" s="10" t="n"/>
      <c r="M81" s="11" t="n"/>
      <c r="N81" s="2" t="n"/>
      <c r="O81" s="2" t="n"/>
    </row>
    <row r="82">
      <c r="A82" s="2" t="n"/>
      <c r="B82" s="10" t="n"/>
      <c r="C82" s="2" t="n"/>
      <c r="D82" s="2" t="n"/>
      <c r="E82" s="2" t="n"/>
      <c r="F82" s="2" t="n"/>
      <c r="G82" s="8" t="n"/>
      <c r="H82" s="8">
        <f>IF(G82="","",G82*Configuracion!$G$2)</f>
        <v/>
      </c>
      <c r="I82" s="8">
        <f>IF(G82="","",G82+H82)</f>
        <v/>
      </c>
      <c r="J82" s="2" t="n"/>
      <c r="K82" s="10" t="n"/>
      <c r="L82" s="10" t="n"/>
      <c r="M82" s="11" t="n"/>
      <c r="N82" s="2" t="n"/>
      <c r="O82" s="2" t="n"/>
    </row>
    <row r="83">
      <c r="A83" s="2" t="n"/>
      <c r="B83" s="10" t="n"/>
      <c r="C83" s="2" t="n"/>
      <c r="D83" s="2" t="n"/>
      <c r="E83" s="2" t="n"/>
      <c r="F83" s="2" t="n"/>
      <c r="G83" s="8" t="n"/>
      <c r="H83" s="8">
        <f>IF(G83="","",G83*Configuracion!$G$2)</f>
        <v/>
      </c>
      <c r="I83" s="8">
        <f>IF(G83="","",G83+H83)</f>
        <v/>
      </c>
      <c r="J83" s="2" t="n"/>
      <c r="K83" s="10" t="n"/>
      <c r="L83" s="10" t="n"/>
      <c r="M83" s="11" t="n"/>
      <c r="N83" s="2" t="n"/>
      <c r="O83" s="2" t="n"/>
    </row>
    <row r="84">
      <c r="A84" s="2" t="n"/>
      <c r="B84" s="10" t="n"/>
      <c r="C84" s="2" t="n"/>
      <c r="D84" s="2" t="n"/>
      <c r="E84" s="2" t="n"/>
      <c r="F84" s="2" t="n"/>
      <c r="G84" s="8" t="n"/>
      <c r="H84" s="8">
        <f>IF(G84="","",G84*Configuracion!$G$2)</f>
        <v/>
      </c>
      <c r="I84" s="8">
        <f>IF(G84="","",G84+H84)</f>
        <v/>
      </c>
      <c r="J84" s="2" t="n"/>
      <c r="K84" s="10" t="n"/>
      <c r="L84" s="10" t="n"/>
      <c r="M84" s="11" t="n"/>
      <c r="N84" s="2" t="n"/>
      <c r="O84" s="2" t="n"/>
    </row>
    <row r="85">
      <c r="A85" s="2" t="n"/>
      <c r="B85" s="10" t="n"/>
      <c r="C85" s="2" t="n"/>
      <c r="D85" s="2" t="n"/>
      <c r="E85" s="2" t="n"/>
      <c r="F85" s="2" t="n"/>
      <c r="G85" s="8" t="n"/>
      <c r="H85" s="8">
        <f>IF(G85="","",G85*Configuracion!$G$2)</f>
        <v/>
      </c>
      <c r="I85" s="8">
        <f>IF(G85="","",G85+H85)</f>
        <v/>
      </c>
      <c r="J85" s="2" t="n"/>
      <c r="K85" s="10" t="n"/>
      <c r="L85" s="10" t="n"/>
      <c r="M85" s="11" t="n"/>
      <c r="N85" s="2" t="n"/>
      <c r="O85" s="2" t="n"/>
    </row>
    <row r="86">
      <c r="A86" s="2" t="n"/>
      <c r="B86" s="10" t="n"/>
      <c r="C86" s="2" t="n"/>
      <c r="D86" s="2" t="n"/>
      <c r="E86" s="2" t="n"/>
      <c r="F86" s="2" t="n"/>
      <c r="G86" s="8" t="n"/>
      <c r="H86" s="8">
        <f>IF(G86="","",G86*Configuracion!$G$2)</f>
        <v/>
      </c>
      <c r="I86" s="8">
        <f>IF(G86="","",G86+H86)</f>
        <v/>
      </c>
      <c r="J86" s="2" t="n"/>
      <c r="K86" s="10" t="n"/>
      <c r="L86" s="10" t="n"/>
      <c r="M86" s="11" t="n"/>
      <c r="N86" s="2" t="n"/>
      <c r="O86" s="2" t="n"/>
    </row>
    <row r="87">
      <c r="A87" s="2" t="n"/>
      <c r="B87" s="10" t="n"/>
      <c r="C87" s="2" t="n"/>
      <c r="D87" s="2" t="n"/>
      <c r="E87" s="2" t="n"/>
      <c r="F87" s="2" t="n"/>
      <c r="G87" s="8" t="n"/>
      <c r="H87" s="8">
        <f>IF(G87="","",G87*Configuracion!$G$2)</f>
        <v/>
      </c>
      <c r="I87" s="8">
        <f>IF(G87="","",G87+H87)</f>
        <v/>
      </c>
      <c r="J87" s="2" t="n"/>
      <c r="K87" s="10" t="n"/>
      <c r="L87" s="10" t="n"/>
      <c r="M87" s="11" t="n"/>
      <c r="N87" s="2" t="n"/>
      <c r="O87" s="2" t="n"/>
    </row>
    <row r="88">
      <c r="A88" s="2" t="n"/>
      <c r="B88" s="10" t="n"/>
      <c r="C88" s="2" t="n"/>
      <c r="D88" s="2" t="n"/>
      <c r="E88" s="2" t="n"/>
      <c r="F88" s="2" t="n"/>
      <c r="G88" s="8" t="n"/>
      <c r="H88" s="8">
        <f>IF(G88="","",G88*Configuracion!$G$2)</f>
        <v/>
      </c>
      <c r="I88" s="8">
        <f>IF(G88="","",G88+H88)</f>
        <v/>
      </c>
      <c r="J88" s="2" t="n"/>
      <c r="K88" s="10" t="n"/>
      <c r="L88" s="10" t="n"/>
      <c r="M88" s="11" t="n"/>
      <c r="N88" s="2" t="n"/>
      <c r="O88" s="2" t="n"/>
    </row>
    <row r="89">
      <c r="A89" s="2" t="n"/>
      <c r="B89" s="10" t="n"/>
      <c r="C89" s="2" t="n"/>
      <c r="D89" s="2" t="n"/>
      <c r="E89" s="2" t="n"/>
      <c r="F89" s="2" t="n"/>
      <c r="G89" s="8" t="n"/>
      <c r="H89" s="8">
        <f>IF(G89="","",G89*Configuracion!$G$2)</f>
        <v/>
      </c>
      <c r="I89" s="8">
        <f>IF(G89="","",G89+H89)</f>
        <v/>
      </c>
      <c r="J89" s="2" t="n"/>
      <c r="K89" s="10" t="n"/>
      <c r="L89" s="10" t="n"/>
      <c r="M89" s="11" t="n"/>
      <c r="N89" s="2" t="n"/>
      <c r="O89" s="2" t="n"/>
    </row>
    <row r="90">
      <c r="A90" s="2" t="n"/>
      <c r="B90" s="10" t="n"/>
      <c r="C90" s="2" t="n"/>
      <c r="D90" s="2" t="n"/>
      <c r="E90" s="2" t="n"/>
      <c r="F90" s="2" t="n"/>
      <c r="G90" s="8" t="n"/>
      <c r="H90" s="8">
        <f>IF(G90="","",G90*Configuracion!$G$2)</f>
        <v/>
      </c>
      <c r="I90" s="8">
        <f>IF(G90="","",G90+H90)</f>
        <v/>
      </c>
      <c r="J90" s="2" t="n"/>
      <c r="K90" s="10" t="n"/>
      <c r="L90" s="10" t="n"/>
      <c r="M90" s="11" t="n"/>
      <c r="N90" s="2" t="n"/>
      <c r="O90" s="2" t="n"/>
    </row>
    <row r="91">
      <c r="A91" s="2" t="n"/>
      <c r="B91" s="10" t="n"/>
      <c r="C91" s="2" t="n"/>
      <c r="D91" s="2" t="n"/>
      <c r="E91" s="2" t="n"/>
      <c r="F91" s="2" t="n"/>
      <c r="G91" s="8" t="n"/>
      <c r="H91" s="8">
        <f>IF(G91="","",G91*Configuracion!$G$2)</f>
        <v/>
      </c>
      <c r="I91" s="8">
        <f>IF(G91="","",G91+H91)</f>
        <v/>
      </c>
      <c r="J91" s="2" t="n"/>
      <c r="K91" s="10" t="n"/>
      <c r="L91" s="10" t="n"/>
      <c r="M91" s="11" t="n"/>
      <c r="N91" s="2" t="n"/>
      <c r="O91" s="2" t="n"/>
    </row>
    <row r="92">
      <c r="A92" s="2" t="n"/>
      <c r="B92" s="10" t="n"/>
      <c r="C92" s="2" t="n"/>
      <c r="D92" s="2" t="n"/>
      <c r="E92" s="2" t="n"/>
      <c r="F92" s="2" t="n"/>
      <c r="G92" s="8" t="n"/>
      <c r="H92" s="8">
        <f>IF(G92="","",G92*Configuracion!$G$2)</f>
        <v/>
      </c>
      <c r="I92" s="8">
        <f>IF(G92="","",G92+H92)</f>
        <v/>
      </c>
      <c r="J92" s="2" t="n"/>
      <c r="K92" s="10" t="n"/>
      <c r="L92" s="10" t="n"/>
      <c r="M92" s="11" t="n"/>
      <c r="N92" s="2" t="n"/>
      <c r="O92" s="2" t="n"/>
    </row>
    <row r="93">
      <c r="A93" s="2" t="n"/>
      <c r="B93" s="10" t="n"/>
      <c r="C93" s="2" t="n"/>
      <c r="D93" s="2" t="n"/>
      <c r="E93" s="2" t="n"/>
      <c r="F93" s="2" t="n"/>
      <c r="G93" s="8" t="n"/>
      <c r="H93" s="8">
        <f>IF(G93="","",G93*Configuracion!$G$2)</f>
        <v/>
      </c>
      <c r="I93" s="8">
        <f>IF(G93="","",G93+H93)</f>
        <v/>
      </c>
      <c r="J93" s="2" t="n"/>
      <c r="K93" s="10" t="n"/>
      <c r="L93" s="10" t="n"/>
      <c r="M93" s="11" t="n"/>
      <c r="N93" s="2" t="n"/>
      <c r="O93" s="2" t="n"/>
    </row>
    <row r="94">
      <c r="A94" s="2" t="n"/>
      <c r="B94" s="10" t="n"/>
      <c r="C94" s="2" t="n"/>
      <c r="D94" s="2" t="n"/>
      <c r="E94" s="2" t="n"/>
      <c r="F94" s="2" t="n"/>
      <c r="G94" s="8" t="n"/>
      <c r="H94" s="8">
        <f>IF(G94="","",G94*Configuracion!$G$2)</f>
        <v/>
      </c>
      <c r="I94" s="8">
        <f>IF(G94="","",G94+H94)</f>
        <v/>
      </c>
      <c r="J94" s="2" t="n"/>
      <c r="K94" s="10" t="n"/>
      <c r="L94" s="10" t="n"/>
      <c r="M94" s="11" t="n"/>
      <c r="N94" s="2" t="n"/>
      <c r="O94" s="2" t="n"/>
    </row>
    <row r="95">
      <c r="A95" s="2" t="n"/>
      <c r="B95" s="10" t="n"/>
      <c r="C95" s="2" t="n"/>
      <c r="D95" s="2" t="n"/>
      <c r="E95" s="2" t="n"/>
      <c r="F95" s="2" t="n"/>
      <c r="G95" s="8" t="n"/>
      <c r="H95" s="8">
        <f>IF(G95="","",G95*Configuracion!$G$2)</f>
        <v/>
      </c>
      <c r="I95" s="8">
        <f>IF(G95="","",G95+H95)</f>
        <v/>
      </c>
      <c r="J95" s="2" t="n"/>
      <c r="K95" s="10" t="n"/>
      <c r="L95" s="10" t="n"/>
      <c r="M95" s="11" t="n"/>
      <c r="N95" s="2" t="n"/>
      <c r="O95" s="2" t="n"/>
    </row>
    <row r="96">
      <c r="A96" s="2" t="n"/>
      <c r="B96" s="10" t="n"/>
      <c r="C96" s="2" t="n"/>
      <c r="D96" s="2" t="n"/>
      <c r="E96" s="2" t="n"/>
      <c r="F96" s="2" t="n"/>
      <c r="G96" s="8" t="n"/>
      <c r="H96" s="8">
        <f>IF(G96="","",G96*Configuracion!$G$2)</f>
        <v/>
      </c>
      <c r="I96" s="8">
        <f>IF(G96="","",G96+H96)</f>
        <v/>
      </c>
      <c r="J96" s="2" t="n"/>
      <c r="K96" s="10" t="n"/>
      <c r="L96" s="10" t="n"/>
      <c r="M96" s="11" t="n"/>
      <c r="N96" s="2" t="n"/>
      <c r="O96" s="2" t="n"/>
    </row>
    <row r="97">
      <c r="A97" s="2" t="n"/>
      <c r="B97" s="10" t="n"/>
      <c r="C97" s="2" t="n"/>
      <c r="D97" s="2" t="n"/>
      <c r="E97" s="2" t="n"/>
      <c r="F97" s="2" t="n"/>
      <c r="G97" s="8" t="n"/>
      <c r="H97" s="8">
        <f>IF(G97="","",G97*Configuracion!$G$2)</f>
        <v/>
      </c>
      <c r="I97" s="8">
        <f>IF(G97="","",G97+H97)</f>
        <v/>
      </c>
      <c r="J97" s="2" t="n"/>
      <c r="K97" s="10" t="n"/>
      <c r="L97" s="10" t="n"/>
      <c r="M97" s="11" t="n"/>
      <c r="N97" s="2" t="n"/>
      <c r="O97" s="2" t="n"/>
    </row>
    <row r="98">
      <c r="A98" s="2" t="n"/>
      <c r="B98" s="10" t="n"/>
      <c r="C98" s="2" t="n"/>
      <c r="D98" s="2" t="n"/>
      <c r="E98" s="2" t="n"/>
      <c r="F98" s="2" t="n"/>
      <c r="G98" s="8" t="n"/>
      <c r="H98" s="8">
        <f>IF(G98="","",G98*Configuracion!$G$2)</f>
        <v/>
      </c>
      <c r="I98" s="8">
        <f>IF(G98="","",G98+H98)</f>
        <v/>
      </c>
      <c r="J98" s="2" t="n"/>
      <c r="K98" s="10" t="n"/>
      <c r="L98" s="10" t="n"/>
      <c r="M98" s="11" t="n"/>
      <c r="N98" s="2" t="n"/>
      <c r="O98" s="2" t="n"/>
    </row>
    <row r="99">
      <c r="A99" s="2" t="n"/>
      <c r="B99" s="10" t="n"/>
      <c r="C99" s="2" t="n"/>
      <c r="D99" s="2" t="n"/>
      <c r="E99" s="2" t="n"/>
      <c r="F99" s="2" t="n"/>
      <c r="G99" s="8" t="n"/>
      <c r="H99" s="8">
        <f>IF(G99="","",G99*Configuracion!$G$2)</f>
        <v/>
      </c>
      <c r="I99" s="8">
        <f>IF(G99="","",G99+H99)</f>
        <v/>
      </c>
      <c r="J99" s="2" t="n"/>
      <c r="K99" s="10" t="n"/>
      <c r="L99" s="10" t="n"/>
      <c r="M99" s="11" t="n"/>
      <c r="N99" s="2" t="n"/>
      <c r="O99" s="2" t="n"/>
    </row>
    <row r="100">
      <c r="A100" s="2" t="n"/>
      <c r="B100" s="10" t="n"/>
      <c r="C100" s="2" t="n"/>
      <c r="D100" s="2" t="n"/>
      <c r="E100" s="2" t="n"/>
      <c r="F100" s="2" t="n"/>
      <c r="G100" s="8" t="n"/>
      <c r="H100" s="8">
        <f>IF(G100="","",G100*Configuracion!$G$2)</f>
        <v/>
      </c>
      <c r="I100" s="8">
        <f>IF(G100="","",G100+H100)</f>
        <v/>
      </c>
      <c r="J100" s="2" t="n"/>
      <c r="K100" s="10" t="n"/>
      <c r="L100" s="10" t="n"/>
      <c r="M100" s="11" t="n"/>
      <c r="N100" s="2" t="n"/>
      <c r="O100" s="2" t="n"/>
    </row>
    <row r="101">
      <c r="A101" s="2" t="n"/>
      <c r="B101" s="10" t="n"/>
      <c r="C101" s="2" t="n"/>
      <c r="D101" s="2" t="n"/>
      <c r="E101" s="2" t="n"/>
      <c r="F101" s="2" t="n"/>
      <c r="G101" s="8" t="n"/>
      <c r="H101" s="8">
        <f>IF(G101="","",G101*Configuracion!$G$2)</f>
        <v/>
      </c>
      <c r="I101" s="8">
        <f>IF(G101="","",G101+H101)</f>
        <v/>
      </c>
      <c r="J101" s="2" t="n"/>
      <c r="K101" s="10" t="n"/>
      <c r="L101" s="10" t="n"/>
      <c r="M101" s="11" t="n"/>
      <c r="N101" s="2" t="n"/>
      <c r="O101" s="2" t="n"/>
    </row>
    <row r="102">
      <c r="A102" s="2" t="n"/>
      <c r="B102" s="10" t="n"/>
      <c r="C102" s="2" t="n"/>
      <c r="D102" s="2" t="n"/>
      <c r="E102" s="2" t="n"/>
      <c r="F102" s="2" t="n"/>
      <c r="G102" s="8" t="n"/>
      <c r="H102" s="8">
        <f>IF(G102="","",G102*Configuracion!$G$2)</f>
        <v/>
      </c>
      <c r="I102" s="8">
        <f>IF(G102="","",G102+H102)</f>
        <v/>
      </c>
      <c r="J102" s="2" t="n"/>
      <c r="K102" s="10" t="n"/>
      <c r="L102" s="10" t="n"/>
      <c r="M102" s="11" t="n"/>
      <c r="N102" s="2" t="n"/>
      <c r="O102" s="2" t="n"/>
    </row>
    <row r="103">
      <c r="A103" s="2" t="n"/>
      <c r="B103" s="10" t="n"/>
      <c r="C103" s="2" t="n"/>
      <c r="D103" s="2" t="n"/>
      <c r="E103" s="2" t="n"/>
      <c r="F103" s="2" t="n"/>
      <c r="G103" s="8" t="n"/>
      <c r="H103" s="8">
        <f>IF(G103="","",G103*Configuracion!$G$2)</f>
        <v/>
      </c>
      <c r="I103" s="8">
        <f>IF(G103="","",G103+H103)</f>
        <v/>
      </c>
      <c r="J103" s="2" t="n"/>
      <c r="K103" s="10" t="n"/>
      <c r="L103" s="10" t="n"/>
      <c r="M103" s="11" t="n"/>
      <c r="N103" s="2" t="n"/>
      <c r="O103" s="2" t="n"/>
    </row>
    <row r="104">
      <c r="A104" s="2" t="n"/>
      <c r="B104" s="10" t="n"/>
      <c r="C104" s="2" t="n"/>
      <c r="D104" s="2" t="n"/>
      <c r="E104" s="2" t="n"/>
      <c r="F104" s="2" t="n"/>
      <c r="G104" s="8" t="n"/>
      <c r="H104" s="8">
        <f>IF(G104="","",G104*Configuracion!$G$2)</f>
        <v/>
      </c>
      <c r="I104" s="8">
        <f>IF(G104="","",G104+H104)</f>
        <v/>
      </c>
      <c r="J104" s="2" t="n"/>
      <c r="K104" s="10" t="n"/>
      <c r="L104" s="10" t="n"/>
      <c r="M104" s="11" t="n"/>
      <c r="N104" s="2" t="n"/>
      <c r="O104" s="2" t="n"/>
    </row>
    <row r="105">
      <c r="A105" s="2" t="n"/>
      <c r="B105" s="10" t="n"/>
      <c r="C105" s="2" t="n"/>
      <c r="D105" s="2" t="n"/>
      <c r="E105" s="2" t="n"/>
      <c r="F105" s="2" t="n"/>
      <c r="G105" s="8" t="n"/>
      <c r="H105" s="8">
        <f>IF(G105="","",G105*Configuracion!$G$2)</f>
        <v/>
      </c>
      <c r="I105" s="8">
        <f>IF(G105="","",G105+H105)</f>
        <v/>
      </c>
      <c r="J105" s="2" t="n"/>
      <c r="K105" s="10" t="n"/>
      <c r="L105" s="10" t="n"/>
      <c r="M105" s="11" t="n"/>
      <c r="N105" s="2" t="n"/>
      <c r="O105" s="2" t="n"/>
    </row>
    <row r="106">
      <c r="A106" s="2" t="n"/>
      <c r="B106" s="10" t="n"/>
      <c r="C106" s="2" t="n"/>
      <c r="D106" s="2" t="n"/>
      <c r="E106" s="2" t="n"/>
      <c r="F106" s="2" t="n"/>
      <c r="G106" s="8" t="n"/>
      <c r="H106" s="8">
        <f>IF(G106="","",G106*Configuracion!$G$2)</f>
        <v/>
      </c>
      <c r="I106" s="8">
        <f>IF(G106="","",G106+H106)</f>
        <v/>
      </c>
      <c r="J106" s="2" t="n"/>
      <c r="K106" s="10" t="n"/>
      <c r="L106" s="10" t="n"/>
      <c r="M106" s="11" t="n"/>
      <c r="N106" s="2" t="n"/>
      <c r="O106" s="2" t="n"/>
    </row>
    <row r="107">
      <c r="A107" s="2" t="n"/>
      <c r="B107" s="10" t="n"/>
      <c r="C107" s="2" t="n"/>
      <c r="D107" s="2" t="n"/>
      <c r="E107" s="2" t="n"/>
      <c r="F107" s="2" t="n"/>
      <c r="G107" s="8" t="n"/>
      <c r="H107" s="8">
        <f>IF(G107="","",G107*Configuracion!$G$2)</f>
        <v/>
      </c>
      <c r="I107" s="8">
        <f>IF(G107="","",G107+H107)</f>
        <v/>
      </c>
      <c r="J107" s="2" t="n"/>
      <c r="K107" s="10" t="n"/>
      <c r="L107" s="10" t="n"/>
      <c r="M107" s="11" t="n"/>
      <c r="N107" s="2" t="n"/>
      <c r="O107" s="2" t="n"/>
    </row>
    <row r="108">
      <c r="A108" s="2" t="n"/>
      <c r="B108" s="10" t="n"/>
      <c r="C108" s="2" t="n"/>
      <c r="D108" s="2" t="n"/>
      <c r="E108" s="2" t="n"/>
      <c r="F108" s="2" t="n"/>
      <c r="G108" s="8" t="n"/>
      <c r="H108" s="8">
        <f>IF(G108="","",G108*Configuracion!$G$2)</f>
        <v/>
      </c>
      <c r="I108" s="8">
        <f>IF(G108="","",G108+H108)</f>
        <v/>
      </c>
      <c r="J108" s="2" t="n"/>
      <c r="K108" s="10" t="n"/>
      <c r="L108" s="10" t="n"/>
      <c r="M108" s="11" t="n"/>
      <c r="N108" s="2" t="n"/>
      <c r="O108" s="2" t="n"/>
    </row>
    <row r="109">
      <c r="A109" s="2" t="n"/>
      <c r="B109" s="10" t="n"/>
      <c r="C109" s="2" t="n"/>
      <c r="D109" s="2" t="n"/>
      <c r="E109" s="2" t="n"/>
      <c r="F109" s="2" t="n"/>
      <c r="G109" s="8" t="n"/>
      <c r="H109" s="8">
        <f>IF(G109="","",G109*Configuracion!$G$2)</f>
        <v/>
      </c>
      <c r="I109" s="8">
        <f>IF(G109="","",G109+H109)</f>
        <v/>
      </c>
      <c r="J109" s="2" t="n"/>
      <c r="K109" s="10" t="n"/>
      <c r="L109" s="10" t="n"/>
      <c r="M109" s="11" t="n"/>
      <c r="N109" s="2" t="n"/>
      <c r="O109" s="2" t="n"/>
    </row>
    <row r="110">
      <c r="A110" s="2" t="n"/>
      <c r="B110" s="10" t="n"/>
      <c r="C110" s="2" t="n"/>
      <c r="D110" s="2" t="n"/>
      <c r="E110" s="2" t="n"/>
      <c r="F110" s="2" t="n"/>
      <c r="G110" s="8" t="n"/>
      <c r="H110" s="8">
        <f>IF(G110="","",G110*Configuracion!$G$2)</f>
        <v/>
      </c>
      <c r="I110" s="8">
        <f>IF(G110="","",G110+H110)</f>
        <v/>
      </c>
      <c r="J110" s="2" t="n"/>
      <c r="K110" s="10" t="n"/>
      <c r="L110" s="10" t="n"/>
      <c r="M110" s="11" t="n"/>
      <c r="N110" s="2" t="n"/>
      <c r="O110" s="2" t="n"/>
    </row>
    <row r="111">
      <c r="A111" s="2" t="n"/>
      <c r="B111" s="10" t="n"/>
      <c r="C111" s="2" t="n"/>
      <c r="D111" s="2" t="n"/>
      <c r="E111" s="2" t="n"/>
      <c r="F111" s="2" t="n"/>
      <c r="G111" s="8" t="n"/>
      <c r="H111" s="8">
        <f>IF(G111="","",G111*Configuracion!$G$2)</f>
        <v/>
      </c>
      <c r="I111" s="8">
        <f>IF(G111="","",G111+H111)</f>
        <v/>
      </c>
      <c r="J111" s="2" t="n"/>
      <c r="K111" s="10" t="n"/>
      <c r="L111" s="10" t="n"/>
      <c r="M111" s="11" t="n"/>
      <c r="N111" s="2" t="n"/>
      <c r="O111" s="2" t="n"/>
    </row>
    <row r="112">
      <c r="A112" s="2" t="n"/>
      <c r="B112" s="10" t="n"/>
      <c r="C112" s="2" t="n"/>
      <c r="D112" s="2" t="n"/>
      <c r="E112" s="2" t="n"/>
      <c r="F112" s="2" t="n"/>
      <c r="G112" s="8" t="n"/>
      <c r="H112" s="8">
        <f>IF(G112="","",G112*Configuracion!$G$2)</f>
        <v/>
      </c>
      <c r="I112" s="8">
        <f>IF(G112="","",G112+H112)</f>
        <v/>
      </c>
      <c r="J112" s="2" t="n"/>
      <c r="K112" s="10" t="n"/>
      <c r="L112" s="10" t="n"/>
      <c r="M112" s="11" t="n"/>
      <c r="N112" s="2" t="n"/>
      <c r="O112" s="2" t="n"/>
    </row>
    <row r="113">
      <c r="A113" s="2" t="n"/>
      <c r="B113" s="10" t="n"/>
      <c r="C113" s="2" t="n"/>
      <c r="D113" s="2" t="n"/>
      <c r="E113" s="2" t="n"/>
      <c r="F113" s="2" t="n"/>
      <c r="G113" s="8" t="n"/>
      <c r="H113" s="8">
        <f>IF(G113="","",G113*Configuracion!$G$2)</f>
        <v/>
      </c>
      <c r="I113" s="8">
        <f>IF(G113="","",G113+H113)</f>
        <v/>
      </c>
      <c r="J113" s="2" t="n"/>
      <c r="K113" s="10" t="n"/>
      <c r="L113" s="10" t="n"/>
      <c r="M113" s="11" t="n"/>
      <c r="N113" s="2" t="n"/>
      <c r="O113" s="2" t="n"/>
    </row>
    <row r="114">
      <c r="A114" s="2" t="n"/>
      <c r="B114" s="10" t="n"/>
      <c r="C114" s="2" t="n"/>
      <c r="D114" s="2" t="n"/>
      <c r="E114" s="2" t="n"/>
      <c r="F114" s="2" t="n"/>
      <c r="G114" s="8" t="n"/>
      <c r="H114" s="8">
        <f>IF(G114="","",G114*Configuracion!$G$2)</f>
        <v/>
      </c>
      <c r="I114" s="8">
        <f>IF(G114="","",G114+H114)</f>
        <v/>
      </c>
      <c r="J114" s="2" t="n"/>
      <c r="K114" s="10" t="n"/>
      <c r="L114" s="10" t="n"/>
      <c r="M114" s="11" t="n"/>
      <c r="N114" s="2" t="n"/>
      <c r="O114" s="2" t="n"/>
    </row>
    <row r="115">
      <c r="A115" s="2" t="n"/>
      <c r="B115" s="10" t="n"/>
      <c r="C115" s="2" t="n"/>
      <c r="D115" s="2" t="n"/>
      <c r="E115" s="2" t="n"/>
      <c r="F115" s="2" t="n"/>
      <c r="G115" s="8" t="n"/>
      <c r="H115" s="8">
        <f>IF(G115="","",G115*Configuracion!$G$2)</f>
        <v/>
      </c>
      <c r="I115" s="8">
        <f>IF(G115="","",G115+H115)</f>
        <v/>
      </c>
      <c r="J115" s="2" t="n"/>
      <c r="K115" s="10" t="n"/>
      <c r="L115" s="10" t="n"/>
      <c r="M115" s="11" t="n"/>
      <c r="N115" s="2" t="n"/>
      <c r="O115" s="2" t="n"/>
    </row>
    <row r="116">
      <c r="A116" s="2" t="n"/>
      <c r="B116" s="10" t="n"/>
      <c r="C116" s="2" t="n"/>
      <c r="D116" s="2" t="n"/>
      <c r="E116" s="2" t="n"/>
      <c r="F116" s="2" t="n"/>
      <c r="G116" s="8" t="n"/>
      <c r="H116" s="8">
        <f>IF(G116="","",G116*Configuracion!$G$2)</f>
        <v/>
      </c>
      <c r="I116" s="8">
        <f>IF(G116="","",G116+H116)</f>
        <v/>
      </c>
      <c r="J116" s="2" t="n"/>
      <c r="K116" s="10" t="n"/>
      <c r="L116" s="10" t="n"/>
      <c r="M116" s="11" t="n"/>
      <c r="N116" s="2" t="n"/>
      <c r="O116" s="2" t="n"/>
    </row>
    <row r="117">
      <c r="A117" s="2" t="n"/>
      <c r="B117" s="10" t="n"/>
      <c r="C117" s="2" t="n"/>
      <c r="D117" s="2" t="n"/>
      <c r="E117" s="2" t="n"/>
      <c r="F117" s="2" t="n"/>
      <c r="G117" s="8" t="n"/>
      <c r="H117" s="8">
        <f>IF(G117="","",G117*Configuracion!$G$2)</f>
        <v/>
      </c>
      <c r="I117" s="8">
        <f>IF(G117="","",G117+H117)</f>
        <v/>
      </c>
      <c r="J117" s="2" t="n"/>
      <c r="K117" s="10" t="n"/>
      <c r="L117" s="10" t="n"/>
      <c r="M117" s="11" t="n"/>
      <c r="N117" s="2" t="n"/>
      <c r="O117" s="2" t="n"/>
    </row>
    <row r="118">
      <c r="A118" s="2" t="n"/>
      <c r="B118" s="10" t="n"/>
      <c r="C118" s="2" t="n"/>
      <c r="D118" s="2" t="n"/>
      <c r="E118" s="2" t="n"/>
      <c r="F118" s="2" t="n"/>
      <c r="G118" s="8" t="n"/>
      <c r="H118" s="8">
        <f>IF(G118="","",G118*Configuracion!$G$2)</f>
        <v/>
      </c>
      <c r="I118" s="8">
        <f>IF(G118="","",G118+H118)</f>
        <v/>
      </c>
      <c r="J118" s="2" t="n"/>
      <c r="K118" s="10" t="n"/>
      <c r="L118" s="10" t="n"/>
      <c r="M118" s="11" t="n"/>
      <c r="N118" s="2" t="n"/>
      <c r="O118" s="2" t="n"/>
    </row>
    <row r="119">
      <c r="A119" s="2" t="n"/>
      <c r="B119" s="10" t="n"/>
      <c r="C119" s="2" t="n"/>
      <c r="D119" s="2" t="n"/>
      <c r="E119" s="2" t="n"/>
      <c r="F119" s="2" t="n"/>
      <c r="G119" s="8" t="n"/>
      <c r="H119" s="8">
        <f>IF(G119="","",G119*Configuracion!$G$2)</f>
        <v/>
      </c>
      <c r="I119" s="8">
        <f>IF(G119="","",G119+H119)</f>
        <v/>
      </c>
      <c r="J119" s="2" t="n"/>
      <c r="K119" s="10" t="n"/>
      <c r="L119" s="10" t="n"/>
      <c r="M119" s="11" t="n"/>
      <c r="N119" s="2" t="n"/>
      <c r="O119" s="2" t="n"/>
    </row>
    <row r="120">
      <c r="A120" s="2" t="n"/>
      <c r="B120" s="10" t="n"/>
      <c r="C120" s="2" t="n"/>
      <c r="D120" s="2" t="n"/>
      <c r="E120" s="2" t="n"/>
      <c r="F120" s="2" t="n"/>
      <c r="G120" s="8" t="n"/>
      <c r="H120" s="8">
        <f>IF(G120="","",G120*Configuracion!$G$2)</f>
        <v/>
      </c>
      <c r="I120" s="8">
        <f>IF(G120="","",G120+H120)</f>
        <v/>
      </c>
      <c r="J120" s="2" t="n"/>
      <c r="K120" s="10" t="n"/>
      <c r="L120" s="10" t="n"/>
      <c r="M120" s="11" t="n"/>
      <c r="N120" s="2" t="n"/>
      <c r="O120" s="2" t="n"/>
    </row>
    <row r="121">
      <c r="A121" s="2" t="n"/>
      <c r="B121" s="10" t="n"/>
      <c r="C121" s="2" t="n"/>
      <c r="D121" s="2" t="n"/>
      <c r="E121" s="2" t="n"/>
      <c r="F121" s="2" t="n"/>
      <c r="G121" s="8" t="n"/>
      <c r="H121" s="8">
        <f>IF(G121="","",G121*Configuracion!$G$2)</f>
        <v/>
      </c>
      <c r="I121" s="8">
        <f>IF(G121="","",G121+H121)</f>
        <v/>
      </c>
      <c r="J121" s="2" t="n"/>
      <c r="K121" s="10" t="n"/>
      <c r="L121" s="10" t="n"/>
      <c r="M121" s="11" t="n"/>
      <c r="N121" s="2" t="n"/>
      <c r="O121" s="2" t="n"/>
    </row>
    <row r="122">
      <c r="A122" s="2" t="n"/>
      <c r="B122" s="10" t="n"/>
      <c r="C122" s="2" t="n"/>
      <c r="D122" s="2" t="n"/>
      <c r="E122" s="2" t="n"/>
      <c r="F122" s="2" t="n"/>
      <c r="G122" s="8" t="n"/>
      <c r="H122" s="8">
        <f>IF(G122="","",G122*Configuracion!$G$2)</f>
        <v/>
      </c>
      <c r="I122" s="8">
        <f>IF(G122="","",G122+H122)</f>
        <v/>
      </c>
      <c r="J122" s="2" t="n"/>
      <c r="K122" s="10" t="n"/>
      <c r="L122" s="10" t="n"/>
      <c r="M122" s="11" t="n"/>
      <c r="N122" s="2" t="n"/>
      <c r="O122" s="2" t="n"/>
    </row>
    <row r="123">
      <c r="A123" s="2" t="n"/>
      <c r="B123" s="10" t="n"/>
      <c r="C123" s="2" t="n"/>
      <c r="D123" s="2" t="n"/>
      <c r="E123" s="2" t="n"/>
      <c r="F123" s="2" t="n"/>
      <c r="G123" s="8" t="n"/>
      <c r="H123" s="8">
        <f>IF(G123="","",G123*Configuracion!$G$2)</f>
        <v/>
      </c>
      <c r="I123" s="8">
        <f>IF(G123="","",G123+H123)</f>
        <v/>
      </c>
      <c r="J123" s="2" t="n"/>
      <c r="K123" s="10" t="n"/>
      <c r="L123" s="10" t="n"/>
      <c r="M123" s="11" t="n"/>
      <c r="N123" s="2" t="n"/>
      <c r="O123" s="2" t="n"/>
    </row>
    <row r="124">
      <c r="A124" s="2" t="n"/>
      <c r="B124" s="10" t="n"/>
      <c r="C124" s="2" t="n"/>
      <c r="D124" s="2" t="n"/>
      <c r="E124" s="2" t="n"/>
      <c r="F124" s="2" t="n"/>
      <c r="G124" s="8" t="n"/>
      <c r="H124" s="8">
        <f>IF(G124="","",G124*Configuracion!$G$2)</f>
        <v/>
      </c>
      <c r="I124" s="8">
        <f>IF(G124="","",G124+H124)</f>
        <v/>
      </c>
      <c r="J124" s="2" t="n"/>
      <c r="K124" s="10" t="n"/>
      <c r="L124" s="10" t="n"/>
      <c r="M124" s="11" t="n"/>
      <c r="N124" s="2" t="n"/>
      <c r="O124" s="2" t="n"/>
    </row>
    <row r="125">
      <c r="A125" s="2" t="n"/>
      <c r="B125" s="10" t="n"/>
      <c r="C125" s="2" t="n"/>
      <c r="D125" s="2" t="n"/>
      <c r="E125" s="2" t="n"/>
      <c r="F125" s="2" t="n"/>
      <c r="G125" s="8" t="n"/>
      <c r="H125" s="8">
        <f>IF(G125="","",G125*Configuracion!$G$2)</f>
        <v/>
      </c>
      <c r="I125" s="8">
        <f>IF(G125="","",G125+H125)</f>
        <v/>
      </c>
      <c r="J125" s="2" t="n"/>
      <c r="K125" s="10" t="n"/>
      <c r="L125" s="10" t="n"/>
      <c r="M125" s="11" t="n"/>
      <c r="N125" s="2" t="n"/>
      <c r="O125" s="2" t="n"/>
    </row>
    <row r="126">
      <c r="A126" s="2" t="n"/>
      <c r="B126" s="10" t="n"/>
      <c r="C126" s="2" t="n"/>
      <c r="D126" s="2" t="n"/>
      <c r="E126" s="2" t="n"/>
      <c r="F126" s="2" t="n"/>
      <c r="G126" s="8" t="n"/>
      <c r="H126" s="8">
        <f>IF(G126="","",G126*Configuracion!$G$2)</f>
        <v/>
      </c>
      <c r="I126" s="8">
        <f>IF(G126="","",G126+H126)</f>
        <v/>
      </c>
      <c r="J126" s="2" t="n"/>
      <c r="K126" s="10" t="n"/>
      <c r="L126" s="10" t="n"/>
      <c r="M126" s="11" t="n"/>
      <c r="N126" s="2" t="n"/>
      <c r="O126" s="2" t="n"/>
    </row>
    <row r="127">
      <c r="A127" s="2" t="n"/>
      <c r="B127" s="10" t="n"/>
      <c r="C127" s="2" t="n"/>
      <c r="D127" s="2" t="n"/>
      <c r="E127" s="2" t="n"/>
      <c r="F127" s="2" t="n"/>
      <c r="G127" s="8" t="n"/>
      <c r="H127" s="8">
        <f>IF(G127="","",G127*Configuracion!$G$2)</f>
        <v/>
      </c>
      <c r="I127" s="8">
        <f>IF(G127="","",G127+H127)</f>
        <v/>
      </c>
      <c r="J127" s="2" t="n"/>
      <c r="K127" s="10" t="n"/>
      <c r="L127" s="10" t="n"/>
      <c r="M127" s="11" t="n"/>
      <c r="N127" s="2" t="n"/>
      <c r="O127" s="2" t="n"/>
    </row>
    <row r="128">
      <c r="A128" s="2" t="n"/>
      <c r="B128" s="10" t="n"/>
      <c r="C128" s="2" t="n"/>
      <c r="D128" s="2" t="n"/>
      <c r="E128" s="2" t="n"/>
      <c r="F128" s="2" t="n"/>
      <c r="G128" s="8" t="n"/>
      <c r="H128" s="8">
        <f>IF(G128="","",G128*Configuracion!$G$2)</f>
        <v/>
      </c>
      <c r="I128" s="8">
        <f>IF(G128="","",G128+H128)</f>
        <v/>
      </c>
      <c r="J128" s="2" t="n"/>
      <c r="K128" s="10" t="n"/>
      <c r="L128" s="10" t="n"/>
      <c r="M128" s="11" t="n"/>
      <c r="N128" s="2" t="n"/>
      <c r="O128" s="2" t="n"/>
    </row>
    <row r="129">
      <c r="A129" s="2" t="n"/>
      <c r="B129" s="10" t="n"/>
      <c r="C129" s="2" t="n"/>
      <c r="D129" s="2" t="n"/>
      <c r="E129" s="2" t="n"/>
      <c r="F129" s="2" t="n"/>
      <c r="G129" s="8" t="n"/>
      <c r="H129" s="8">
        <f>IF(G129="","",G129*Configuracion!$G$2)</f>
        <v/>
      </c>
      <c r="I129" s="8">
        <f>IF(G129="","",G129+H129)</f>
        <v/>
      </c>
      <c r="J129" s="2" t="n"/>
      <c r="K129" s="10" t="n"/>
      <c r="L129" s="10" t="n"/>
      <c r="M129" s="11" t="n"/>
      <c r="N129" s="2" t="n"/>
      <c r="O129" s="2" t="n"/>
    </row>
    <row r="130">
      <c r="A130" s="2" t="n"/>
      <c r="B130" s="10" t="n"/>
      <c r="C130" s="2" t="n"/>
      <c r="D130" s="2" t="n"/>
      <c r="E130" s="2" t="n"/>
      <c r="F130" s="2" t="n"/>
      <c r="G130" s="8" t="n"/>
      <c r="H130" s="8">
        <f>IF(G130="","",G130*Configuracion!$G$2)</f>
        <v/>
      </c>
      <c r="I130" s="8">
        <f>IF(G130="","",G130+H130)</f>
        <v/>
      </c>
      <c r="J130" s="2" t="n"/>
      <c r="K130" s="10" t="n"/>
      <c r="L130" s="10" t="n"/>
      <c r="M130" s="11" t="n"/>
      <c r="N130" s="2" t="n"/>
      <c r="O130" s="2" t="n"/>
    </row>
    <row r="131">
      <c r="A131" s="2" t="n"/>
      <c r="B131" s="10" t="n"/>
      <c r="C131" s="2" t="n"/>
      <c r="D131" s="2" t="n"/>
      <c r="E131" s="2" t="n"/>
      <c r="F131" s="2" t="n"/>
      <c r="G131" s="8" t="n"/>
      <c r="H131" s="8">
        <f>IF(G131="","",G131*Configuracion!$G$2)</f>
        <v/>
      </c>
      <c r="I131" s="8">
        <f>IF(G131="","",G131+H131)</f>
        <v/>
      </c>
      <c r="J131" s="2" t="n"/>
      <c r="K131" s="10" t="n"/>
      <c r="L131" s="10" t="n"/>
      <c r="M131" s="11" t="n"/>
      <c r="N131" s="2" t="n"/>
      <c r="O131" s="2" t="n"/>
    </row>
    <row r="132">
      <c r="A132" s="2" t="n"/>
      <c r="B132" s="10" t="n"/>
      <c r="C132" s="2" t="n"/>
      <c r="D132" s="2" t="n"/>
      <c r="E132" s="2" t="n"/>
      <c r="F132" s="2" t="n"/>
      <c r="G132" s="8" t="n"/>
      <c r="H132" s="8">
        <f>IF(G132="","",G132*Configuracion!$G$2)</f>
        <v/>
      </c>
      <c r="I132" s="8">
        <f>IF(G132="","",G132+H132)</f>
        <v/>
      </c>
      <c r="J132" s="2" t="n"/>
      <c r="K132" s="10" t="n"/>
      <c r="L132" s="10" t="n"/>
      <c r="M132" s="11" t="n"/>
      <c r="N132" s="2" t="n"/>
      <c r="O132" s="2" t="n"/>
    </row>
    <row r="133">
      <c r="A133" s="2" t="n"/>
      <c r="B133" s="10" t="n"/>
      <c r="C133" s="2" t="n"/>
      <c r="D133" s="2" t="n"/>
      <c r="E133" s="2" t="n"/>
      <c r="F133" s="2" t="n"/>
      <c r="G133" s="8" t="n"/>
      <c r="H133" s="8">
        <f>IF(G133="","",G133*Configuracion!$G$2)</f>
        <v/>
      </c>
      <c r="I133" s="8">
        <f>IF(G133="","",G133+H133)</f>
        <v/>
      </c>
      <c r="J133" s="2" t="n"/>
      <c r="K133" s="10" t="n"/>
      <c r="L133" s="10" t="n"/>
      <c r="M133" s="11" t="n"/>
      <c r="N133" s="2" t="n"/>
      <c r="O133" s="2" t="n"/>
    </row>
    <row r="134">
      <c r="A134" s="2" t="n"/>
      <c r="B134" s="10" t="n"/>
      <c r="C134" s="2" t="n"/>
      <c r="D134" s="2" t="n"/>
      <c r="E134" s="2" t="n"/>
      <c r="F134" s="2" t="n"/>
      <c r="G134" s="8" t="n"/>
      <c r="H134" s="8">
        <f>IF(G134="","",G134*Configuracion!$G$2)</f>
        <v/>
      </c>
      <c r="I134" s="8">
        <f>IF(G134="","",G134+H134)</f>
        <v/>
      </c>
      <c r="J134" s="2" t="n"/>
      <c r="K134" s="10" t="n"/>
      <c r="L134" s="10" t="n"/>
      <c r="M134" s="11" t="n"/>
      <c r="N134" s="2" t="n"/>
      <c r="O134" s="2" t="n"/>
    </row>
    <row r="135">
      <c r="A135" s="2" t="n"/>
      <c r="B135" s="10" t="n"/>
      <c r="C135" s="2" t="n"/>
      <c r="D135" s="2" t="n"/>
      <c r="E135" s="2" t="n"/>
      <c r="F135" s="2" t="n"/>
      <c r="G135" s="8" t="n"/>
      <c r="H135" s="8">
        <f>IF(G135="","",G135*Configuracion!$G$2)</f>
        <v/>
      </c>
      <c r="I135" s="8">
        <f>IF(G135="","",G135+H135)</f>
        <v/>
      </c>
      <c r="J135" s="2" t="n"/>
      <c r="K135" s="10" t="n"/>
      <c r="L135" s="10" t="n"/>
      <c r="M135" s="11" t="n"/>
      <c r="N135" s="2" t="n"/>
      <c r="O135" s="2" t="n"/>
    </row>
    <row r="136">
      <c r="A136" s="2" t="n"/>
      <c r="B136" s="10" t="n"/>
      <c r="C136" s="2" t="n"/>
      <c r="D136" s="2" t="n"/>
      <c r="E136" s="2" t="n"/>
      <c r="F136" s="2" t="n"/>
      <c r="G136" s="8" t="n"/>
      <c r="H136" s="8">
        <f>IF(G136="","",G136*Configuracion!$G$2)</f>
        <v/>
      </c>
      <c r="I136" s="8">
        <f>IF(G136="","",G136+H136)</f>
        <v/>
      </c>
      <c r="J136" s="2" t="n"/>
      <c r="K136" s="10" t="n"/>
      <c r="L136" s="10" t="n"/>
      <c r="M136" s="11" t="n"/>
      <c r="N136" s="2" t="n"/>
      <c r="O136" s="2" t="n"/>
    </row>
    <row r="137">
      <c r="A137" s="2" t="n"/>
      <c r="B137" s="10" t="n"/>
      <c r="C137" s="2" t="n"/>
      <c r="D137" s="2" t="n"/>
      <c r="E137" s="2" t="n"/>
      <c r="F137" s="2" t="n"/>
      <c r="G137" s="8" t="n"/>
      <c r="H137" s="8">
        <f>IF(G137="","",G137*Configuracion!$G$2)</f>
        <v/>
      </c>
      <c r="I137" s="8">
        <f>IF(G137="","",G137+H137)</f>
        <v/>
      </c>
      <c r="J137" s="2" t="n"/>
      <c r="K137" s="10" t="n"/>
      <c r="L137" s="10" t="n"/>
      <c r="M137" s="11" t="n"/>
      <c r="N137" s="2" t="n"/>
      <c r="O137" s="2" t="n"/>
    </row>
    <row r="138">
      <c r="A138" s="2" t="n"/>
      <c r="B138" s="10" t="n"/>
      <c r="C138" s="2" t="n"/>
      <c r="D138" s="2" t="n"/>
      <c r="E138" s="2" t="n"/>
      <c r="F138" s="2" t="n"/>
      <c r="G138" s="8" t="n"/>
      <c r="H138" s="8">
        <f>IF(G138="","",G138*Configuracion!$G$2)</f>
        <v/>
      </c>
      <c r="I138" s="8">
        <f>IF(G138="","",G138+H138)</f>
        <v/>
      </c>
      <c r="J138" s="2" t="n"/>
      <c r="K138" s="10" t="n"/>
      <c r="L138" s="10" t="n"/>
      <c r="M138" s="11" t="n"/>
      <c r="N138" s="2" t="n"/>
      <c r="O138" s="2" t="n"/>
    </row>
    <row r="139">
      <c r="A139" s="2" t="n"/>
      <c r="B139" s="10" t="n"/>
      <c r="C139" s="2" t="n"/>
      <c r="D139" s="2" t="n"/>
      <c r="E139" s="2" t="n"/>
      <c r="F139" s="2" t="n"/>
      <c r="G139" s="8" t="n"/>
      <c r="H139" s="8">
        <f>IF(G139="","",G139*Configuracion!$G$2)</f>
        <v/>
      </c>
      <c r="I139" s="8">
        <f>IF(G139="","",G139+H139)</f>
        <v/>
      </c>
      <c r="J139" s="2" t="n"/>
      <c r="K139" s="10" t="n"/>
      <c r="L139" s="10" t="n"/>
      <c r="M139" s="11" t="n"/>
      <c r="N139" s="2" t="n"/>
      <c r="O139" s="2" t="n"/>
    </row>
    <row r="140">
      <c r="A140" s="2" t="n"/>
      <c r="B140" s="10" t="n"/>
      <c r="C140" s="2" t="n"/>
      <c r="D140" s="2" t="n"/>
      <c r="E140" s="2" t="n"/>
      <c r="F140" s="2" t="n"/>
      <c r="G140" s="8" t="n"/>
      <c r="H140" s="8">
        <f>IF(G140="","",G140*Configuracion!$G$2)</f>
        <v/>
      </c>
      <c r="I140" s="8">
        <f>IF(G140="","",G140+H140)</f>
        <v/>
      </c>
      <c r="J140" s="2" t="n"/>
      <c r="K140" s="10" t="n"/>
      <c r="L140" s="10" t="n"/>
      <c r="M140" s="11" t="n"/>
      <c r="N140" s="2" t="n"/>
      <c r="O140" s="2" t="n"/>
    </row>
    <row r="141">
      <c r="A141" s="2" t="n"/>
      <c r="B141" s="10" t="n"/>
      <c r="C141" s="2" t="n"/>
      <c r="D141" s="2" t="n"/>
      <c r="E141" s="2" t="n"/>
      <c r="F141" s="2" t="n"/>
      <c r="G141" s="8" t="n"/>
      <c r="H141" s="8">
        <f>IF(G141="","",G141*Configuracion!$G$2)</f>
        <v/>
      </c>
      <c r="I141" s="8">
        <f>IF(G141="","",G141+H141)</f>
        <v/>
      </c>
      <c r="J141" s="2" t="n"/>
      <c r="K141" s="10" t="n"/>
      <c r="L141" s="10" t="n"/>
      <c r="M141" s="11" t="n"/>
      <c r="N141" s="2" t="n"/>
      <c r="O141" s="2" t="n"/>
    </row>
    <row r="142">
      <c r="A142" s="2" t="n"/>
      <c r="B142" s="10" t="n"/>
      <c r="C142" s="2" t="n"/>
      <c r="D142" s="2" t="n"/>
      <c r="E142" s="2" t="n"/>
      <c r="F142" s="2" t="n"/>
      <c r="G142" s="8" t="n"/>
      <c r="H142" s="8">
        <f>IF(G142="","",G142*Configuracion!$G$2)</f>
        <v/>
      </c>
      <c r="I142" s="8">
        <f>IF(G142="","",G142+H142)</f>
        <v/>
      </c>
      <c r="J142" s="2" t="n"/>
      <c r="K142" s="10" t="n"/>
      <c r="L142" s="10" t="n"/>
      <c r="M142" s="11" t="n"/>
      <c r="N142" s="2" t="n"/>
      <c r="O142" s="2" t="n"/>
    </row>
    <row r="143">
      <c r="A143" s="2" t="n"/>
      <c r="B143" s="10" t="n"/>
      <c r="C143" s="2" t="n"/>
      <c r="D143" s="2" t="n"/>
      <c r="E143" s="2" t="n"/>
      <c r="F143" s="2" t="n"/>
      <c r="G143" s="8" t="n"/>
      <c r="H143" s="8">
        <f>IF(G143="","",G143*Configuracion!$G$2)</f>
        <v/>
      </c>
      <c r="I143" s="8">
        <f>IF(G143="","",G143+H143)</f>
        <v/>
      </c>
      <c r="J143" s="2" t="n"/>
      <c r="K143" s="10" t="n"/>
      <c r="L143" s="10" t="n"/>
      <c r="M143" s="11" t="n"/>
      <c r="N143" s="2" t="n"/>
      <c r="O143" s="2" t="n"/>
    </row>
    <row r="144">
      <c r="A144" s="2" t="n"/>
      <c r="B144" s="10" t="n"/>
      <c r="C144" s="2" t="n"/>
      <c r="D144" s="2" t="n"/>
      <c r="E144" s="2" t="n"/>
      <c r="F144" s="2" t="n"/>
      <c r="G144" s="8" t="n"/>
      <c r="H144" s="8">
        <f>IF(G144="","",G144*Configuracion!$G$2)</f>
        <v/>
      </c>
      <c r="I144" s="8">
        <f>IF(G144="","",G144+H144)</f>
        <v/>
      </c>
      <c r="J144" s="2" t="n"/>
      <c r="K144" s="10" t="n"/>
      <c r="L144" s="10" t="n"/>
      <c r="M144" s="11" t="n"/>
      <c r="N144" s="2" t="n"/>
      <c r="O144" s="2" t="n"/>
    </row>
    <row r="145">
      <c r="A145" s="2" t="n"/>
      <c r="B145" s="10" t="n"/>
      <c r="C145" s="2" t="n"/>
      <c r="D145" s="2" t="n"/>
      <c r="E145" s="2" t="n"/>
      <c r="F145" s="2" t="n"/>
      <c r="G145" s="8" t="n"/>
      <c r="H145" s="8">
        <f>IF(G145="","",G145*Configuracion!$G$2)</f>
        <v/>
      </c>
      <c r="I145" s="8">
        <f>IF(G145="","",G145+H145)</f>
        <v/>
      </c>
      <c r="J145" s="2" t="n"/>
      <c r="K145" s="10" t="n"/>
      <c r="L145" s="10" t="n"/>
      <c r="M145" s="11" t="n"/>
      <c r="N145" s="2" t="n"/>
      <c r="O145" s="2" t="n"/>
    </row>
    <row r="146">
      <c r="A146" s="2" t="n"/>
      <c r="B146" s="10" t="n"/>
      <c r="C146" s="2" t="n"/>
      <c r="D146" s="2" t="n"/>
      <c r="E146" s="2" t="n"/>
      <c r="F146" s="2" t="n"/>
      <c r="G146" s="8" t="n"/>
      <c r="H146" s="8">
        <f>IF(G146="","",G146*Configuracion!$G$2)</f>
        <v/>
      </c>
      <c r="I146" s="8">
        <f>IF(G146="","",G146+H146)</f>
        <v/>
      </c>
      <c r="J146" s="2" t="n"/>
      <c r="K146" s="10" t="n"/>
      <c r="L146" s="10" t="n"/>
      <c r="M146" s="11" t="n"/>
      <c r="N146" s="2" t="n"/>
      <c r="O146" s="2" t="n"/>
    </row>
    <row r="147">
      <c r="A147" s="2" t="n"/>
      <c r="B147" s="10" t="n"/>
      <c r="C147" s="2" t="n"/>
      <c r="D147" s="2" t="n"/>
      <c r="E147" s="2" t="n"/>
      <c r="F147" s="2" t="n"/>
      <c r="G147" s="8" t="n"/>
      <c r="H147" s="8">
        <f>IF(G147="","",G147*Configuracion!$G$2)</f>
        <v/>
      </c>
      <c r="I147" s="8">
        <f>IF(G147="","",G147+H147)</f>
        <v/>
      </c>
      <c r="J147" s="2" t="n"/>
      <c r="K147" s="10" t="n"/>
      <c r="L147" s="10" t="n"/>
      <c r="M147" s="11" t="n"/>
      <c r="N147" s="2" t="n"/>
      <c r="O147" s="2" t="n"/>
    </row>
    <row r="148">
      <c r="A148" s="2" t="n"/>
      <c r="B148" s="10" t="n"/>
      <c r="C148" s="2" t="n"/>
      <c r="D148" s="2" t="n"/>
      <c r="E148" s="2" t="n"/>
      <c r="F148" s="2" t="n"/>
      <c r="G148" s="8" t="n"/>
      <c r="H148" s="8">
        <f>IF(G148="","",G148*Configuracion!$G$2)</f>
        <v/>
      </c>
      <c r="I148" s="8">
        <f>IF(G148="","",G148+H148)</f>
        <v/>
      </c>
      <c r="J148" s="2" t="n"/>
      <c r="K148" s="10" t="n"/>
      <c r="L148" s="10" t="n"/>
      <c r="M148" s="11" t="n"/>
      <c r="N148" s="2" t="n"/>
      <c r="O148" s="2" t="n"/>
    </row>
    <row r="149">
      <c r="A149" s="2" t="n"/>
      <c r="B149" s="10" t="n"/>
      <c r="C149" s="2" t="n"/>
      <c r="D149" s="2" t="n"/>
      <c r="E149" s="2" t="n"/>
      <c r="F149" s="2" t="n"/>
      <c r="G149" s="8" t="n"/>
      <c r="H149" s="8">
        <f>IF(G149="","",G149*Configuracion!$G$2)</f>
        <v/>
      </c>
      <c r="I149" s="8">
        <f>IF(G149="","",G149+H149)</f>
        <v/>
      </c>
      <c r="J149" s="2" t="n"/>
      <c r="K149" s="10" t="n"/>
      <c r="L149" s="10" t="n"/>
      <c r="M149" s="11" t="n"/>
      <c r="N149" s="2" t="n"/>
      <c r="O149" s="2" t="n"/>
    </row>
    <row r="150">
      <c r="A150" s="2" t="n"/>
      <c r="B150" s="10" t="n"/>
      <c r="C150" s="2" t="n"/>
      <c r="D150" s="2" t="n"/>
      <c r="E150" s="2" t="n"/>
      <c r="F150" s="2" t="n"/>
      <c r="G150" s="8" t="n"/>
      <c r="H150" s="8">
        <f>IF(G150="","",G150*Configuracion!$G$2)</f>
        <v/>
      </c>
      <c r="I150" s="8">
        <f>IF(G150="","",G150+H150)</f>
        <v/>
      </c>
      <c r="J150" s="2" t="n"/>
      <c r="K150" s="10" t="n"/>
      <c r="L150" s="10" t="n"/>
      <c r="M150" s="11" t="n"/>
      <c r="N150" s="2" t="n"/>
      <c r="O150" s="2" t="n"/>
    </row>
    <row r="151">
      <c r="A151" s="2" t="n"/>
      <c r="B151" s="10" t="n"/>
      <c r="C151" s="2" t="n"/>
      <c r="D151" s="2" t="n"/>
      <c r="E151" s="2" t="n"/>
      <c r="F151" s="2" t="n"/>
      <c r="G151" s="8" t="n"/>
      <c r="H151" s="8">
        <f>IF(G151="","",G151*Configuracion!$G$2)</f>
        <v/>
      </c>
      <c r="I151" s="8">
        <f>IF(G151="","",G151+H151)</f>
        <v/>
      </c>
      <c r="J151" s="2" t="n"/>
      <c r="K151" s="10" t="n"/>
      <c r="L151" s="10" t="n"/>
      <c r="M151" s="11" t="n"/>
      <c r="N151" s="2" t="n"/>
      <c r="O151" s="2" t="n"/>
    </row>
    <row r="152">
      <c r="A152" s="2" t="n"/>
      <c r="B152" s="10" t="n"/>
      <c r="C152" s="2" t="n"/>
      <c r="D152" s="2" t="n"/>
      <c r="E152" s="2" t="n"/>
      <c r="F152" s="2" t="n"/>
      <c r="G152" s="8" t="n"/>
      <c r="H152" s="8">
        <f>IF(G152="","",G152*Configuracion!$G$2)</f>
        <v/>
      </c>
      <c r="I152" s="8">
        <f>IF(G152="","",G152+H152)</f>
        <v/>
      </c>
      <c r="J152" s="2" t="n"/>
      <c r="K152" s="10" t="n"/>
      <c r="L152" s="10" t="n"/>
      <c r="M152" s="11" t="n"/>
      <c r="N152" s="2" t="n"/>
      <c r="O152" s="2" t="n"/>
    </row>
    <row r="153">
      <c r="A153" s="2" t="n"/>
      <c r="B153" s="10" t="n"/>
      <c r="C153" s="2" t="n"/>
      <c r="D153" s="2" t="n"/>
      <c r="E153" s="2" t="n"/>
      <c r="F153" s="2" t="n"/>
      <c r="G153" s="8" t="n"/>
      <c r="H153" s="8">
        <f>IF(G153="","",G153*Configuracion!$G$2)</f>
        <v/>
      </c>
      <c r="I153" s="8">
        <f>IF(G153="","",G153+H153)</f>
        <v/>
      </c>
      <c r="J153" s="2" t="n"/>
      <c r="K153" s="10" t="n"/>
      <c r="L153" s="10" t="n"/>
      <c r="M153" s="11" t="n"/>
      <c r="N153" s="2" t="n"/>
      <c r="O153" s="2" t="n"/>
    </row>
    <row r="154">
      <c r="A154" s="2" t="n"/>
      <c r="B154" s="10" t="n"/>
      <c r="C154" s="2" t="n"/>
      <c r="D154" s="2" t="n"/>
      <c r="E154" s="2" t="n"/>
      <c r="F154" s="2" t="n"/>
      <c r="G154" s="8" t="n"/>
      <c r="H154" s="8">
        <f>IF(G154="","",G154*Configuracion!$G$2)</f>
        <v/>
      </c>
      <c r="I154" s="8">
        <f>IF(G154="","",G154+H154)</f>
        <v/>
      </c>
      <c r="J154" s="2" t="n"/>
      <c r="K154" s="10" t="n"/>
      <c r="L154" s="10" t="n"/>
      <c r="M154" s="11" t="n"/>
      <c r="N154" s="2" t="n"/>
      <c r="O154" s="2" t="n"/>
    </row>
    <row r="155">
      <c r="A155" s="2" t="n"/>
      <c r="B155" s="10" t="n"/>
      <c r="C155" s="2" t="n"/>
      <c r="D155" s="2" t="n"/>
      <c r="E155" s="2" t="n"/>
      <c r="F155" s="2" t="n"/>
      <c r="G155" s="8" t="n"/>
      <c r="H155" s="8">
        <f>IF(G155="","",G155*Configuracion!$G$2)</f>
        <v/>
      </c>
      <c r="I155" s="8">
        <f>IF(G155="","",G155+H155)</f>
        <v/>
      </c>
      <c r="J155" s="2" t="n"/>
      <c r="K155" s="10" t="n"/>
      <c r="L155" s="10" t="n"/>
      <c r="M155" s="11" t="n"/>
      <c r="N155" s="2" t="n"/>
      <c r="O155" s="2" t="n"/>
    </row>
    <row r="156">
      <c r="A156" s="2" t="n"/>
      <c r="B156" s="10" t="n"/>
      <c r="C156" s="2" t="n"/>
      <c r="D156" s="2" t="n"/>
      <c r="E156" s="2" t="n"/>
      <c r="F156" s="2" t="n"/>
      <c r="G156" s="8" t="n"/>
      <c r="H156" s="8">
        <f>IF(G156="","",G156*Configuracion!$G$2)</f>
        <v/>
      </c>
      <c r="I156" s="8">
        <f>IF(G156="","",G156+H156)</f>
        <v/>
      </c>
      <c r="J156" s="2" t="n"/>
      <c r="K156" s="10" t="n"/>
      <c r="L156" s="10" t="n"/>
      <c r="M156" s="11" t="n"/>
      <c r="N156" s="2" t="n"/>
      <c r="O156" s="2" t="n"/>
    </row>
    <row r="157">
      <c r="A157" s="2" t="n"/>
      <c r="B157" s="10" t="n"/>
      <c r="C157" s="2" t="n"/>
      <c r="D157" s="2" t="n"/>
      <c r="E157" s="2" t="n"/>
      <c r="F157" s="2" t="n"/>
      <c r="G157" s="8" t="n"/>
      <c r="H157" s="8">
        <f>IF(G157="","",G157*Configuracion!$G$2)</f>
        <v/>
      </c>
      <c r="I157" s="8">
        <f>IF(G157="","",G157+H157)</f>
        <v/>
      </c>
      <c r="J157" s="2" t="n"/>
      <c r="K157" s="10" t="n"/>
      <c r="L157" s="10" t="n"/>
      <c r="M157" s="11" t="n"/>
      <c r="N157" s="2" t="n"/>
      <c r="O157" s="2" t="n"/>
    </row>
    <row r="158">
      <c r="A158" s="2" t="n"/>
      <c r="B158" s="10" t="n"/>
      <c r="C158" s="2" t="n"/>
      <c r="D158" s="2" t="n"/>
      <c r="E158" s="2" t="n"/>
      <c r="F158" s="2" t="n"/>
      <c r="G158" s="8" t="n"/>
      <c r="H158" s="8">
        <f>IF(G158="","",G158*Configuracion!$G$2)</f>
        <v/>
      </c>
      <c r="I158" s="8">
        <f>IF(G158="","",G158+H158)</f>
        <v/>
      </c>
      <c r="J158" s="2" t="n"/>
      <c r="K158" s="10" t="n"/>
      <c r="L158" s="10" t="n"/>
      <c r="M158" s="11" t="n"/>
      <c r="N158" s="2" t="n"/>
      <c r="O158" s="2" t="n"/>
    </row>
    <row r="159">
      <c r="A159" s="2" t="n"/>
      <c r="B159" s="10" t="n"/>
      <c r="C159" s="2" t="n"/>
      <c r="D159" s="2" t="n"/>
      <c r="E159" s="2" t="n"/>
      <c r="F159" s="2" t="n"/>
      <c r="G159" s="8" t="n"/>
      <c r="H159" s="8">
        <f>IF(G159="","",G159*Configuracion!$G$2)</f>
        <v/>
      </c>
      <c r="I159" s="8">
        <f>IF(G159="","",G159+H159)</f>
        <v/>
      </c>
      <c r="J159" s="2" t="n"/>
      <c r="K159" s="10" t="n"/>
      <c r="L159" s="10" t="n"/>
      <c r="M159" s="11" t="n"/>
      <c r="N159" s="2" t="n"/>
      <c r="O159" s="2" t="n"/>
    </row>
    <row r="160">
      <c r="A160" s="2" t="n"/>
      <c r="B160" s="10" t="n"/>
      <c r="C160" s="2" t="n"/>
      <c r="D160" s="2" t="n"/>
      <c r="E160" s="2" t="n"/>
      <c r="F160" s="2" t="n"/>
      <c r="G160" s="8" t="n"/>
      <c r="H160" s="8">
        <f>IF(G160="","",G160*Configuracion!$G$2)</f>
        <v/>
      </c>
      <c r="I160" s="8">
        <f>IF(G160="","",G160+H160)</f>
        <v/>
      </c>
      <c r="J160" s="2" t="n"/>
      <c r="K160" s="10" t="n"/>
      <c r="L160" s="10" t="n"/>
      <c r="M160" s="11" t="n"/>
      <c r="N160" s="2" t="n"/>
      <c r="O160" s="2" t="n"/>
    </row>
    <row r="161">
      <c r="A161" s="2" t="n"/>
      <c r="B161" s="10" t="n"/>
      <c r="C161" s="2" t="n"/>
      <c r="D161" s="2" t="n"/>
      <c r="E161" s="2" t="n"/>
      <c r="F161" s="2" t="n"/>
      <c r="G161" s="8" t="n"/>
      <c r="H161" s="8">
        <f>IF(G161="","",G161*Configuracion!$G$2)</f>
        <v/>
      </c>
      <c r="I161" s="8">
        <f>IF(G161="","",G161+H161)</f>
        <v/>
      </c>
      <c r="J161" s="2" t="n"/>
      <c r="K161" s="10" t="n"/>
      <c r="L161" s="10" t="n"/>
      <c r="M161" s="11" t="n"/>
      <c r="N161" s="2" t="n"/>
      <c r="O161" s="2" t="n"/>
    </row>
    <row r="162">
      <c r="A162" s="2" t="n"/>
      <c r="B162" s="10" t="n"/>
      <c r="C162" s="2" t="n"/>
      <c r="D162" s="2" t="n"/>
      <c r="E162" s="2" t="n"/>
      <c r="F162" s="2" t="n"/>
      <c r="G162" s="8" t="n"/>
      <c r="H162" s="8">
        <f>IF(G162="","",G162*Configuracion!$G$2)</f>
        <v/>
      </c>
      <c r="I162" s="8">
        <f>IF(G162="","",G162+H162)</f>
        <v/>
      </c>
      <c r="J162" s="2" t="n"/>
      <c r="K162" s="10" t="n"/>
      <c r="L162" s="10" t="n"/>
      <c r="M162" s="11" t="n"/>
      <c r="N162" s="2" t="n"/>
      <c r="O162" s="2" t="n"/>
    </row>
    <row r="163">
      <c r="A163" s="2" t="n"/>
      <c r="B163" s="10" t="n"/>
      <c r="C163" s="2" t="n"/>
      <c r="D163" s="2" t="n"/>
      <c r="E163" s="2" t="n"/>
      <c r="F163" s="2" t="n"/>
      <c r="G163" s="8" t="n"/>
      <c r="H163" s="8">
        <f>IF(G163="","",G163*Configuracion!$G$2)</f>
        <v/>
      </c>
      <c r="I163" s="8">
        <f>IF(G163="","",G163+H163)</f>
        <v/>
      </c>
      <c r="J163" s="2" t="n"/>
      <c r="K163" s="10" t="n"/>
      <c r="L163" s="10" t="n"/>
      <c r="M163" s="11" t="n"/>
      <c r="N163" s="2" t="n"/>
      <c r="O163" s="2" t="n"/>
    </row>
    <row r="164">
      <c r="A164" s="2" t="n"/>
      <c r="B164" s="10" t="n"/>
      <c r="C164" s="2" t="n"/>
      <c r="D164" s="2" t="n"/>
      <c r="E164" s="2" t="n"/>
      <c r="F164" s="2" t="n"/>
      <c r="G164" s="8" t="n"/>
      <c r="H164" s="8">
        <f>IF(G164="","",G164*Configuracion!$G$2)</f>
        <v/>
      </c>
      <c r="I164" s="8">
        <f>IF(G164="","",G164+H164)</f>
        <v/>
      </c>
      <c r="J164" s="2" t="n"/>
      <c r="K164" s="10" t="n"/>
      <c r="L164" s="10" t="n"/>
      <c r="M164" s="11" t="n"/>
      <c r="N164" s="2" t="n"/>
      <c r="O164" s="2" t="n"/>
    </row>
    <row r="165">
      <c r="A165" s="2" t="n"/>
      <c r="B165" s="10" t="n"/>
      <c r="C165" s="2" t="n"/>
      <c r="D165" s="2" t="n"/>
      <c r="E165" s="2" t="n"/>
      <c r="F165" s="2" t="n"/>
      <c r="G165" s="8" t="n"/>
      <c r="H165" s="8">
        <f>IF(G165="","",G165*Configuracion!$G$2)</f>
        <v/>
      </c>
      <c r="I165" s="8">
        <f>IF(G165="","",G165+H165)</f>
        <v/>
      </c>
      <c r="J165" s="2" t="n"/>
      <c r="K165" s="10" t="n"/>
      <c r="L165" s="10" t="n"/>
      <c r="M165" s="11" t="n"/>
      <c r="N165" s="2" t="n"/>
      <c r="O165" s="2" t="n"/>
    </row>
    <row r="166">
      <c r="A166" s="2" t="n"/>
      <c r="B166" s="10" t="n"/>
      <c r="C166" s="2" t="n"/>
      <c r="D166" s="2" t="n"/>
      <c r="E166" s="2" t="n"/>
      <c r="F166" s="2" t="n"/>
      <c r="G166" s="8" t="n"/>
      <c r="H166" s="8">
        <f>IF(G166="","",G166*Configuracion!$G$2)</f>
        <v/>
      </c>
      <c r="I166" s="8">
        <f>IF(G166="","",G166+H166)</f>
        <v/>
      </c>
      <c r="J166" s="2" t="n"/>
      <c r="K166" s="10" t="n"/>
      <c r="L166" s="10" t="n"/>
      <c r="M166" s="11" t="n"/>
      <c r="N166" s="2" t="n"/>
      <c r="O166" s="2" t="n"/>
    </row>
    <row r="167">
      <c r="A167" s="2" t="n"/>
      <c r="B167" s="10" t="n"/>
      <c r="C167" s="2" t="n"/>
      <c r="D167" s="2" t="n"/>
      <c r="E167" s="2" t="n"/>
      <c r="F167" s="2" t="n"/>
      <c r="G167" s="8" t="n"/>
      <c r="H167" s="8">
        <f>IF(G167="","",G167*Configuracion!$G$2)</f>
        <v/>
      </c>
      <c r="I167" s="8">
        <f>IF(G167="","",G167+H167)</f>
        <v/>
      </c>
      <c r="J167" s="2" t="n"/>
      <c r="K167" s="10" t="n"/>
      <c r="L167" s="10" t="n"/>
      <c r="M167" s="11" t="n"/>
      <c r="N167" s="2" t="n"/>
      <c r="O167" s="2" t="n"/>
    </row>
    <row r="168">
      <c r="A168" s="2" t="n"/>
      <c r="B168" s="10" t="n"/>
      <c r="C168" s="2" t="n"/>
      <c r="D168" s="2" t="n"/>
      <c r="E168" s="2" t="n"/>
      <c r="F168" s="2" t="n"/>
      <c r="G168" s="8" t="n"/>
      <c r="H168" s="8">
        <f>IF(G168="","",G168*Configuracion!$G$2)</f>
        <v/>
      </c>
      <c r="I168" s="8">
        <f>IF(G168="","",G168+H168)</f>
        <v/>
      </c>
      <c r="J168" s="2" t="n"/>
      <c r="K168" s="10" t="n"/>
      <c r="L168" s="10" t="n"/>
      <c r="M168" s="11" t="n"/>
      <c r="N168" s="2" t="n"/>
      <c r="O168" s="2" t="n"/>
    </row>
    <row r="169">
      <c r="A169" s="2" t="n"/>
      <c r="B169" s="10" t="n"/>
      <c r="C169" s="2" t="n"/>
      <c r="D169" s="2" t="n"/>
      <c r="E169" s="2" t="n"/>
      <c r="F169" s="2" t="n"/>
      <c r="G169" s="8" t="n"/>
      <c r="H169" s="8">
        <f>IF(G169="","",G169*Configuracion!$G$2)</f>
        <v/>
      </c>
      <c r="I169" s="8">
        <f>IF(G169="","",G169+H169)</f>
        <v/>
      </c>
      <c r="J169" s="2" t="n"/>
      <c r="K169" s="10" t="n"/>
      <c r="L169" s="10" t="n"/>
      <c r="M169" s="11" t="n"/>
      <c r="N169" s="2" t="n"/>
      <c r="O169" s="2" t="n"/>
    </row>
    <row r="170">
      <c r="A170" s="2" t="n"/>
      <c r="B170" s="10" t="n"/>
      <c r="C170" s="2" t="n"/>
      <c r="D170" s="2" t="n"/>
      <c r="E170" s="2" t="n"/>
      <c r="F170" s="2" t="n"/>
      <c r="G170" s="8" t="n"/>
      <c r="H170" s="8">
        <f>IF(G170="","",G170*Configuracion!$G$2)</f>
        <v/>
      </c>
      <c r="I170" s="8">
        <f>IF(G170="","",G170+H170)</f>
        <v/>
      </c>
      <c r="J170" s="2" t="n"/>
      <c r="K170" s="10" t="n"/>
      <c r="L170" s="10" t="n"/>
      <c r="M170" s="11" t="n"/>
      <c r="N170" s="2" t="n"/>
      <c r="O170" s="2" t="n"/>
    </row>
    <row r="171">
      <c r="A171" s="2" t="n"/>
      <c r="B171" s="10" t="n"/>
      <c r="C171" s="2" t="n"/>
      <c r="D171" s="2" t="n"/>
      <c r="E171" s="2" t="n"/>
      <c r="F171" s="2" t="n"/>
      <c r="G171" s="8" t="n"/>
      <c r="H171" s="8">
        <f>IF(G171="","",G171*Configuracion!$G$2)</f>
        <v/>
      </c>
      <c r="I171" s="8">
        <f>IF(G171="","",G171+H171)</f>
        <v/>
      </c>
      <c r="J171" s="2" t="n"/>
      <c r="K171" s="10" t="n"/>
      <c r="L171" s="10" t="n"/>
      <c r="M171" s="11" t="n"/>
      <c r="N171" s="2" t="n"/>
      <c r="O171" s="2" t="n"/>
    </row>
    <row r="172">
      <c r="A172" s="2" t="n"/>
      <c r="B172" s="10" t="n"/>
      <c r="C172" s="2" t="n"/>
      <c r="D172" s="2" t="n"/>
      <c r="E172" s="2" t="n"/>
      <c r="F172" s="2" t="n"/>
      <c r="G172" s="8" t="n"/>
      <c r="H172" s="8">
        <f>IF(G172="","",G172*Configuracion!$G$2)</f>
        <v/>
      </c>
      <c r="I172" s="8">
        <f>IF(G172="","",G172+H172)</f>
        <v/>
      </c>
      <c r="J172" s="2" t="n"/>
      <c r="K172" s="10" t="n"/>
      <c r="L172" s="10" t="n"/>
      <c r="M172" s="11" t="n"/>
      <c r="N172" s="2" t="n"/>
      <c r="O172" s="2" t="n"/>
    </row>
    <row r="173">
      <c r="A173" s="2" t="n"/>
      <c r="B173" s="10" t="n"/>
      <c r="C173" s="2" t="n"/>
      <c r="D173" s="2" t="n"/>
      <c r="E173" s="2" t="n"/>
      <c r="F173" s="2" t="n"/>
      <c r="G173" s="8" t="n"/>
      <c r="H173" s="8">
        <f>IF(G173="","",G173*Configuracion!$G$2)</f>
        <v/>
      </c>
      <c r="I173" s="8">
        <f>IF(G173="","",G173+H173)</f>
        <v/>
      </c>
      <c r="J173" s="2" t="n"/>
      <c r="K173" s="10" t="n"/>
      <c r="L173" s="10" t="n"/>
      <c r="M173" s="11" t="n"/>
      <c r="N173" s="2" t="n"/>
      <c r="O173" s="2" t="n"/>
    </row>
    <row r="174">
      <c r="A174" s="2" t="n"/>
      <c r="B174" s="10" t="n"/>
      <c r="C174" s="2" t="n"/>
      <c r="D174" s="2" t="n"/>
      <c r="E174" s="2" t="n"/>
      <c r="F174" s="2" t="n"/>
      <c r="G174" s="8" t="n"/>
      <c r="H174" s="8">
        <f>IF(G174="","",G174*Configuracion!$G$2)</f>
        <v/>
      </c>
      <c r="I174" s="8">
        <f>IF(G174="","",G174+H174)</f>
        <v/>
      </c>
      <c r="J174" s="2" t="n"/>
      <c r="K174" s="10" t="n"/>
      <c r="L174" s="10" t="n"/>
      <c r="M174" s="11" t="n"/>
      <c r="N174" s="2" t="n"/>
      <c r="O174" s="2" t="n"/>
    </row>
    <row r="175">
      <c r="A175" s="2" t="n"/>
      <c r="B175" s="10" t="n"/>
      <c r="C175" s="2" t="n"/>
      <c r="D175" s="2" t="n"/>
      <c r="E175" s="2" t="n"/>
      <c r="F175" s="2" t="n"/>
      <c r="G175" s="8" t="n"/>
      <c r="H175" s="8">
        <f>IF(G175="","",G175*Configuracion!$G$2)</f>
        <v/>
      </c>
      <c r="I175" s="8">
        <f>IF(G175="","",G175+H175)</f>
        <v/>
      </c>
      <c r="J175" s="2" t="n"/>
      <c r="K175" s="10" t="n"/>
      <c r="L175" s="10" t="n"/>
      <c r="M175" s="11" t="n"/>
      <c r="N175" s="2" t="n"/>
      <c r="O175" s="2" t="n"/>
    </row>
    <row r="176">
      <c r="A176" s="2" t="n"/>
      <c r="B176" s="10" t="n"/>
      <c r="C176" s="2" t="n"/>
      <c r="D176" s="2" t="n"/>
      <c r="E176" s="2" t="n"/>
      <c r="F176" s="2" t="n"/>
      <c r="G176" s="8" t="n"/>
      <c r="H176" s="8">
        <f>IF(G176="","",G176*Configuracion!$G$2)</f>
        <v/>
      </c>
      <c r="I176" s="8">
        <f>IF(G176="","",G176+H176)</f>
        <v/>
      </c>
      <c r="J176" s="2" t="n"/>
      <c r="K176" s="10" t="n"/>
      <c r="L176" s="10" t="n"/>
      <c r="M176" s="11" t="n"/>
      <c r="N176" s="2" t="n"/>
      <c r="O176" s="2" t="n"/>
    </row>
    <row r="177">
      <c r="A177" s="2" t="n"/>
      <c r="B177" s="10" t="n"/>
      <c r="C177" s="2" t="n"/>
      <c r="D177" s="2" t="n"/>
      <c r="E177" s="2" t="n"/>
      <c r="F177" s="2" t="n"/>
      <c r="G177" s="8" t="n"/>
      <c r="H177" s="8">
        <f>IF(G177="","",G177*Configuracion!$G$2)</f>
        <v/>
      </c>
      <c r="I177" s="8">
        <f>IF(G177="","",G177+H177)</f>
        <v/>
      </c>
      <c r="J177" s="2" t="n"/>
      <c r="K177" s="10" t="n"/>
      <c r="L177" s="10" t="n"/>
      <c r="M177" s="11" t="n"/>
      <c r="N177" s="2" t="n"/>
      <c r="O177" s="2" t="n"/>
    </row>
    <row r="178">
      <c r="A178" s="2" t="n"/>
      <c r="B178" s="10" t="n"/>
      <c r="C178" s="2" t="n"/>
      <c r="D178" s="2" t="n"/>
      <c r="E178" s="2" t="n"/>
      <c r="F178" s="2" t="n"/>
      <c r="G178" s="8" t="n"/>
      <c r="H178" s="8">
        <f>IF(G178="","",G178*Configuracion!$G$2)</f>
        <v/>
      </c>
      <c r="I178" s="8">
        <f>IF(G178="","",G178+H178)</f>
        <v/>
      </c>
      <c r="J178" s="2" t="n"/>
      <c r="K178" s="10" t="n"/>
      <c r="L178" s="10" t="n"/>
      <c r="M178" s="11" t="n"/>
      <c r="N178" s="2" t="n"/>
      <c r="O178" s="2" t="n"/>
    </row>
    <row r="179">
      <c r="A179" s="2" t="n"/>
      <c r="B179" s="10" t="n"/>
      <c r="C179" s="2" t="n"/>
      <c r="D179" s="2" t="n"/>
      <c r="E179" s="2" t="n"/>
      <c r="F179" s="2" t="n"/>
      <c r="G179" s="8" t="n"/>
      <c r="H179" s="8">
        <f>IF(G179="","",G179*Configuracion!$G$2)</f>
        <v/>
      </c>
      <c r="I179" s="8">
        <f>IF(G179="","",G179+H179)</f>
        <v/>
      </c>
      <c r="J179" s="2" t="n"/>
      <c r="K179" s="10" t="n"/>
      <c r="L179" s="10" t="n"/>
      <c r="M179" s="11" t="n"/>
      <c r="N179" s="2" t="n"/>
      <c r="O179" s="2" t="n"/>
    </row>
    <row r="180">
      <c r="A180" s="2" t="n"/>
      <c r="B180" s="10" t="n"/>
      <c r="C180" s="2" t="n"/>
      <c r="D180" s="2" t="n"/>
      <c r="E180" s="2" t="n"/>
      <c r="F180" s="2" t="n"/>
      <c r="G180" s="8" t="n"/>
      <c r="H180" s="8">
        <f>IF(G180="","",G180*Configuracion!$G$2)</f>
        <v/>
      </c>
      <c r="I180" s="8">
        <f>IF(G180="","",G180+H180)</f>
        <v/>
      </c>
      <c r="J180" s="2" t="n"/>
      <c r="K180" s="10" t="n"/>
      <c r="L180" s="10" t="n"/>
      <c r="M180" s="11" t="n"/>
      <c r="N180" s="2" t="n"/>
      <c r="O180" s="2" t="n"/>
    </row>
    <row r="181">
      <c r="A181" s="2" t="n"/>
      <c r="B181" s="10" t="n"/>
      <c r="C181" s="2" t="n"/>
      <c r="D181" s="2" t="n"/>
      <c r="E181" s="2" t="n"/>
      <c r="F181" s="2" t="n"/>
      <c r="G181" s="8" t="n"/>
      <c r="H181" s="8">
        <f>IF(G181="","",G181*Configuracion!$G$2)</f>
        <v/>
      </c>
      <c r="I181" s="8">
        <f>IF(G181="","",G181+H181)</f>
        <v/>
      </c>
      <c r="J181" s="2" t="n"/>
      <c r="K181" s="10" t="n"/>
      <c r="L181" s="10" t="n"/>
      <c r="M181" s="11" t="n"/>
      <c r="N181" s="2" t="n"/>
      <c r="O181" s="2" t="n"/>
    </row>
    <row r="182">
      <c r="A182" s="2" t="n"/>
      <c r="B182" s="10" t="n"/>
      <c r="C182" s="2" t="n"/>
      <c r="D182" s="2" t="n"/>
      <c r="E182" s="2" t="n"/>
      <c r="F182" s="2" t="n"/>
      <c r="G182" s="8" t="n"/>
      <c r="H182" s="8">
        <f>IF(G182="","",G182*Configuracion!$G$2)</f>
        <v/>
      </c>
      <c r="I182" s="8">
        <f>IF(G182="","",G182+H182)</f>
        <v/>
      </c>
      <c r="J182" s="2" t="n"/>
      <c r="K182" s="10" t="n"/>
      <c r="L182" s="10" t="n"/>
      <c r="M182" s="11" t="n"/>
      <c r="N182" s="2" t="n"/>
      <c r="O182" s="2" t="n"/>
    </row>
    <row r="183">
      <c r="A183" s="2" t="n"/>
      <c r="B183" s="10" t="n"/>
      <c r="C183" s="2" t="n"/>
      <c r="D183" s="2" t="n"/>
      <c r="E183" s="2" t="n"/>
      <c r="F183" s="2" t="n"/>
      <c r="G183" s="8" t="n"/>
      <c r="H183" s="8">
        <f>IF(G183="","",G183*Configuracion!$G$2)</f>
        <v/>
      </c>
      <c r="I183" s="8">
        <f>IF(G183="","",G183+H183)</f>
        <v/>
      </c>
      <c r="J183" s="2" t="n"/>
      <c r="K183" s="10" t="n"/>
      <c r="L183" s="10" t="n"/>
      <c r="M183" s="11" t="n"/>
      <c r="N183" s="2" t="n"/>
      <c r="O183" s="2" t="n"/>
    </row>
    <row r="184">
      <c r="A184" s="2" t="n"/>
      <c r="B184" s="10" t="n"/>
      <c r="C184" s="2" t="n"/>
      <c r="D184" s="2" t="n"/>
      <c r="E184" s="2" t="n"/>
      <c r="F184" s="2" t="n"/>
      <c r="G184" s="8" t="n"/>
      <c r="H184" s="8">
        <f>IF(G184="","",G184*Configuracion!$G$2)</f>
        <v/>
      </c>
      <c r="I184" s="8">
        <f>IF(G184="","",G184+H184)</f>
        <v/>
      </c>
      <c r="J184" s="2" t="n"/>
      <c r="K184" s="10" t="n"/>
      <c r="L184" s="10" t="n"/>
      <c r="M184" s="11" t="n"/>
      <c r="N184" s="2" t="n"/>
      <c r="O184" s="2" t="n"/>
    </row>
    <row r="185">
      <c r="A185" s="2" t="n"/>
      <c r="B185" s="10" t="n"/>
      <c r="C185" s="2" t="n"/>
      <c r="D185" s="2" t="n"/>
      <c r="E185" s="2" t="n"/>
      <c r="F185" s="2" t="n"/>
      <c r="G185" s="8" t="n"/>
      <c r="H185" s="8">
        <f>IF(G185="","",G185*Configuracion!$G$2)</f>
        <v/>
      </c>
      <c r="I185" s="8">
        <f>IF(G185="","",G185+H185)</f>
        <v/>
      </c>
      <c r="J185" s="2" t="n"/>
      <c r="K185" s="10" t="n"/>
      <c r="L185" s="10" t="n"/>
      <c r="M185" s="11" t="n"/>
      <c r="N185" s="2" t="n"/>
      <c r="O185" s="2" t="n"/>
    </row>
    <row r="186">
      <c r="A186" s="2" t="n"/>
      <c r="B186" s="10" t="n"/>
      <c r="C186" s="2" t="n"/>
      <c r="D186" s="2" t="n"/>
      <c r="E186" s="2" t="n"/>
      <c r="F186" s="2" t="n"/>
      <c r="G186" s="8" t="n"/>
      <c r="H186" s="8">
        <f>IF(G186="","",G186*Configuracion!$G$2)</f>
        <v/>
      </c>
      <c r="I186" s="8">
        <f>IF(G186="","",G186+H186)</f>
        <v/>
      </c>
      <c r="J186" s="2" t="n"/>
      <c r="K186" s="10" t="n"/>
      <c r="L186" s="10" t="n"/>
      <c r="M186" s="11" t="n"/>
      <c r="N186" s="2" t="n"/>
      <c r="O186" s="2" t="n"/>
    </row>
    <row r="187">
      <c r="A187" s="2" t="n"/>
      <c r="B187" s="10" t="n"/>
      <c r="C187" s="2" t="n"/>
      <c r="D187" s="2" t="n"/>
      <c r="E187" s="2" t="n"/>
      <c r="F187" s="2" t="n"/>
      <c r="G187" s="8" t="n"/>
      <c r="H187" s="8">
        <f>IF(G187="","",G187*Configuracion!$G$2)</f>
        <v/>
      </c>
      <c r="I187" s="8">
        <f>IF(G187="","",G187+H187)</f>
        <v/>
      </c>
      <c r="J187" s="2" t="n"/>
      <c r="K187" s="10" t="n"/>
      <c r="L187" s="10" t="n"/>
      <c r="M187" s="11" t="n"/>
      <c r="N187" s="2" t="n"/>
      <c r="O187" s="2" t="n"/>
    </row>
    <row r="188">
      <c r="A188" s="2" t="n"/>
      <c r="B188" s="10" t="n"/>
      <c r="C188" s="2" t="n"/>
      <c r="D188" s="2" t="n"/>
      <c r="E188" s="2" t="n"/>
      <c r="F188" s="2" t="n"/>
      <c r="G188" s="8" t="n"/>
      <c r="H188" s="8">
        <f>IF(G188="","",G188*Configuracion!$G$2)</f>
        <v/>
      </c>
      <c r="I188" s="8">
        <f>IF(G188="","",G188+H188)</f>
        <v/>
      </c>
      <c r="J188" s="2" t="n"/>
      <c r="K188" s="10" t="n"/>
      <c r="L188" s="10" t="n"/>
      <c r="M188" s="11" t="n"/>
      <c r="N188" s="2" t="n"/>
      <c r="O188" s="2" t="n"/>
    </row>
    <row r="189">
      <c r="A189" s="2" t="n"/>
      <c r="B189" s="10" t="n"/>
      <c r="C189" s="2" t="n"/>
      <c r="D189" s="2" t="n"/>
      <c r="E189" s="2" t="n"/>
      <c r="F189" s="2" t="n"/>
      <c r="G189" s="8" t="n"/>
      <c r="H189" s="8">
        <f>IF(G189="","",G189*Configuracion!$G$2)</f>
        <v/>
      </c>
      <c r="I189" s="8">
        <f>IF(G189="","",G189+H189)</f>
        <v/>
      </c>
      <c r="J189" s="2" t="n"/>
      <c r="K189" s="10" t="n"/>
      <c r="L189" s="10" t="n"/>
      <c r="M189" s="11" t="n"/>
      <c r="N189" s="2" t="n"/>
      <c r="O189" s="2" t="n"/>
    </row>
    <row r="190">
      <c r="A190" s="2" t="n"/>
      <c r="B190" s="10" t="n"/>
      <c r="C190" s="2" t="n"/>
      <c r="D190" s="2" t="n"/>
      <c r="E190" s="2" t="n"/>
      <c r="F190" s="2" t="n"/>
      <c r="G190" s="8" t="n"/>
      <c r="H190" s="8">
        <f>IF(G190="","",G190*Configuracion!$G$2)</f>
        <v/>
      </c>
      <c r="I190" s="8">
        <f>IF(G190="","",G190+H190)</f>
        <v/>
      </c>
      <c r="J190" s="2" t="n"/>
      <c r="K190" s="10" t="n"/>
      <c r="L190" s="10" t="n"/>
      <c r="M190" s="11" t="n"/>
      <c r="N190" s="2" t="n"/>
      <c r="O190" s="2" t="n"/>
    </row>
    <row r="191">
      <c r="A191" s="2" t="n"/>
      <c r="B191" s="10" t="n"/>
      <c r="C191" s="2" t="n"/>
      <c r="D191" s="2" t="n"/>
      <c r="E191" s="2" t="n"/>
      <c r="F191" s="2" t="n"/>
      <c r="G191" s="8" t="n"/>
      <c r="H191" s="8">
        <f>IF(G191="","",G191*Configuracion!$G$2)</f>
        <v/>
      </c>
      <c r="I191" s="8">
        <f>IF(G191="","",G191+H191)</f>
        <v/>
      </c>
      <c r="J191" s="2" t="n"/>
      <c r="K191" s="10" t="n"/>
      <c r="L191" s="10" t="n"/>
      <c r="M191" s="11" t="n"/>
      <c r="N191" s="2" t="n"/>
      <c r="O191" s="2" t="n"/>
    </row>
    <row r="192">
      <c r="A192" s="2" t="n"/>
      <c r="B192" s="10" t="n"/>
      <c r="C192" s="2" t="n"/>
      <c r="D192" s="2" t="n"/>
      <c r="E192" s="2" t="n"/>
      <c r="F192" s="2" t="n"/>
      <c r="G192" s="8" t="n"/>
      <c r="H192" s="8">
        <f>IF(G192="","",G192*Configuracion!$G$2)</f>
        <v/>
      </c>
      <c r="I192" s="8">
        <f>IF(G192="","",G192+H192)</f>
        <v/>
      </c>
      <c r="J192" s="2" t="n"/>
      <c r="K192" s="10" t="n"/>
      <c r="L192" s="10" t="n"/>
      <c r="M192" s="11" t="n"/>
      <c r="N192" s="2" t="n"/>
      <c r="O192" s="2" t="n"/>
    </row>
    <row r="193">
      <c r="A193" s="2" t="n"/>
      <c r="B193" s="10" t="n"/>
      <c r="C193" s="2" t="n"/>
      <c r="D193" s="2" t="n"/>
      <c r="E193" s="2" t="n"/>
      <c r="F193" s="2" t="n"/>
      <c r="G193" s="8" t="n"/>
      <c r="H193" s="8">
        <f>IF(G193="","",G193*Configuracion!$G$2)</f>
        <v/>
      </c>
      <c r="I193" s="8">
        <f>IF(G193="","",G193+H193)</f>
        <v/>
      </c>
      <c r="J193" s="2" t="n"/>
      <c r="K193" s="10" t="n"/>
      <c r="L193" s="10" t="n"/>
      <c r="M193" s="11" t="n"/>
      <c r="N193" s="2" t="n"/>
      <c r="O193" s="2" t="n"/>
    </row>
    <row r="194">
      <c r="A194" s="2" t="n"/>
      <c r="B194" s="10" t="n"/>
      <c r="C194" s="2" t="n"/>
      <c r="D194" s="2" t="n"/>
      <c r="E194" s="2" t="n"/>
      <c r="F194" s="2" t="n"/>
      <c r="G194" s="8" t="n"/>
      <c r="H194" s="8">
        <f>IF(G194="","",G194*Configuracion!$G$2)</f>
        <v/>
      </c>
      <c r="I194" s="8">
        <f>IF(G194="","",G194+H194)</f>
        <v/>
      </c>
      <c r="J194" s="2" t="n"/>
      <c r="K194" s="10" t="n"/>
      <c r="L194" s="10" t="n"/>
      <c r="M194" s="11" t="n"/>
      <c r="N194" s="2" t="n"/>
      <c r="O194" s="2" t="n"/>
    </row>
    <row r="195">
      <c r="A195" s="2" t="n"/>
      <c r="B195" s="10" t="n"/>
      <c r="C195" s="2" t="n"/>
      <c r="D195" s="2" t="n"/>
      <c r="E195" s="2" t="n"/>
      <c r="F195" s="2" t="n"/>
      <c r="G195" s="8" t="n"/>
      <c r="H195" s="8">
        <f>IF(G195="","",G195*Configuracion!$G$2)</f>
        <v/>
      </c>
      <c r="I195" s="8">
        <f>IF(G195="","",G195+H195)</f>
        <v/>
      </c>
      <c r="J195" s="2" t="n"/>
      <c r="K195" s="10" t="n"/>
      <c r="L195" s="10" t="n"/>
      <c r="M195" s="11" t="n"/>
      <c r="N195" s="2" t="n"/>
      <c r="O195" s="2" t="n"/>
    </row>
    <row r="196">
      <c r="A196" s="2" t="n"/>
      <c r="B196" s="10" t="n"/>
      <c r="C196" s="2" t="n"/>
      <c r="D196" s="2" t="n"/>
      <c r="E196" s="2" t="n"/>
      <c r="F196" s="2" t="n"/>
      <c r="G196" s="8" t="n"/>
      <c r="H196" s="8">
        <f>IF(G196="","",G196*Configuracion!$G$2)</f>
        <v/>
      </c>
      <c r="I196" s="8">
        <f>IF(G196="","",G196+H196)</f>
        <v/>
      </c>
      <c r="J196" s="2" t="n"/>
      <c r="K196" s="10" t="n"/>
      <c r="L196" s="10" t="n"/>
      <c r="M196" s="11" t="n"/>
      <c r="N196" s="2" t="n"/>
      <c r="O196" s="2" t="n"/>
    </row>
    <row r="197">
      <c r="A197" s="2" t="n"/>
      <c r="B197" s="10" t="n"/>
      <c r="C197" s="2" t="n"/>
      <c r="D197" s="2" t="n"/>
      <c r="E197" s="2" t="n"/>
      <c r="F197" s="2" t="n"/>
      <c r="G197" s="8" t="n"/>
      <c r="H197" s="8">
        <f>IF(G197="","",G197*Configuracion!$G$2)</f>
        <v/>
      </c>
      <c r="I197" s="8">
        <f>IF(G197="","",G197+H197)</f>
        <v/>
      </c>
      <c r="J197" s="2" t="n"/>
      <c r="K197" s="10" t="n"/>
      <c r="L197" s="10" t="n"/>
      <c r="M197" s="11" t="n"/>
      <c r="N197" s="2" t="n"/>
      <c r="O197" s="2" t="n"/>
    </row>
    <row r="198">
      <c r="A198" s="2" t="n"/>
      <c r="B198" s="10" t="n"/>
      <c r="C198" s="2" t="n"/>
      <c r="D198" s="2" t="n"/>
      <c r="E198" s="2" t="n"/>
      <c r="F198" s="2" t="n"/>
      <c r="G198" s="8" t="n"/>
      <c r="H198" s="8">
        <f>IF(G198="","",G198*Configuracion!$G$2)</f>
        <v/>
      </c>
      <c r="I198" s="8">
        <f>IF(G198="","",G198+H198)</f>
        <v/>
      </c>
      <c r="J198" s="2" t="n"/>
      <c r="K198" s="10" t="n"/>
      <c r="L198" s="10" t="n"/>
      <c r="M198" s="11" t="n"/>
      <c r="N198" s="2" t="n"/>
      <c r="O198" s="2" t="n"/>
    </row>
    <row r="199">
      <c r="A199" s="2" t="n"/>
      <c r="B199" s="10" t="n"/>
      <c r="C199" s="2" t="n"/>
      <c r="D199" s="2" t="n"/>
      <c r="E199" s="2" t="n"/>
      <c r="F199" s="2" t="n"/>
      <c r="G199" s="8" t="n"/>
      <c r="H199" s="8">
        <f>IF(G199="","",G199*Configuracion!$G$2)</f>
        <v/>
      </c>
      <c r="I199" s="8">
        <f>IF(G199="","",G199+H199)</f>
        <v/>
      </c>
      <c r="J199" s="2" t="n"/>
      <c r="K199" s="10" t="n"/>
      <c r="L199" s="10" t="n"/>
      <c r="M199" s="11" t="n"/>
      <c r="N199" s="2" t="n"/>
      <c r="O199" s="2" t="n"/>
    </row>
    <row r="200">
      <c r="A200" s="2" t="n"/>
      <c r="B200" s="10" t="n"/>
      <c r="C200" s="2" t="n"/>
      <c r="D200" s="2" t="n"/>
      <c r="E200" s="2" t="n"/>
      <c r="F200" s="2" t="n"/>
      <c r="G200" s="8" t="n"/>
      <c r="H200" s="8">
        <f>IF(G200="","",G200*Configuracion!$G$2)</f>
        <v/>
      </c>
      <c r="I200" s="8">
        <f>IF(G200="","",G200+H200)</f>
        <v/>
      </c>
      <c r="J200" s="2" t="n"/>
      <c r="K200" s="10" t="n"/>
      <c r="L200" s="10" t="n"/>
      <c r="M200" s="11" t="n"/>
      <c r="N200" s="2" t="n"/>
      <c r="O200" s="2" t="n"/>
    </row>
    <row r="201">
      <c r="A201" s="2" t="n"/>
      <c r="B201" s="10" t="n"/>
      <c r="C201" s="2" t="n"/>
      <c r="D201" s="2" t="n"/>
      <c r="E201" s="2" t="n"/>
      <c r="F201" s="2" t="n"/>
      <c r="G201" s="8" t="n"/>
      <c r="H201" s="8">
        <f>IF(G201="","",G201*Configuracion!$G$2)</f>
        <v/>
      </c>
      <c r="I201" s="8">
        <f>IF(G201="","",G201+H201)</f>
        <v/>
      </c>
      <c r="J201" s="2" t="n"/>
      <c r="K201" s="10" t="n"/>
      <c r="L201" s="10" t="n"/>
      <c r="M201" s="11" t="n"/>
      <c r="N201" s="2" t="n"/>
      <c r="O201" s="2" t="n"/>
    </row>
    <row r="202">
      <c r="A202" s="2" t="n"/>
      <c r="B202" s="10" t="n"/>
      <c r="C202" s="2" t="n"/>
      <c r="D202" s="2" t="n"/>
      <c r="E202" s="2" t="n"/>
      <c r="F202" s="2" t="n"/>
      <c r="G202" s="8" t="n"/>
      <c r="H202" s="8">
        <f>IF(G202="","",G202*Configuracion!$G$2)</f>
        <v/>
      </c>
      <c r="I202" s="8">
        <f>IF(G202="","",G202+H202)</f>
        <v/>
      </c>
      <c r="J202" s="2" t="n"/>
      <c r="K202" s="10" t="n"/>
      <c r="L202" s="10" t="n"/>
      <c r="M202" s="11" t="n"/>
      <c r="N202" s="2" t="n"/>
      <c r="O202" s="2" t="n"/>
    </row>
    <row r="203">
      <c r="A203" s="2" t="n"/>
      <c r="B203" s="10" t="n"/>
      <c r="C203" s="2" t="n"/>
      <c r="D203" s="2" t="n"/>
      <c r="E203" s="2" t="n"/>
      <c r="F203" s="2" t="n"/>
      <c r="G203" s="8" t="n"/>
      <c r="H203" s="8">
        <f>IF(G203="","",G203*Configuracion!$G$2)</f>
        <v/>
      </c>
      <c r="I203" s="8">
        <f>IF(G203="","",G203+H203)</f>
        <v/>
      </c>
      <c r="J203" s="2" t="n"/>
      <c r="K203" s="10" t="n"/>
      <c r="L203" s="10" t="n"/>
      <c r="M203" s="11" t="n"/>
      <c r="N203" s="2" t="n"/>
      <c r="O203" s="2" t="n"/>
    </row>
    <row r="204">
      <c r="A204" s="2" t="n"/>
      <c r="B204" s="10" t="n"/>
      <c r="C204" s="2" t="n"/>
      <c r="D204" s="2" t="n"/>
      <c r="E204" s="2" t="n"/>
      <c r="F204" s="2" t="n"/>
      <c r="G204" s="8" t="n"/>
      <c r="H204" s="8">
        <f>IF(G204="","",G204*Configuracion!$G$2)</f>
        <v/>
      </c>
      <c r="I204" s="8">
        <f>IF(G204="","",G204+H204)</f>
        <v/>
      </c>
      <c r="J204" s="2" t="n"/>
      <c r="K204" s="10" t="n"/>
      <c r="L204" s="10" t="n"/>
      <c r="M204" s="11" t="n"/>
      <c r="N204" s="2" t="n"/>
      <c r="O204" s="2" t="n"/>
    </row>
    <row r="205">
      <c r="A205" s="2" t="n"/>
      <c r="B205" s="10" t="n"/>
      <c r="C205" s="2" t="n"/>
      <c r="D205" s="2" t="n"/>
      <c r="E205" s="2" t="n"/>
      <c r="F205" s="2" t="n"/>
      <c r="G205" s="8" t="n"/>
      <c r="H205" s="8">
        <f>IF(G205="","",G205*Configuracion!$G$2)</f>
        <v/>
      </c>
      <c r="I205" s="8">
        <f>IF(G205="","",G205+H205)</f>
        <v/>
      </c>
      <c r="J205" s="2" t="n"/>
      <c r="K205" s="10" t="n"/>
      <c r="L205" s="10" t="n"/>
      <c r="M205" s="11" t="n"/>
      <c r="N205" s="2" t="n"/>
      <c r="O205" s="2" t="n"/>
    </row>
    <row r="206">
      <c r="A206" s="2" t="n"/>
      <c r="B206" s="10" t="n"/>
      <c r="C206" s="2" t="n"/>
      <c r="D206" s="2" t="n"/>
      <c r="E206" s="2" t="n"/>
      <c r="F206" s="2" t="n"/>
      <c r="G206" s="8" t="n"/>
      <c r="H206" s="8">
        <f>IF(G206="","",G206*Configuracion!$G$2)</f>
        <v/>
      </c>
      <c r="I206" s="8">
        <f>IF(G206="","",G206+H206)</f>
        <v/>
      </c>
      <c r="J206" s="2" t="n"/>
      <c r="K206" s="10" t="n"/>
      <c r="L206" s="10" t="n"/>
      <c r="M206" s="11" t="n"/>
      <c r="N206" s="2" t="n"/>
      <c r="O206" s="2" t="n"/>
    </row>
    <row r="207">
      <c r="A207" s="2" t="n"/>
      <c r="B207" s="10" t="n"/>
      <c r="C207" s="2" t="n"/>
      <c r="D207" s="2" t="n"/>
      <c r="E207" s="2" t="n"/>
      <c r="F207" s="2" t="n"/>
      <c r="G207" s="8" t="n"/>
      <c r="H207" s="8">
        <f>IF(G207="","",G207*Configuracion!$G$2)</f>
        <v/>
      </c>
      <c r="I207" s="8">
        <f>IF(G207="","",G207+H207)</f>
        <v/>
      </c>
      <c r="J207" s="2" t="n"/>
      <c r="K207" s="10" t="n"/>
      <c r="L207" s="10" t="n"/>
      <c r="M207" s="11" t="n"/>
      <c r="N207" s="2" t="n"/>
      <c r="O207" s="2" t="n"/>
    </row>
    <row r="208">
      <c r="A208" s="2" t="n"/>
      <c r="B208" s="10" t="n"/>
      <c r="C208" s="2" t="n"/>
      <c r="D208" s="2" t="n"/>
      <c r="E208" s="2" t="n"/>
      <c r="F208" s="2" t="n"/>
      <c r="G208" s="8" t="n"/>
      <c r="H208" s="8">
        <f>IF(G208="","",G208*Configuracion!$G$2)</f>
        <v/>
      </c>
      <c r="I208" s="8">
        <f>IF(G208="","",G208+H208)</f>
        <v/>
      </c>
      <c r="J208" s="2" t="n"/>
      <c r="K208" s="10" t="n"/>
      <c r="L208" s="10" t="n"/>
      <c r="M208" s="11" t="n"/>
      <c r="N208" s="2" t="n"/>
      <c r="O208" s="2" t="n"/>
    </row>
    <row r="209">
      <c r="A209" s="2" t="n"/>
      <c r="B209" s="10" t="n"/>
      <c r="C209" s="2" t="n"/>
      <c r="D209" s="2" t="n"/>
      <c r="E209" s="2" t="n"/>
      <c r="F209" s="2" t="n"/>
      <c r="G209" s="8" t="n"/>
      <c r="H209" s="8">
        <f>IF(G209="","",G209*Configuracion!$G$2)</f>
        <v/>
      </c>
      <c r="I209" s="8">
        <f>IF(G209="","",G209+H209)</f>
        <v/>
      </c>
      <c r="J209" s="2" t="n"/>
      <c r="K209" s="10" t="n"/>
      <c r="L209" s="10" t="n"/>
      <c r="M209" s="11" t="n"/>
      <c r="N209" s="2" t="n"/>
      <c r="O209" s="2" t="n"/>
    </row>
    <row r="210">
      <c r="A210" s="2" t="n"/>
      <c r="B210" s="10" t="n"/>
      <c r="C210" s="2" t="n"/>
      <c r="D210" s="2" t="n"/>
      <c r="E210" s="2" t="n"/>
      <c r="F210" s="2" t="n"/>
      <c r="G210" s="8" t="n"/>
      <c r="H210" s="8">
        <f>IF(G210="","",G210*Configuracion!$G$2)</f>
        <v/>
      </c>
      <c r="I210" s="8">
        <f>IF(G210="","",G210+H210)</f>
        <v/>
      </c>
      <c r="J210" s="2" t="n"/>
      <c r="K210" s="10" t="n"/>
      <c r="L210" s="10" t="n"/>
      <c r="M210" s="11" t="n"/>
      <c r="N210" s="2" t="n"/>
      <c r="O210" s="2" t="n"/>
    </row>
    <row r="211">
      <c r="A211" s="2" t="n"/>
      <c r="B211" s="10" t="n"/>
      <c r="C211" s="2" t="n"/>
      <c r="D211" s="2" t="n"/>
      <c r="E211" s="2" t="n"/>
      <c r="F211" s="2" t="n"/>
      <c r="G211" s="8" t="n"/>
      <c r="H211" s="8">
        <f>IF(G211="","",G211*Configuracion!$G$2)</f>
        <v/>
      </c>
      <c r="I211" s="8">
        <f>IF(G211="","",G211+H211)</f>
        <v/>
      </c>
      <c r="J211" s="2" t="n"/>
      <c r="K211" s="10" t="n"/>
      <c r="L211" s="10" t="n"/>
      <c r="M211" s="11" t="n"/>
      <c r="N211" s="2" t="n"/>
      <c r="O211" s="2" t="n"/>
    </row>
    <row r="212">
      <c r="A212" s="2" t="n"/>
      <c r="B212" s="10" t="n"/>
      <c r="C212" s="2" t="n"/>
      <c r="D212" s="2" t="n"/>
      <c r="E212" s="2" t="n"/>
      <c r="F212" s="2" t="n"/>
      <c r="G212" s="8" t="n"/>
      <c r="H212" s="8">
        <f>IF(G212="","",G212*Configuracion!$G$2)</f>
        <v/>
      </c>
      <c r="I212" s="8">
        <f>IF(G212="","",G212+H212)</f>
        <v/>
      </c>
      <c r="J212" s="2" t="n"/>
      <c r="K212" s="10" t="n"/>
      <c r="L212" s="10" t="n"/>
      <c r="M212" s="11" t="n"/>
      <c r="N212" s="2" t="n"/>
      <c r="O212" s="2" t="n"/>
    </row>
    <row r="213">
      <c r="A213" s="2" t="n"/>
      <c r="B213" s="10" t="n"/>
      <c r="C213" s="2" t="n"/>
      <c r="D213" s="2" t="n"/>
      <c r="E213" s="2" t="n"/>
      <c r="F213" s="2" t="n"/>
      <c r="G213" s="8" t="n"/>
      <c r="H213" s="8">
        <f>IF(G213="","",G213*Configuracion!$G$2)</f>
        <v/>
      </c>
      <c r="I213" s="8">
        <f>IF(G213="","",G213+H213)</f>
        <v/>
      </c>
      <c r="J213" s="2" t="n"/>
      <c r="K213" s="10" t="n"/>
      <c r="L213" s="10" t="n"/>
      <c r="M213" s="11" t="n"/>
      <c r="N213" s="2" t="n"/>
      <c r="O213" s="2" t="n"/>
    </row>
    <row r="214">
      <c r="A214" s="2" t="n"/>
      <c r="B214" s="10" t="n"/>
      <c r="C214" s="2" t="n"/>
      <c r="D214" s="2" t="n"/>
      <c r="E214" s="2" t="n"/>
      <c r="F214" s="2" t="n"/>
      <c r="G214" s="8" t="n"/>
      <c r="H214" s="8">
        <f>IF(G214="","",G214*Configuracion!$G$2)</f>
        <v/>
      </c>
      <c r="I214" s="8">
        <f>IF(G214="","",G214+H214)</f>
        <v/>
      </c>
      <c r="J214" s="2" t="n"/>
      <c r="K214" s="10" t="n"/>
      <c r="L214" s="10" t="n"/>
      <c r="M214" s="11" t="n"/>
      <c r="N214" s="2" t="n"/>
      <c r="O214" s="2" t="n"/>
    </row>
    <row r="215">
      <c r="A215" s="2" t="n"/>
      <c r="B215" s="10" t="n"/>
      <c r="C215" s="2" t="n"/>
      <c r="D215" s="2" t="n"/>
      <c r="E215" s="2" t="n"/>
      <c r="F215" s="2" t="n"/>
      <c r="G215" s="8" t="n"/>
      <c r="H215" s="8">
        <f>IF(G215="","",G215*Configuracion!$G$2)</f>
        <v/>
      </c>
      <c r="I215" s="8">
        <f>IF(G215="","",G215+H215)</f>
        <v/>
      </c>
      <c r="J215" s="2" t="n"/>
      <c r="K215" s="10" t="n"/>
      <c r="L215" s="10" t="n"/>
      <c r="M215" s="11" t="n"/>
      <c r="N215" s="2" t="n"/>
      <c r="O215" s="2" t="n"/>
    </row>
    <row r="216">
      <c r="A216" s="2" t="n"/>
      <c r="B216" s="10" t="n"/>
      <c r="C216" s="2" t="n"/>
      <c r="D216" s="2" t="n"/>
      <c r="E216" s="2" t="n"/>
      <c r="F216" s="2" t="n"/>
      <c r="G216" s="8" t="n"/>
      <c r="H216" s="8">
        <f>IF(G216="","",G216*Configuracion!$G$2)</f>
        <v/>
      </c>
      <c r="I216" s="8">
        <f>IF(G216="","",G216+H216)</f>
        <v/>
      </c>
      <c r="J216" s="2" t="n"/>
      <c r="K216" s="10" t="n"/>
      <c r="L216" s="10" t="n"/>
      <c r="M216" s="11" t="n"/>
      <c r="N216" s="2" t="n"/>
      <c r="O216" s="2" t="n"/>
    </row>
    <row r="217">
      <c r="A217" s="2" t="n"/>
      <c r="B217" s="10" t="n"/>
      <c r="C217" s="2" t="n"/>
      <c r="D217" s="2" t="n"/>
      <c r="E217" s="2" t="n"/>
      <c r="F217" s="2" t="n"/>
      <c r="G217" s="8" t="n"/>
      <c r="H217" s="8">
        <f>IF(G217="","",G217*Configuracion!$G$2)</f>
        <v/>
      </c>
      <c r="I217" s="8">
        <f>IF(G217="","",G217+H217)</f>
        <v/>
      </c>
      <c r="J217" s="2" t="n"/>
      <c r="K217" s="10" t="n"/>
      <c r="L217" s="10" t="n"/>
      <c r="M217" s="11" t="n"/>
      <c r="N217" s="2" t="n"/>
      <c r="O217" s="2" t="n"/>
    </row>
    <row r="218">
      <c r="A218" s="2" t="n"/>
      <c r="B218" s="10" t="n"/>
      <c r="C218" s="2" t="n"/>
      <c r="D218" s="2" t="n"/>
      <c r="E218" s="2" t="n"/>
      <c r="F218" s="2" t="n"/>
      <c r="G218" s="8" t="n"/>
      <c r="H218" s="8">
        <f>IF(G218="","",G218*Configuracion!$G$2)</f>
        <v/>
      </c>
      <c r="I218" s="8">
        <f>IF(G218="","",G218+H218)</f>
        <v/>
      </c>
      <c r="J218" s="2" t="n"/>
      <c r="K218" s="10" t="n"/>
      <c r="L218" s="10" t="n"/>
      <c r="M218" s="11" t="n"/>
      <c r="N218" s="2" t="n"/>
      <c r="O218" s="2" t="n"/>
    </row>
    <row r="219">
      <c r="A219" s="2" t="n"/>
      <c r="B219" s="10" t="n"/>
      <c r="C219" s="2" t="n"/>
      <c r="D219" s="2" t="n"/>
      <c r="E219" s="2" t="n"/>
      <c r="F219" s="2" t="n"/>
      <c r="G219" s="8" t="n"/>
      <c r="H219" s="8">
        <f>IF(G219="","",G219*Configuracion!$G$2)</f>
        <v/>
      </c>
      <c r="I219" s="8">
        <f>IF(G219="","",G219+H219)</f>
        <v/>
      </c>
      <c r="J219" s="2" t="n"/>
      <c r="K219" s="10" t="n"/>
      <c r="L219" s="10" t="n"/>
      <c r="M219" s="11" t="n"/>
      <c r="N219" s="2" t="n"/>
      <c r="O219" s="2" t="n"/>
    </row>
    <row r="220">
      <c r="A220" s="2" t="n"/>
      <c r="B220" s="10" t="n"/>
      <c r="C220" s="2" t="n"/>
      <c r="D220" s="2" t="n"/>
      <c r="E220" s="2" t="n"/>
      <c r="F220" s="2" t="n"/>
      <c r="G220" s="8" t="n"/>
      <c r="H220" s="8">
        <f>IF(G220="","",G220*Configuracion!$G$2)</f>
        <v/>
      </c>
      <c r="I220" s="8">
        <f>IF(G220="","",G220+H220)</f>
        <v/>
      </c>
      <c r="J220" s="2" t="n"/>
      <c r="K220" s="10" t="n"/>
      <c r="L220" s="10" t="n"/>
      <c r="M220" s="11" t="n"/>
      <c r="N220" s="2" t="n"/>
      <c r="O220" s="2" t="n"/>
    </row>
    <row r="221">
      <c r="A221" s="2" t="n"/>
      <c r="B221" s="10" t="n"/>
      <c r="C221" s="2" t="n"/>
      <c r="D221" s="2" t="n"/>
      <c r="E221" s="2" t="n"/>
      <c r="F221" s="2" t="n"/>
      <c r="G221" s="8" t="n"/>
      <c r="H221" s="8">
        <f>IF(G221="","",G221*Configuracion!$G$2)</f>
        <v/>
      </c>
      <c r="I221" s="8">
        <f>IF(G221="","",G221+H221)</f>
        <v/>
      </c>
      <c r="J221" s="2" t="n"/>
      <c r="K221" s="10" t="n"/>
      <c r="L221" s="10" t="n"/>
      <c r="M221" s="11" t="n"/>
      <c r="N221" s="2" t="n"/>
      <c r="O221" s="2" t="n"/>
    </row>
    <row r="222">
      <c r="A222" s="2" t="n"/>
      <c r="B222" s="10" t="n"/>
      <c r="C222" s="2" t="n"/>
      <c r="D222" s="2" t="n"/>
      <c r="E222" s="2" t="n"/>
      <c r="F222" s="2" t="n"/>
      <c r="G222" s="8" t="n"/>
      <c r="H222" s="8">
        <f>IF(G222="","",G222*Configuracion!$G$2)</f>
        <v/>
      </c>
      <c r="I222" s="8">
        <f>IF(G222="","",G222+H222)</f>
        <v/>
      </c>
      <c r="J222" s="2" t="n"/>
      <c r="K222" s="10" t="n"/>
      <c r="L222" s="10" t="n"/>
      <c r="M222" s="11" t="n"/>
      <c r="N222" s="2" t="n"/>
      <c r="O222" s="2" t="n"/>
    </row>
    <row r="223">
      <c r="A223" s="2" t="n"/>
      <c r="B223" s="10" t="n"/>
      <c r="C223" s="2" t="n"/>
      <c r="D223" s="2" t="n"/>
      <c r="E223" s="2" t="n"/>
      <c r="F223" s="2" t="n"/>
      <c r="G223" s="8" t="n"/>
      <c r="H223" s="8">
        <f>IF(G223="","",G223*Configuracion!$G$2)</f>
        <v/>
      </c>
      <c r="I223" s="8">
        <f>IF(G223="","",G223+H223)</f>
        <v/>
      </c>
      <c r="J223" s="2" t="n"/>
      <c r="K223" s="10" t="n"/>
      <c r="L223" s="10" t="n"/>
      <c r="M223" s="11" t="n"/>
      <c r="N223" s="2" t="n"/>
      <c r="O223" s="2" t="n"/>
    </row>
    <row r="224">
      <c r="A224" s="2" t="n"/>
      <c r="B224" s="10" t="n"/>
      <c r="C224" s="2" t="n"/>
      <c r="D224" s="2" t="n"/>
      <c r="E224" s="2" t="n"/>
      <c r="F224" s="2" t="n"/>
      <c r="G224" s="8" t="n"/>
      <c r="H224" s="8">
        <f>IF(G224="","",G224*Configuracion!$G$2)</f>
        <v/>
      </c>
      <c r="I224" s="8">
        <f>IF(G224="","",G224+H224)</f>
        <v/>
      </c>
      <c r="J224" s="2" t="n"/>
      <c r="K224" s="10" t="n"/>
      <c r="L224" s="10" t="n"/>
      <c r="M224" s="11" t="n"/>
      <c r="N224" s="2" t="n"/>
      <c r="O224" s="2" t="n"/>
    </row>
    <row r="225">
      <c r="A225" s="2" t="n"/>
      <c r="B225" s="10" t="n"/>
      <c r="C225" s="2" t="n"/>
      <c r="D225" s="2" t="n"/>
      <c r="E225" s="2" t="n"/>
      <c r="F225" s="2" t="n"/>
      <c r="G225" s="8" t="n"/>
      <c r="H225" s="8">
        <f>IF(G225="","",G225*Configuracion!$G$2)</f>
        <v/>
      </c>
      <c r="I225" s="8">
        <f>IF(G225="","",G225+H225)</f>
        <v/>
      </c>
      <c r="J225" s="2" t="n"/>
      <c r="K225" s="10" t="n"/>
      <c r="L225" s="10" t="n"/>
      <c r="M225" s="11" t="n"/>
      <c r="N225" s="2" t="n"/>
      <c r="O225" s="2" t="n"/>
    </row>
    <row r="226">
      <c r="A226" s="2" t="n"/>
      <c r="B226" s="10" t="n"/>
      <c r="C226" s="2" t="n"/>
      <c r="D226" s="2" t="n"/>
      <c r="E226" s="2" t="n"/>
      <c r="F226" s="2" t="n"/>
      <c r="G226" s="8" t="n"/>
      <c r="H226" s="8">
        <f>IF(G226="","",G226*Configuracion!$G$2)</f>
        <v/>
      </c>
      <c r="I226" s="8">
        <f>IF(G226="","",G226+H226)</f>
        <v/>
      </c>
      <c r="J226" s="2" t="n"/>
      <c r="K226" s="10" t="n"/>
      <c r="L226" s="10" t="n"/>
      <c r="M226" s="11" t="n"/>
      <c r="N226" s="2" t="n"/>
      <c r="O226" s="2" t="n"/>
    </row>
    <row r="227">
      <c r="A227" s="2" t="n"/>
      <c r="B227" s="10" t="n"/>
      <c r="C227" s="2" t="n"/>
      <c r="D227" s="2" t="n"/>
      <c r="E227" s="2" t="n"/>
      <c r="F227" s="2" t="n"/>
      <c r="G227" s="8" t="n"/>
      <c r="H227" s="8">
        <f>IF(G227="","",G227*Configuracion!$G$2)</f>
        <v/>
      </c>
      <c r="I227" s="8">
        <f>IF(G227="","",G227+H227)</f>
        <v/>
      </c>
      <c r="J227" s="2" t="n"/>
      <c r="K227" s="10" t="n"/>
      <c r="L227" s="10" t="n"/>
      <c r="M227" s="11" t="n"/>
      <c r="N227" s="2" t="n"/>
      <c r="O227" s="2" t="n"/>
    </row>
    <row r="228">
      <c r="A228" s="2" t="n"/>
      <c r="B228" s="10" t="n"/>
      <c r="C228" s="2" t="n"/>
      <c r="D228" s="2" t="n"/>
      <c r="E228" s="2" t="n"/>
      <c r="F228" s="2" t="n"/>
      <c r="G228" s="8" t="n"/>
      <c r="H228" s="8">
        <f>IF(G228="","",G228*Configuracion!$G$2)</f>
        <v/>
      </c>
      <c r="I228" s="8">
        <f>IF(G228="","",G228+H228)</f>
        <v/>
      </c>
      <c r="J228" s="2" t="n"/>
      <c r="K228" s="10" t="n"/>
      <c r="L228" s="10" t="n"/>
      <c r="M228" s="11" t="n"/>
      <c r="N228" s="2" t="n"/>
      <c r="O228" s="2" t="n"/>
    </row>
    <row r="229">
      <c r="A229" s="2" t="n"/>
      <c r="B229" s="10" t="n"/>
      <c r="C229" s="2" t="n"/>
      <c r="D229" s="2" t="n"/>
      <c r="E229" s="2" t="n"/>
      <c r="F229" s="2" t="n"/>
      <c r="G229" s="8" t="n"/>
      <c r="H229" s="8">
        <f>IF(G229="","",G229*Configuracion!$G$2)</f>
        <v/>
      </c>
      <c r="I229" s="8">
        <f>IF(G229="","",G229+H229)</f>
        <v/>
      </c>
      <c r="J229" s="2" t="n"/>
      <c r="K229" s="10" t="n"/>
      <c r="L229" s="10" t="n"/>
      <c r="M229" s="11" t="n"/>
      <c r="N229" s="2" t="n"/>
      <c r="O229" s="2" t="n"/>
    </row>
    <row r="230">
      <c r="A230" s="2" t="n"/>
      <c r="B230" s="10" t="n"/>
      <c r="C230" s="2" t="n"/>
      <c r="D230" s="2" t="n"/>
      <c r="E230" s="2" t="n"/>
      <c r="F230" s="2" t="n"/>
      <c r="G230" s="8" t="n"/>
      <c r="H230" s="8">
        <f>IF(G230="","",G230*Configuracion!$G$2)</f>
        <v/>
      </c>
      <c r="I230" s="8">
        <f>IF(G230="","",G230+H230)</f>
        <v/>
      </c>
      <c r="J230" s="2" t="n"/>
      <c r="K230" s="10" t="n"/>
      <c r="L230" s="10" t="n"/>
      <c r="M230" s="11" t="n"/>
      <c r="N230" s="2" t="n"/>
      <c r="O230" s="2" t="n"/>
    </row>
    <row r="231">
      <c r="A231" s="2" t="n"/>
      <c r="B231" s="10" t="n"/>
      <c r="C231" s="2" t="n"/>
      <c r="D231" s="2" t="n"/>
      <c r="E231" s="2" t="n"/>
      <c r="F231" s="2" t="n"/>
      <c r="G231" s="8" t="n"/>
      <c r="H231" s="8">
        <f>IF(G231="","",G231*Configuracion!$G$2)</f>
        <v/>
      </c>
      <c r="I231" s="8">
        <f>IF(G231="","",G231+H231)</f>
        <v/>
      </c>
      <c r="J231" s="2" t="n"/>
      <c r="K231" s="10" t="n"/>
      <c r="L231" s="10" t="n"/>
      <c r="M231" s="11" t="n"/>
      <c r="N231" s="2" t="n"/>
      <c r="O231" s="2" t="n"/>
    </row>
    <row r="232">
      <c r="A232" s="2" t="n"/>
      <c r="B232" s="10" t="n"/>
      <c r="C232" s="2" t="n"/>
      <c r="D232" s="2" t="n"/>
      <c r="E232" s="2" t="n"/>
      <c r="F232" s="2" t="n"/>
      <c r="G232" s="8" t="n"/>
      <c r="H232" s="8">
        <f>IF(G232="","",G232*Configuracion!$G$2)</f>
        <v/>
      </c>
      <c r="I232" s="8">
        <f>IF(G232="","",G232+H232)</f>
        <v/>
      </c>
      <c r="J232" s="2" t="n"/>
      <c r="K232" s="10" t="n"/>
      <c r="L232" s="10" t="n"/>
      <c r="M232" s="11" t="n"/>
      <c r="N232" s="2" t="n"/>
      <c r="O232" s="2" t="n"/>
    </row>
    <row r="233">
      <c r="A233" s="2" t="n"/>
      <c r="B233" s="10" t="n"/>
      <c r="C233" s="2" t="n"/>
      <c r="D233" s="2" t="n"/>
      <c r="E233" s="2" t="n"/>
      <c r="F233" s="2" t="n"/>
      <c r="G233" s="8" t="n"/>
      <c r="H233" s="8">
        <f>IF(G233="","",G233*Configuracion!$G$2)</f>
        <v/>
      </c>
      <c r="I233" s="8">
        <f>IF(G233="","",G233+H233)</f>
        <v/>
      </c>
      <c r="J233" s="2" t="n"/>
      <c r="K233" s="10" t="n"/>
      <c r="L233" s="10" t="n"/>
      <c r="M233" s="11" t="n"/>
      <c r="N233" s="2" t="n"/>
      <c r="O233" s="2" t="n"/>
    </row>
    <row r="234">
      <c r="A234" s="2" t="n"/>
      <c r="B234" s="10" t="n"/>
      <c r="C234" s="2" t="n"/>
      <c r="D234" s="2" t="n"/>
      <c r="E234" s="2" t="n"/>
      <c r="F234" s="2" t="n"/>
      <c r="G234" s="8" t="n"/>
      <c r="H234" s="8">
        <f>IF(G234="","",G234*Configuracion!$G$2)</f>
        <v/>
      </c>
      <c r="I234" s="8">
        <f>IF(G234="","",G234+H234)</f>
        <v/>
      </c>
      <c r="J234" s="2" t="n"/>
      <c r="K234" s="10" t="n"/>
      <c r="L234" s="10" t="n"/>
      <c r="M234" s="11" t="n"/>
      <c r="N234" s="2" t="n"/>
      <c r="O234" s="2" t="n"/>
    </row>
    <row r="235">
      <c r="A235" s="2" t="n"/>
      <c r="B235" s="10" t="n"/>
      <c r="C235" s="2" t="n"/>
      <c r="D235" s="2" t="n"/>
      <c r="E235" s="2" t="n"/>
      <c r="F235" s="2" t="n"/>
      <c r="G235" s="8" t="n"/>
      <c r="H235" s="8">
        <f>IF(G235="","",G235*Configuracion!$G$2)</f>
        <v/>
      </c>
      <c r="I235" s="8">
        <f>IF(G235="","",G235+H235)</f>
        <v/>
      </c>
      <c r="J235" s="2" t="n"/>
      <c r="K235" s="10" t="n"/>
      <c r="L235" s="10" t="n"/>
      <c r="M235" s="11" t="n"/>
      <c r="N235" s="2" t="n"/>
      <c r="O235" s="2" t="n"/>
    </row>
    <row r="236">
      <c r="A236" s="2" t="n"/>
      <c r="B236" s="10" t="n"/>
      <c r="C236" s="2" t="n"/>
      <c r="D236" s="2" t="n"/>
      <c r="E236" s="2" t="n"/>
      <c r="F236" s="2" t="n"/>
      <c r="G236" s="8" t="n"/>
      <c r="H236" s="8">
        <f>IF(G236="","",G236*Configuracion!$G$2)</f>
        <v/>
      </c>
      <c r="I236" s="8">
        <f>IF(G236="","",G236+H236)</f>
        <v/>
      </c>
      <c r="J236" s="2" t="n"/>
      <c r="K236" s="10" t="n"/>
      <c r="L236" s="10" t="n"/>
      <c r="M236" s="11" t="n"/>
      <c r="N236" s="2" t="n"/>
      <c r="O236" s="2" t="n"/>
    </row>
    <row r="237">
      <c r="A237" s="2" t="n"/>
      <c r="B237" s="10" t="n"/>
      <c r="C237" s="2" t="n"/>
      <c r="D237" s="2" t="n"/>
      <c r="E237" s="2" t="n"/>
      <c r="F237" s="2" t="n"/>
      <c r="G237" s="8" t="n"/>
      <c r="H237" s="8">
        <f>IF(G237="","",G237*Configuracion!$G$2)</f>
        <v/>
      </c>
      <c r="I237" s="8">
        <f>IF(G237="","",G237+H237)</f>
        <v/>
      </c>
      <c r="J237" s="2" t="n"/>
      <c r="K237" s="10" t="n"/>
      <c r="L237" s="10" t="n"/>
      <c r="M237" s="11" t="n"/>
      <c r="N237" s="2" t="n"/>
      <c r="O237" s="2" t="n"/>
    </row>
    <row r="238">
      <c r="A238" s="2" t="n"/>
      <c r="B238" s="10" t="n"/>
      <c r="C238" s="2" t="n"/>
      <c r="D238" s="2" t="n"/>
      <c r="E238" s="2" t="n"/>
      <c r="F238" s="2" t="n"/>
      <c r="G238" s="8" t="n"/>
      <c r="H238" s="8">
        <f>IF(G238="","",G238*Configuracion!$G$2)</f>
        <v/>
      </c>
      <c r="I238" s="8">
        <f>IF(G238="","",G238+H238)</f>
        <v/>
      </c>
      <c r="J238" s="2" t="n"/>
      <c r="K238" s="10" t="n"/>
      <c r="L238" s="10" t="n"/>
      <c r="M238" s="11" t="n"/>
      <c r="N238" s="2" t="n"/>
      <c r="O238" s="2" t="n"/>
    </row>
    <row r="239">
      <c r="A239" s="2" t="n"/>
      <c r="B239" s="10" t="n"/>
      <c r="C239" s="2" t="n"/>
      <c r="D239" s="2" t="n"/>
      <c r="E239" s="2" t="n"/>
      <c r="F239" s="2" t="n"/>
      <c r="G239" s="8" t="n"/>
      <c r="H239" s="8">
        <f>IF(G239="","",G239*Configuracion!$G$2)</f>
        <v/>
      </c>
      <c r="I239" s="8">
        <f>IF(G239="","",G239+H239)</f>
        <v/>
      </c>
      <c r="J239" s="2" t="n"/>
      <c r="K239" s="10" t="n"/>
      <c r="L239" s="10" t="n"/>
      <c r="M239" s="11" t="n"/>
      <c r="N239" s="2" t="n"/>
      <c r="O239" s="2" t="n"/>
    </row>
    <row r="240">
      <c r="A240" s="2" t="n"/>
      <c r="B240" s="10" t="n"/>
      <c r="C240" s="2" t="n"/>
      <c r="D240" s="2" t="n"/>
      <c r="E240" s="2" t="n"/>
      <c r="F240" s="2" t="n"/>
      <c r="G240" s="8" t="n"/>
      <c r="H240" s="8">
        <f>IF(G240="","",G240*Configuracion!$G$2)</f>
        <v/>
      </c>
      <c r="I240" s="8">
        <f>IF(G240="","",G240+H240)</f>
        <v/>
      </c>
      <c r="J240" s="2" t="n"/>
      <c r="K240" s="10" t="n"/>
      <c r="L240" s="10" t="n"/>
      <c r="M240" s="11" t="n"/>
      <c r="N240" s="2" t="n"/>
      <c r="O240" s="2" t="n"/>
    </row>
    <row r="241">
      <c r="A241" s="2" t="n"/>
      <c r="B241" s="10" t="n"/>
      <c r="C241" s="2" t="n"/>
      <c r="D241" s="2" t="n"/>
      <c r="E241" s="2" t="n"/>
      <c r="F241" s="2" t="n"/>
      <c r="G241" s="8" t="n"/>
      <c r="H241" s="8">
        <f>IF(G241="","",G241*Configuracion!$G$2)</f>
        <v/>
      </c>
      <c r="I241" s="8">
        <f>IF(G241="","",G241+H241)</f>
        <v/>
      </c>
      <c r="J241" s="2" t="n"/>
      <c r="K241" s="10" t="n"/>
      <c r="L241" s="10" t="n"/>
      <c r="M241" s="11" t="n"/>
      <c r="N241" s="2" t="n"/>
      <c r="O241" s="2" t="n"/>
    </row>
    <row r="242">
      <c r="A242" s="2" t="n"/>
      <c r="B242" s="10" t="n"/>
      <c r="C242" s="2" t="n"/>
      <c r="D242" s="2" t="n"/>
      <c r="E242" s="2" t="n"/>
      <c r="F242" s="2" t="n"/>
      <c r="G242" s="8" t="n"/>
      <c r="H242" s="8">
        <f>IF(G242="","",G242*Configuracion!$G$2)</f>
        <v/>
      </c>
      <c r="I242" s="8">
        <f>IF(G242="","",G242+H242)</f>
        <v/>
      </c>
      <c r="J242" s="2" t="n"/>
      <c r="K242" s="10" t="n"/>
      <c r="L242" s="10" t="n"/>
      <c r="M242" s="11" t="n"/>
      <c r="N242" s="2" t="n"/>
      <c r="O242" s="2" t="n"/>
    </row>
    <row r="243">
      <c r="A243" s="2" t="n"/>
      <c r="B243" s="10" t="n"/>
      <c r="C243" s="2" t="n"/>
      <c r="D243" s="2" t="n"/>
      <c r="E243" s="2" t="n"/>
      <c r="F243" s="2" t="n"/>
      <c r="G243" s="8" t="n"/>
      <c r="H243" s="8">
        <f>IF(G243="","",G243*Configuracion!$G$2)</f>
        <v/>
      </c>
      <c r="I243" s="8">
        <f>IF(G243="","",G243+H243)</f>
        <v/>
      </c>
      <c r="J243" s="2" t="n"/>
      <c r="K243" s="10" t="n"/>
      <c r="L243" s="10" t="n"/>
      <c r="M243" s="11" t="n"/>
      <c r="N243" s="2" t="n"/>
      <c r="O243" s="2" t="n"/>
    </row>
    <row r="244">
      <c r="A244" s="2" t="n"/>
      <c r="B244" s="10" t="n"/>
      <c r="C244" s="2" t="n"/>
      <c r="D244" s="2" t="n"/>
      <c r="E244" s="2" t="n"/>
      <c r="F244" s="2" t="n"/>
      <c r="G244" s="8" t="n"/>
      <c r="H244" s="8">
        <f>IF(G244="","",G244*Configuracion!$G$2)</f>
        <v/>
      </c>
      <c r="I244" s="8">
        <f>IF(G244="","",G244+H244)</f>
        <v/>
      </c>
      <c r="J244" s="2" t="n"/>
      <c r="K244" s="10" t="n"/>
      <c r="L244" s="10" t="n"/>
      <c r="M244" s="11" t="n"/>
      <c r="N244" s="2" t="n"/>
      <c r="O244" s="2" t="n"/>
    </row>
    <row r="245">
      <c r="A245" s="2" t="n"/>
      <c r="B245" s="10" t="n"/>
      <c r="C245" s="2" t="n"/>
      <c r="D245" s="2" t="n"/>
      <c r="E245" s="2" t="n"/>
      <c r="F245" s="2" t="n"/>
      <c r="G245" s="8" t="n"/>
      <c r="H245" s="8">
        <f>IF(G245="","",G245*Configuracion!$G$2)</f>
        <v/>
      </c>
      <c r="I245" s="8">
        <f>IF(G245="","",G245+H245)</f>
        <v/>
      </c>
      <c r="J245" s="2" t="n"/>
      <c r="K245" s="10" t="n"/>
      <c r="L245" s="10" t="n"/>
      <c r="M245" s="11" t="n"/>
      <c r="N245" s="2" t="n"/>
      <c r="O245" s="2" t="n"/>
    </row>
    <row r="246">
      <c r="A246" s="2" t="n"/>
      <c r="B246" s="10" t="n"/>
      <c r="C246" s="2" t="n"/>
      <c r="D246" s="2" t="n"/>
      <c r="E246" s="2" t="n"/>
      <c r="F246" s="2" t="n"/>
      <c r="G246" s="8" t="n"/>
      <c r="H246" s="8">
        <f>IF(G246="","",G246*Configuracion!$G$2)</f>
        <v/>
      </c>
      <c r="I246" s="8">
        <f>IF(G246="","",G246+H246)</f>
        <v/>
      </c>
      <c r="J246" s="2" t="n"/>
      <c r="K246" s="10" t="n"/>
      <c r="L246" s="10" t="n"/>
      <c r="M246" s="11" t="n"/>
      <c r="N246" s="2" t="n"/>
      <c r="O246" s="2" t="n"/>
    </row>
    <row r="247">
      <c r="A247" s="2" t="n"/>
      <c r="B247" s="10" t="n"/>
      <c r="C247" s="2" t="n"/>
      <c r="D247" s="2" t="n"/>
      <c r="E247" s="2" t="n"/>
      <c r="F247" s="2" t="n"/>
      <c r="G247" s="8" t="n"/>
      <c r="H247" s="8">
        <f>IF(G247="","",G247*Configuracion!$G$2)</f>
        <v/>
      </c>
      <c r="I247" s="8">
        <f>IF(G247="","",G247+H247)</f>
        <v/>
      </c>
      <c r="J247" s="2" t="n"/>
      <c r="K247" s="10" t="n"/>
      <c r="L247" s="10" t="n"/>
      <c r="M247" s="11" t="n"/>
      <c r="N247" s="2" t="n"/>
      <c r="O247" s="2" t="n"/>
    </row>
    <row r="248">
      <c r="A248" s="2" t="n"/>
      <c r="B248" s="10" t="n"/>
      <c r="C248" s="2" t="n"/>
      <c r="D248" s="2" t="n"/>
      <c r="E248" s="2" t="n"/>
      <c r="F248" s="2" t="n"/>
      <c r="G248" s="8" t="n"/>
      <c r="H248" s="8">
        <f>IF(G248="","",G248*Configuracion!$G$2)</f>
        <v/>
      </c>
      <c r="I248" s="8">
        <f>IF(G248="","",G248+H248)</f>
        <v/>
      </c>
      <c r="J248" s="2" t="n"/>
      <c r="K248" s="10" t="n"/>
      <c r="L248" s="10" t="n"/>
      <c r="M248" s="11" t="n"/>
      <c r="N248" s="2" t="n"/>
      <c r="O248" s="2" t="n"/>
    </row>
    <row r="249">
      <c r="A249" s="2" t="n"/>
      <c r="B249" s="10" t="n"/>
      <c r="C249" s="2" t="n"/>
      <c r="D249" s="2" t="n"/>
      <c r="E249" s="2" t="n"/>
      <c r="F249" s="2" t="n"/>
      <c r="G249" s="8" t="n"/>
      <c r="H249" s="8">
        <f>IF(G249="","",G249*Configuracion!$G$2)</f>
        <v/>
      </c>
      <c r="I249" s="8">
        <f>IF(G249="","",G249+H249)</f>
        <v/>
      </c>
      <c r="J249" s="2" t="n"/>
      <c r="K249" s="10" t="n"/>
      <c r="L249" s="10" t="n"/>
      <c r="M249" s="11" t="n"/>
      <c r="N249" s="2" t="n"/>
      <c r="O249" s="2" t="n"/>
    </row>
    <row r="250">
      <c r="A250" s="2" t="n"/>
      <c r="B250" s="10" t="n"/>
      <c r="C250" s="2" t="n"/>
      <c r="D250" s="2" t="n"/>
      <c r="E250" s="2" t="n"/>
      <c r="F250" s="2" t="n"/>
      <c r="G250" s="8" t="n"/>
      <c r="H250" s="8">
        <f>IF(G250="","",G250*Configuracion!$G$2)</f>
        <v/>
      </c>
      <c r="I250" s="8">
        <f>IF(G250="","",G250+H250)</f>
        <v/>
      </c>
      <c r="J250" s="2" t="n"/>
      <c r="K250" s="10" t="n"/>
      <c r="L250" s="10" t="n"/>
      <c r="M250" s="11" t="n"/>
      <c r="N250" s="2" t="n"/>
      <c r="O250" s="2" t="n"/>
    </row>
  </sheetData>
  <dataValidations count="1">
    <dataValidation sqref="J2:J250" showDropDown="0" showInputMessage="0" showErrorMessage="0" allowBlank="1" type="list">
      <formula1>"Borrador,Enviada,Aprobada,Rechazada,Vencida"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7" customWidth="1" min="4" max="4"/>
    <col width="15" customWidth="1" min="5" max="5"/>
    <col width="14" customWidth="1" min="6" max="6"/>
    <col width="24" customWidth="1" min="7" max="7"/>
    <col width="20" customWidth="1" min="8" max="8"/>
    <col width="10" customWidth="1" min="9" max="9"/>
    <col width="21" customWidth="1" min="10" max="10"/>
    <col width="38" customWidth="1" min="11" max="11"/>
    <col width="24" customWidth="1" min="12" max="12"/>
    <col width="16" customWidth="1" min="13" max="13"/>
    <col width="12" customWidth="1" min="14" max="14"/>
    <col width="35" customWidth="1" min="15" max="15"/>
    <col width="35" customWidth="1" min="16" max="16"/>
    <col width="24" customWidth="1" min="17" max="17"/>
    <col width="11" customWidth="1" min="18" max="18"/>
    <col width="10" customWidth="1" min="19" max="19"/>
    <col width="10" customWidth="1" min="20" max="20"/>
    <col width="13" customWidth="1" min="21" max="21"/>
    <col width="15" customWidth="1" min="22" max="22"/>
  </cols>
  <sheetData>
    <row r="1">
      <c r="A1" s="4" t="inlineStr">
        <is>
          <t>ID_Proyecto</t>
        </is>
      </c>
      <c r="B1" s="4" t="inlineStr">
        <is>
          <t>ID_Cotizacion</t>
        </is>
      </c>
      <c r="C1" s="4" t="inlineStr">
        <is>
          <t>ID_Cliente</t>
        </is>
      </c>
      <c r="D1" s="4" t="inlineStr">
        <is>
          <t>Nombre_Proyecto</t>
        </is>
      </c>
      <c r="E1" s="4" t="inlineStr">
        <is>
          <t>Tipo_Servicio</t>
        </is>
      </c>
      <c r="F1" s="4" t="inlineStr">
        <is>
          <t>Fecha_Inicio</t>
        </is>
      </c>
      <c r="G1" s="4" t="inlineStr">
        <is>
          <t>Fecha_Termino_Estimada</t>
        </is>
      </c>
      <c r="H1" s="4" t="inlineStr">
        <is>
          <t>Fecha_Termino_Real</t>
        </is>
      </c>
      <c r="I1" s="4" t="inlineStr">
        <is>
          <t>Estado</t>
        </is>
      </c>
      <c r="J1" s="4" t="inlineStr">
        <is>
          <t>Monto_Contrato_Neto</t>
        </is>
      </c>
      <c r="K1" s="4" t="inlineStr">
        <is>
          <t>IVA</t>
        </is>
      </c>
      <c r="L1" s="4" t="inlineStr">
        <is>
          <t>Monto_Contrato_Total</t>
        </is>
      </c>
      <c r="M1" s="4" t="inlineStr">
        <is>
          <t>Costo_Estimado</t>
        </is>
      </c>
      <c r="N1" s="4" t="inlineStr">
        <is>
          <t>Costo_Real</t>
        </is>
      </c>
      <c r="O1" s="4" t="inlineStr">
        <is>
          <t>Utilidad_Estimada</t>
        </is>
      </c>
      <c r="P1" s="4" t="inlineStr">
        <is>
          <t>Utilidad_Real</t>
        </is>
      </c>
      <c r="Q1" s="4" t="inlineStr">
        <is>
          <t>Margen_Real_Porcentaje</t>
        </is>
      </c>
      <c r="R1" s="4" t="inlineStr">
        <is>
          <t>Ubicacion</t>
        </is>
      </c>
      <c r="S1" s="4" t="inlineStr">
        <is>
          <t>Comuna</t>
        </is>
      </c>
      <c r="T1" s="4" t="inlineStr">
        <is>
          <t>Region</t>
        </is>
      </c>
      <c r="U1" s="4" t="inlineStr">
        <is>
          <t>Responsable</t>
        </is>
      </c>
      <c r="V1" s="4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10" t="n"/>
      <c r="G2" s="10" t="n"/>
      <c r="H2" s="10" t="n"/>
      <c r="I2" s="2" t="n"/>
      <c r="J2" s="8" t="n"/>
      <c r="K2" s="8">
        <f>IF(J2="","",J2*Configuracion!$G$2)</f>
        <v/>
      </c>
      <c r="L2" s="8">
        <f>IF(J2="","",J2+K2)</f>
        <v/>
      </c>
      <c r="M2" s="8" t="n"/>
      <c r="N2" s="8" t="n"/>
      <c r="O2" s="8">
        <f>IF(OR(J2="",M2=""),"",J2-M2)</f>
        <v/>
      </c>
      <c r="P2" s="8">
        <f>IF(OR(J2="",N2=""),"",J2-N2)</f>
        <v/>
      </c>
      <c r="Q2" s="11">
        <f>IFERROR(P2/J2,"")</f>
        <v/>
      </c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10" t="n"/>
      <c r="G3" s="10" t="n"/>
      <c r="H3" s="10" t="n"/>
      <c r="I3" s="2" t="n"/>
      <c r="J3" s="8" t="n"/>
      <c r="K3" s="8">
        <f>IF(J3="","",J3*Configuracion!$G$2)</f>
        <v/>
      </c>
      <c r="L3" s="8">
        <f>IF(J3="","",J3+K3)</f>
        <v/>
      </c>
      <c r="M3" s="8" t="n"/>
      <c r="N3" s="8" t="n"/>
      <c r="O3" s="8">
        <f>IF(OR(J3="",M3=""),"",J3-M3)</f>
        <v/>
      </c>
      <c r="P3" s="8">
        <f>IF(OR(J3="",N3=""),"",J3-N3)</f>
        <v/>
      </c>
      <c r="Q3" s="11">
        <f>IFERROR(P3/J3,"")</f>
        <v/>
      </c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10" t="n"/>
      <c r="G4" s="10" t="n"/>
      <c r="H4" s="10" t="n"/>
      <c r="I4" s="2" t="n"/>
      <c r="J4" s="8" t="n"/>
      <c r="K4" s="8">
        <f>IF(J4="","",J4*Configuracion!$G$2)</f>
        <v/>
      </c>
      <c r="L4" s="8">
        <f>IF(J4="","",J4+K4)</f>
        <v/>
      </c>
      <c r="M4" s="8" t="n"/>
      <c r="N4" s="8" t="n"/>
      <c r="O4" s="8">
        <f>IF(OR(J4="",M4=""),"",J4-M4)</f>
        <v/>
      </c>
      <c r="P4" s="8">
        <f>IF(OR(J4="",N4=""),"",J4-N4)</f>
        <v/>
      </c>
      <c r="Q4" s="11">
        <f>IFERROR(P4/J4,"")</f>
        <v/>
      </c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10" t="n"/>
      <c r="G5" s="10" t="n"/>
      <c r="H5" s="10" t="n"/>
      <c r="I5" s="2" t="n"/>
      <c r="J5" s="8" t="n"/>
      <c r="K5" s="8">
        <f>IF(J5="","",J5*Configuracion!$G$2)</f>
        <v/>
      </c>
      <c r="L5" s="8">
        <f>IF(J5="","",J5+K5)</f>
        <v/>
      </c>
      <c r="M5" s="8" t="n"/>
      <c r="N5" s="8" t="n"/>
      <c r="O5" s="8">
        <f>IF(OR(J5="",M5=""),"",J5-M5)</f>
        <v/>
      </c>
      <c r="P5" s="8">
        <f>IF(OR(J5="",N5=""),"",J5-N5)</f>
        <v/>
      </c>
      <c r="Q5" s="11">
        <f>IFERROR(P5/J5,"")</f>
        <v/>
      </c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10" t="n"/>
      <c r="G6" s="10" t="n"/>
      <c r="H6" s="10" t="n"/>
      <c r="I6" s="2" t="n"/>
      <c r="J6" s="8" t="n"/>
      <c r="K6" s="8">
        <f>IF(J6="","",J6*Configuracion!$G$2)</f>
        <v/>
      </c>
      <c r="L6" s="8">
        <f>IF(J6="","",J6+K6)</f>
        <v/>
      </c>
      <c r="M6" s="8" t="n"/>
      <c r="N6" s="8" t="n"/>
      <c r="O6" s="8">
        <f>IF(OR(J6="",M6=""),"",J6-M6)</f>
        <v/>
      </c>
      <c r="P6" s="8">
        <f>IF(OR(J6="",N6=""),"",J6-N6)</f>
        <v/>
      </c>
      <c r="Q6" s="11">
        <f>IFERROR(P6/J6,"")</f>
        <v/>
      </c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10" t="n"/>
      <c r="G7" s="10" t="n"/>
      <c r="H7" s="10" t="n"/>
      <c r="I7" s="2" t="n"/>
      <c r="J7" s="8" t="n"/>
      <c r="K7" s="8">
        <f>IF(J7="","",J7*Configuracion!$G$2)</f>
        <v/>
      </c>
      <c r="L7" s="8">
        <f>IF(J7="","",J7+K7)</f>
        <v/>
      </c>
      <c r="M7" s="8" t="n"/>
      <c r="N7" s="8" t="n"/>
      <c r="O7" s="8">
        <f>IF(OR(J7="",M7=""),"",J7-M7)</f>
        <v/>
      </c>
      <c r="P7" s="8">
        <f>IF(OR(J7="",N7=""),"",J7-N7)</f>
        <v/>
      </c>
      <c r="Q7" s="11">
        <f>IFERROR(P7/J7,"")</f>
        <v/>
      </c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10" t="n"/>
      <c r="G8" s="10" t="n"/>
      <c r="H8" s="10" t="n"/>
      <c r="I8" s="2" t="n"/>
      <c r="J8" s="8" t="n"/>
      <c r="K8" s="8">
        <f>IF(J8="","",J8*Configuracion!$G$2)</f>
        <v/>
      </c>
      <c r="L8" s="8">
        <f>IF(J8="","",J8+K8)</f>
        <v/>
      </c>
      <c r="M8" s="8" t="n"/>
      <c r="N8" s="8" t="n"/>
      <c r="O8" s="8">
        <f>IF(OR(J8="",M8=""),"",J8-M8)</f>
        <v/>
      </c>
      <c r="P8" s="8">
        <f>IF(OR(J8="",N8=""),"",J8-N8)</f>
        <v/>
      </c>
      <c r="Q8" s="11">
        <f>IFERROR(P8/J8,"")</f>
        <v/>
      </c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10" t="n"/>
      <c r="G9" s="10" t="n"/>
      <c r="H9" s="10" t="n"/>
      <c r="I9" s="2" t="n"/>
      <c r="J9" s="8" t="n"/>
      <c r="K9" s="8">
        <f>IF(J9="","",J9*Configuracion!$G$2)</f>
        <v/>
      </c>
      <c r="L9" s="8">
        <f>IF(J9="","",J9+K9)</f>
        <v/>
      </c>
      <c r="M9" s="8" t="n"/>
      <c r="N9" s="8" t="n"/>
      <c r="O9" s="8">
        <f>IF(OR(J9="",M9=""),"",J9-M9)</f>
        <v/>
      </c>
      <c r="P9" s="8">
        <f>IF(OR(J9="",N9=""),"",J9-N9)</f>
        <v/>
      </c>
      <c r="Q9" s="11">
        <f>IFERROR(P9/J9,"")</f>
        <v/>
      </c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10" t="n"/>
      <c r="G10" s="10" t="n"/>
      <c r="H10" s="10" t="n"/>
      <c r="I10" s="2" t="n"/>
      <c r="J10" s="8" t="n"/>
      <c r="K10" s="8">
        <f>IF(J10="","",J10*Configuracion!$G$2)</f>
        <v/>
      </c>
      <c r="L10" s="8">
        <f>IF(J10="","",J10+K10)</f>
        <v/>
      </c>
      <c r="M10" s="8" t="n"/>
      <c r="N10" s="8" t="n"/>
      <c r="O10" s="8">
        <f>IF(OR(J10="",M10=""),"",J10-M10)</f>
        <v/>
      </c>
      <c r="P10" s="8">
        <f>IF(OR(J10="",N10=""),"",J10-N10)</f>
        <v/>
      </c>
      <c r="Q10" s="11">
        <f>IFERROR(P10/J10,"")</f>
        <v/>
      </c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10" t="n"/>
      <c r="G11" s="10" t="n"/>
      <c r="H11" s="10" t="n"/>
      <c r="I11" s="2" t="n"/>
      <c r="J11" s="8" t="n"/>
      <c r="K11" s="8">
        <f>IF(J11="","",J11*Configuracion!$G$2)</f>
        <v/>
      </c>
      <c r="L11" s="8">
        <f>IF(J11="","",J11+K11)</f>
        <v/>
      </c>
      <c r="M11" s="8" t="n"/>
      <c r="N11" s="8" t="n"/>
      <c r="O11" s="8">
        <f>IF(OR(J11="",M11=""),"",J11-M11)</f>
        <v/>
      </c>
      <c r="P11" s="8">
        <f>IF(OR(J11="",N11=""),"",J11-N11)</f>
        <v/>
      </c>
      <c r="Q11" s="11">
        <f>IFERROR(P11/J11,"")</f>
        <v/>
      </c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10" t="n"/>
      <c r="G12" s="10" t="n"/>
      <c r="H12" s="10" t="n"/>
      <c r="I12" s="2" t="n"/>
      <c r="J12" s="8" t="n"/>
      <c r="K12" s="8">
        <f>IF(J12="","",J12*Configuracion!$G$2)</f>
        <v/>
      </c>
      <c r="L12" s="8">
        <f>IF(J12="","",J12+K12)</f>
        <v/>
      </c>
      <c r="M12" s="8" t="n"/>
      <c r="N12" s="8" t="n"/>
      <c r="O12" s="8">
        <f>IF(OR(J12="",M12=""),"",J12-M12)</f>
        <v/>
      </c>
      <c r="P12" s="8">
        <f>IF(OR(J12="",N12=""),"",J12-N12)</f>
        <v/>
      </c>
      <c r="Q12" s="11">
        <f>IFERROR(P12/J12,"")</f>
        <v/>
      </c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10" t="n"/>
      <c r="G13" s="10" t="n"/>
      <c r="H13" s="10" t="n"/>
      <c r="I13" s="2" t="n"/>
      <c r="J13" s="8" t="n"/>
      <c r="K13" s="8">
        <f>IF(J13="","",J13*Configuracion!$G$2)</f>
        <v/>
      </c>
      <c r="L13" s="8">
        <f>IF(J13="","",J13+K13)</f>
        <v/>
      </c>
      <c r="M13" s="8" t="n"/>
      <c r="N13" s="8" t="n"/>
      <c r="O13" s="8">
        <f>IF(OR(J13="",M13=""),"",J13-M13)</f>
        <v/>
      </c>
      <c r="P13" s="8">
        <f>IF(OR(J13="",N13=""),"",J13-N13)</f>
        <v/>
      </c>
      <c r="Q13" s="11">
        <f>IFERROR(P13/J13,"")</f>
        <v/>
      </c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10" t="n"/>
      <c r="G14" s="10" t="n"/>
      <c r="H14" s="10" t="n"/>
      <c r="I14" s="2" t="n"/>
      <c r="J14" s="8" t="n"/>
      <c r="K14" s="8">
        <f>IF(J14="","",J14*Configuracion!$G$2)</f>
        <v/>
      </c>
      <c r="L14" s="8">
        <f>IF(J14="","",J14+K14)</f>
        <v/>
      </c>
      <c r="M14" s="8" t="n"/>
      <c r="N14" s="8" t="n"/>
      <c r="O14" s="8">
        <f>IF(OR(J14="",M14=""),"",J14-M14)</f>
        <v/>
      </c>
      <c r="P14" s="8">
        <f>IF(OR(J14="",N14=""),"",J14-N14)</f>
        <v/>
      </c>
      <c r="Q14" s="11">
        <f>IFERROR(P14/J14,"")</f>
        <v/>
      </c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10" t="n"/>
      <c r="G15" s="10" t="n"/>
      <c r="H15" s="10" t="n"/>
      <c r="I15" s="2" t="n"/>
      <c r="J15" s="8" t="n"/>
      <c r="K15" s="8">
        <f>IF(J15="","",J15*Configuracion!$G$2)</f>
        <v/>
      </c>
      <c r="L15" s="8">
        <f>IF(J15="","",J15+K15)</f>
        <v/>
      </c>
      <c r="M15" s="8" t="n"/>
      <c r="N15" s="8" t="n"/>
      <c r="O15" s="8">
        <f>IF(OR(J15="",M15=""),"",J15-M15)</f>
        <v/>
      </c>
      <c r="P15" s="8">
        <f>IF(OR(J15="",N15=""),"",J15-N15)</f>
        <v/>
      </c>
      <c r="Q15" s="11">
        <f>IFERROR(P15/J15,"")</f>
        <v/>
      </c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10" t="n"/>
      <c r="G16" s="10" t="n"/>
      <c r="H16" s="10" t="n"/>
      <c r="I16" s="2" t="n"/>
      <c r="J16" s="8" t="n"/>
      <c r="K16" s="8">
        <f>IF(J16="","",J16*Configuracion!$G$2)</f>
        <v/>
      </c>
      <c r="L16" s="8">
        <f>IF(J16="","",J16+K16)</f>
        <v/>
      </c>
      <c r="M16" s="8" t="n"/>
      <c r="N16" s="8" t="n"/>
      <c r="O16" s="8">
        <f>IF(OR(J16="",M16=""),"",J16-M16)</f>
        <v/>
      </c>
      <c r="P16" s="8">
        <f>IF(OR(J16="",N16=""),"",J16-N16)</f>
        <v/>
      </c>
      <c r="Q16" s="11">
        <f>IFERROR(P16/J16,"")</f>
        <v/>
      </c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10" t="n"/>
      <c r="G17" s="10" t="n"/>
      <c r="H17" s="10" t="n"/>
      <c r="I17" s="2" t="n"/>
      <c r="J17" s="8" t="n"/>
      <c r="K17" s="8">
        <f>IF(J17="","",J17*Configuracion!$G$2)</f>
        <v/>
      </c>
      <c r="L17" s="8">
        <f>IF(J17="","",J17+K17)</f>
        <v/>
      </c>
      <c r="M17" s="8" t="n"/>
      <c r="N17" s="8" t="n"/>
      <c r="O17" s="8">
        <f>IF(OR(J17="",M17=""),"",J17-M17)</f>
        <v/>
      </c>
      <c r="P17" s="8">
        <f>IF(OR(J17="",N17=""),"",J17-N17)</f>
        <v/>
      </c>
      <c r="Q17" s="11">
        <f>IFERROR(P17/J17,"")</f>
        <v/>
      </c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10" t="n"/>
      <c r="G18" s="10" t="n"/>
      <c r="H18" s="10" t="n"/>
      <c r="I18" s="2" t="n"/>
      <c r="J18" s="8" t="n"/>
      <c r="K18" s="8">
        <f>IF(J18="","",J18*Configuracion!$G$2)</f>
        <v/>
      </c>
      <c r="L18" s="8">
        <f>IF(J18="","",J18+K18)</f>
        <v/>
      </c>
      <c r="M18" s="8" t="n"/>
      <c r="N18" s="8" t="n"/>
      <c r="O18" s="8">
        <f>IF(OR(J18="",M18=""),"",J18-M18)</f>
        <v/>
      </c>
      <c r="P18" s="8">
        <f>IF(OR(J18="",N18=""),"",J18-N18)</f>
        <v/>
      </c>
      <c r="Q18" s="11">
        <f>IFERROR(P18/J18,"")</f>
        <v/>
      </c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10" t="n"/>
      <c r="G19" s="10" t="n"/>
      <c r="H19" s="10" t="n"/>
      <c r="I19" s="2" t="n"/>
      <c r="J19" s="8" t="n"/>
      <c r="K19" s="8">
        <f>IF(J19="","",J19*Configuracion!$G$2)</f>
        <v/>
      </c>
      <c r="L19" s="8">
        <f>IF(J19="","",J19+K19)</f>
        <v/>
      </c>
      <c r="M19" s="8" t="n"/>
      <c r="N19" s="8" t="n"/>
      <c r="O19" s="8">
        <f>IF(OR(J19="",M19=""),"",J19-M19)</f>
        <v/>
      </c>
      <c r="P19" s="8">
        <f>IF(OR(J19="",N19=""),"",J19-N19)</f>
        <v/>
      </c>
      <c r="Q19" s="11">
        <f>IFERROR(P19/J19,"")</f>
        <v/>
      </c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10" t="n"/>
      <c r="G20" s="10" t="n"/>
      <c r="H20" s="10" t="n"/>
      <c r="I20" s="2" t="n"/>
      <c r="J20" s="8" t="n"/>
      <c r="K20" s="8">
        <f>IF(J20="","",J20*Configuracion!$G$2)</f>
        <v/>
      </c>
      <c r="L20" s="8">
        <f>IF(J20="","",J20+K20)</f>
        <v/>
      </c>
      <c r="M20" s="8" t="n"/>
      <c r="N20" s="8" t="n"/>
      <c r="O20" s="8">
        <f>IF(OR(J20="",M20=""),"",J20-M20)</f>
        <v/>
      </c>
      <c r="P20" s="8">
        <f>IF(OR(J20="",N20=""),"",J20-N20)</f>
        <v/>
      </c>
      <c r="Q20" s="11">
        <f>IFERROR(P20/J20,"")</f>
        <v/>
      </c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10" t="n"/>
      <c r="G21" s="10" t="n"/>
      <c r="H21" s="10" t="n"/>
      <c r="I21" s="2" t="n"/>
      <c r="J21" s="8" t="n"/>
      <c r="K21" s="8">
        <f>IF(J21="","",J21*Configuracion!$G$2)</f>
        <v/>
      </c>
      <c r="L21" s="8">
        <f>IF(J21="","",J21+K21)</f>
        <v/>
      </c>
      <c r="M21" s="8" t="n"/>
      <c r="N21" s="8" t="n"/>
      <c r="O21" s="8">
        <f>IF(OR(J21="",M21=""),"",J21-M21)</f>
        <v/>
      </c>
      <c r="P21" s="8">
        <f>IF(OR(J21="",N21=""),"",J21-N21)</f>
        <v/>
      </c>
      <c r="Q21" s="11">
        <f>IFERROR(P21/J21,"")</f>
        <v/>
      </c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10" t="n"/>
      <c r="G22" s="10" t="n"/>
      <c r="H22" s="10" t="n"/>
      <c r="I22" s="2" t="n"/>
      <c r="J22" s="8" t="n"/>
      <c r="K22" s="8">
        <f>IF(J22="","",J22*Configuracion!$G$2)</f>
        <v/>
      </c>
      <c r="L22" s="8">
        <f>IF(J22="","",J22+K22)</f>
        <v/>
      </c>
      <c r="M22" s="8" t="n"/>
      <c r="N22" s="8" t="n"/>
      <c r="O22" s="8">
        <f>IF(OR(J22="",M22=""),"",J22-M22)</f>
        <v/>
      </c>
      <c r="P22" s="8">
        <f>IF(OR(J22="",N22=""),"",J22-N22)</f>
        <v/>
      </c>
      <c r="Q22" s="11">
        <f>IFERROR(P22/J22,"")</f>
        <v/>
      </c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10" t="n"/>
      <c r="G23" s="10" t="n"/>
      <c r="H23" s="10" t="n"/>
      <c r="I23" s="2" t="n"/>
      <c r="J23" s="8" t="n"/>
      <c r="K23" s="8">
        <f>IF(J23="","",J23*Configuracion!$G$2)</f>
        <v/>
      </c>
      <c r="L23" s="8">
        <f>IF(J23="","",J23+K23)</f>
        <v/>
      </c>
      <c r="M23" s="8" t="n"/>
      <c r="N23" s="8" t="n"/>
      <c r="O23" s="8">
        <f>IF(OR(J23="",M23=""),"",J23-M23)</f>
        <v/>
      </c>
      <c r="P23" s="8">
        <f>IF(OR(J23="",N23=""),"",J23-N23)</f>
        <v/>
      </c>
      <c r="Q23" s="11">
        <f>IFERROR(P23/J23,"")</f>
        <v/>
      </c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10" t="n"/>
      <c r="G24" s="10" t="n"/>
      <c r="H24" s="10" t="n"/>
      <c r="I24" s="2" t="n"/>
      <c r="J24" s="8" t="n"/>
      <c r="K24" s="8">
        <f>IF(J24="","",J24*Configuracion!$G$2)</f>
        <v/>
      </c>
      <c r="L24" s="8">
        <f>IF(J24="","",J24+K24)</f>
        <v/>
      </c>
      <c r="M24" s="8" t="n"/>
      <c r="N24" s="8" t="n"/>
      <c r="O24" s="8">
        <f>IF(OR(J24="",M24=""),"",J24-M24)</f>
        <v/>
      </c>
      <c r="P24" s="8">
        <f>IF(OR(J24="",N24=""),"",J24-N24)</f>
        <v/>
      </c>
      <c r="Q24" s="11">
        <f>IFERROR(P24/J24,"")</f>
        <v/>
      </c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10" t="n"/>
      <c r="G25" s="10" t="n"/>
      <c r="H25" s="10" t="n"/>
      <c r="I25" s="2" t="n"/>
      <c r="J25" s="8" t="n"/>
      <c r="K25" s="8">
        <f>IF(J25="","",J25*Configuracion!$G$2)</f>
        <v/>
      </c>
      <c r="L25" s="8">
        <f>IF(J25="","",J25+K25)</f>
        <v/>
      </c>
      <c r="M25" s="8" t="n"/>
      <c r="N25" s="8" t="n"/>
      <c r="O25" s="8">
        <f>IF(OR(J25="",M25=""),"",J25-M25)</f>
        <v/>
      </c>
      <c r="P25" s="8">
        <f>IF(OR(J25="",N25=""),"",J25-N25)</f>
        <v/>
      </c>
      <c r="Q25" s="11">
        <f>IFERROR(P25/J25,"")</f>
        <v/>
      </c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10" t="n"/>
      <c r="G26" s="10" t="n"/>
      <c r="H26" s="10" t="n"/>
      <c r="I26" s="2" t="n"/>
      <c r="J26" s="8" t="n"/>
      <c r="K26" s="8">
        <f>IF(J26="","",J26*Configuracion!$G$2)</f>
        <v/>
      </c>
      <c r="L26" s="8">
        <f>IF(J26="","",J26+K26)</f>
        <v/>
      </c>
      <c r="M26" s="8" t="n"/>
      <c r="N26" s="8" t="n"/>
      <c r="O26" s="8">
        <f>IF(OR(J26="",M26=""),"",J26-M26)</f>
        <v/>
      </c>
      <c r="P26" s="8">
        <f>IF(OR(J26="",N26=""),"",J26-N26)</f>
        <v/>
      </c>
      <c r="Q26" s="11">
        <f>IFERROR(P26/J26,"")</f>
        <v/>
      </c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10" t="n"/>
      <c r="G27" s="10" t="n"/>
      <c r="H27" s="10" t="n"/>
      <c r="I27" s="2" t="n"/>
      <c r="J27" s="8" t="n"/>
      <c r="K27" s="8">
        <f>IF(J27="","",J27*Configuracion!$G$2)</f>
        <v/>
      </c>
      <c r="L27" s="8">
        <f>IF(J27="","",J27+K27)</f>
        <v/>
      </c>
      <c r="M27" s="8" t="n"/>
      <c r="N27" s="8" t="n"/>
      <c r="O27" s="8">
        <f>IF(OR(J27="",M27=""),"",J27-M27)</f>
        <v/>
      </c>
      <c r="P27" s="8">
        <f>IF(OR(J27="",N27=""),"",J27-N27)</f>
        <v/>
      </c>
      <c r="Q27" s="11">
        <f>IFERROR(P27/J27,"")</f>
        <v/>
      </c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10" t="n"/>
      <c r="G28" s="10" t="n"/>
      <c r="H28" s="10" t="n"/>
      <c r="I28" s="2" t="n"/>
      <c r="J28" s="8" t="n"/>
      <c r="K28" s="8">
        <f>IF(J28="","",J28*Configuracion!$G$2)</f>
        <v/>
      </c>
      <c r="L28" s="8">
        <f>IF(J28="","",J28+K28)</f>
        <v/>
      </c>
      <c r="M28" s="8" t="n"/>
      <c r="N28" s="8" t="n"/>
      <c r="O28" s="8">
        <f>IF(OR(J28="",M28=""),"",J28-M28)</f>
        <v/>
      </c>
      <c r="P28" s="8">
        <f>IF(OR(J28="",N28=""),"",J28-N28)</f>
        <v/>
      </c>
      <c r="Q28" s="11">
        <f>IFERROR(P28/J28,"")</f>
        <v/>
      </c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10" t="n"/>
      <c r="G29" s="10" t="n"/>
      <c r="H29" s="10" t="n"/>
      <c r="I29" s="2" t="n"/>
      <c r="J29" s="8" t="n"/>
      <c r="K29" s="8">
        <f>IF(J29="","",J29*Configuracion!$G$2)</f>
        <v/>
      </c>
      <c r="L29" s="8">
        <f>IF(J29="","",J29+K29)</f>
        <v/>
      </c>
      <c r="M29" s="8" t="n"/>
      <c r="N29" s="8" t="n"/>
      <c r="O29" s="8">
        <f>IF(OR(J29="",M29=""),"",J29-M29)</f>
        <v/>
      </c>
      <c r="P29" s="8">
        <f>IF(OR(J29="",N29=""),"",J29-N29)</f>
        <v/>
      </c>
      <c r="Q29" s="11">
        <f>IFERROR(P29/J29,"")</f>
        <v/>
      </c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10" t="n"/>
      <c r="G30" s="10" t="n"/>
      <c r="H30" s="10" t="n"/>
      <c r="I30" s="2" t="n"/>
      <c r="J30" s="8" t="n"/>
      <c r="K30" s="8">
        <f>IF(J30="","",J30*Configuracion!$G$2)</f>
        <v/>
      </c>
      <c r="L30" s="8">
        <f>IF(J30="","",J30+K30)</f>
        <v/>
      </c>
      <c r="M30" s="8" t="n"/>
      <c r="N30" s="8" t="n"/>
      <c r="O30" s="8">
        <f>IF(OR(J30="",M30=""),"",J30-M30)</f>
        <v/>
      </c>
      <c r="P30" s="8">
        <f>IF(OR(J30="",N30=""),"",J30-N30)</f>
        <v/>
      </c>
      <c r="Q30" s="11">
        <f>IFERROR(P30/J30,"")</f>
        <v/>
      </c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10" t="n"/>
      <c r="G31" s="10" t="n"/>
      <c r="H31" s="10" t="n"/>
      <c r="I31" s="2" t="n"/>
      <c r="J31" s="8" t="n"/>
      <c r="K31" s="8">
        <f>IF(J31="","",J31*Configuracion!$G$2)</f>
        <v/>
      </c>
      <c r="L31" s="8">
        <f>IF(J31="","",J31+K31)</f>
        <v/>
      </c>
      <c r="M31" s="8" t="n"/>
      <c r="N31" s="8" t="n"/>
      <c r="O31" s="8">
        <f>IF(OR(J31="",M31=""),"",J31-M31)</f>
        <v/>
      </c>
      <c r="P31" s="8">
        <f>IF(OR(J31="",N31=""),"",J31-N31)</f>
        <v/>
      </c>
      <c r="Q31" s="11">
        <f>IFERROR(P31/J31,"")</f>
        <v/>
      </c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10" t="n"/>
      <c r="G32" s="10" t="n"/>
      <c r="H32" s="10" t="n"/>
      <c r="I32" s="2" t="n"/>
      <c r="J32" s="8" t="n"/>
      <c r="K32" s="8">
        <f>IF(J32="","",J32*Configuracion!$G$2)</f>
        <v/>
      </c>
      <c r="L32" s="8">
        <f>IF(J32="","",J32+K32)</f>
        <v/>
      </c>
      <c r="M32" s="8" t="n"/>
      <c r="N32" s="8" t="n"/>
      <c r="O32" s="8">
        <f>IF(OR(J32="",M32=""),"",J32-M32)</f>
        <v/>
      </c>
      <c r="P32" s="8">
        <f>IF(OR(J32="",N32=""),"",J32-N32)</f>
        <v/>
      </c>
      <c r="Q32" s="11">
        <f>IFERROR(P32/J32,"")</f>
        <v/>
      </c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10" t="n"/>
      <c r="G33" s="10" t="n"/>
      <c r="H33" s="10" t="n"/>
      <c r="I33" s="2" t="n"/>
      <c r="J33" s="8" t="n"/>
      <c r="K33" s="8">
        <f>IF(J33="","",J33*Configuracion!$G$2)</f>
        <v/>
      </c>
      <c r="L33" s="8">
        <f>IF(J33="","",J33+K33)</f>
        <v/>
      </c>
      <c r="M33" s="8" t="n"/>
      <c r="N33" s="8" t="n"/>
      <c r="O33" s="8">
        <f>IF(OR(J33="",M33=""),"",J33-M33)</f>
        <v/>
      </c>
      <c r="P33" s="8">
        <f>IF(OR(J33="",N33=""),"",J33-N33)</f>
        <v/>
      </c>
      <c r="Q33" s="11">
        <f>IFERROR(P33/J33,"")</f>
        <v/>
      </c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10" t="n"/>
      <c r="G34" s="10" t="n"/>
      <c r="H34" s="10" t="n"/>
      <c r="I34" s="2" t="n"/>
      <c r="J34" s="8" t="n"/>
      <c r="K34" s="8">
        <f>IF(J34="","",J34*Configuracion!$G$2)</f>
        <v/>
      </c>
      <c r="L34" s="8">
        <f>IF(J34="","",J34+K34)</f>
        <v/>
      </c>
      <c r="M34" s="8" t="n"/>
      <c r="N34" s="8" t="n"/>
      <c r="O34" s="8">
        <f>IF(OR(J34="",M34=""),"",J34-M34)</f>
        <v/>
      </c>
      <c r="P34" s="8">
        <f>IF(OR(J34="",N34=""),"",J34-N34)</f>
        <v/>
      </c>
      <c r="Q34" s="11">
        <f>IFERROR(P34/J34,"")</f>
        <v/>
      </c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10" t="n"/>
      <c r="G35" s="10" t="n"/>
      <c r="H35" s="10" t="n"/>
      <c r="I35" s="2" t="n"/>
      <c r="J35" s="8" t="n"/>
      <c r="K35" s="8">
        <f>IF(J35="","",J35*Configuracion!$G$2)</f>
        <v/>
      </c>
      <c r="L35" s="8">
        <f>IF(J35="","",J35+K35)</f>
        <v/>
      </c>
      <c r="M35" s="8" t="n"/>
      <c r="N35" s="8" t="n"/>
      <c r="O35" s="8">
        <f>IF(OR(J35="",M35=""),"",J35-M35)</f>
        <v/>
      </c>
      <c r="P35" s="8">
        <f>IF(OR(J35="",N35=""),"",J35-N35)</f>
        <v/>
      </c>
      <c r="Q35" s="11">
        <f>IFERROR(P35/J35,"")</f>
        <v/>
      </c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10" t="n"/>
      <c r="G36" s="10" t="n"/>
      <c r="H36" s="10" t="n"/>
      <c r="I36" s="2" t="n"/>
      <c r="J36" s="8" t="n"/>
      <c r="K36" s="8">
        <f>IF(J36="","",J36*Configuracion!$G$2)</f>
        <v/>
      </c>
      <c r="L36" s="8">
        <f>IF(J36="","",J36+K36)</f>
        <v/>
      </c>
      <c r="M36" s="8" t="n"/>
      <c r="N36" s="8" t="n"/>
      <c r="O36" s="8">
        <f>IF(OR(J36="",M36=""),"",J36-M36)</f>
        <v/>
      </c>
      <c r="P36" s="8">
        <f>IF(OR(J36="",N36=""),"",J36-N36)</f>
        <v/>
      </c>
      <c r="Q36" s="11">
        <f>IFERROR(P36/J36,"")</f>
        <v/>
      </c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10" t="n"/>
      <c r="G37" s="10" t="n"/>
      <c r="H37" s="10" t="n"/>
      <c r="I37" s="2" t="n"/>
      <c r="J37" s="8" t="n"/>
      <c r="K37" s="8">
        <f>IF(J37="","",J37*Configuracion!$G$2)</f>
        <v/>
      </c>
      <c r="L37" s="8">
        <f>IF(J37="","",J37+K37)</f>
        <v/>
      </c>
      <c r="M37" s="8" t="n"/>
      <c r="N37" s="8" t="n"/>
      <c r="O37" s="8">
        <f>IF(OR(J37="",M37=""),"",J37-M37)</f>
        <v/>
      </c>
      <c r="P37" s="8">
        <f>IF(OR(J37="",N37=""),"",J37-N37)</f>
        <v/>
      </c>
      <c r="Q37" s="11">
        <f>IFERROR(P37/J37,"")</f>
        <v/>
      </c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10" t="n"/>
      <c r="G38" s="10" t="n"/>
      <c r="H38" s="10" t="n"/>
      <c r="I38" s="2" t="n"/>
      <c r="J38" s="8" t="n"/>
      <c r="K38" s="8">
        <f>IF(J38="","",J38*Configuracion!$G$2)</f>
        <v/>
      </c>
      <c r="L38" s="8">
        <f>IF(J38="","",J38+K38)</f>
        <v/>
      </c>
      <c r="M38" s="8" t="n"/>
      <c r="N38" s="8" t="n"/>
      <c r="O38" s="8">
        <f>IF(OR(J38="",M38=""),"",J38-M38)</f>
        <v/>
      </c>
      <c r="P38" s="8">
        <f>IF(OR(J38="",N38=""),"",J38-N38)</f>
        <v/>
      </c>
      <c r="Q38" s="11">
        <f>IFERROR(P38/J38,"")</f>
        <v/>
      </c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10" t="n"/>
      <c r="G39" s="10" t="n"/>
      <c r="H39" s="10" t="n"/>
      <c r="I39" s="2" t="n"/>
      <c r="J39" s="8" t="n"/>
      <c r="K39" s="8">
        <f>IF(J39="","",J39*Configuracion!$G$2)</f>
        <v/>
      </c>
      <c r="L39" s="8">
        <f>IF(J39="","",J39+K39)</f>
        <v/>
      </c>
      <c r="M39" s="8" t="n"/>
      <c r="N39" s="8" t="n"/>
      <c r="O39" s="8">
        <f>IF(OR(J39="",M39=""),"",J39-M39)</f>
        <v/>
      </c>
      <c r="P39" s="8">
        <f>IF(OR(J39="",N39=""),"",J39-N39)</f>
        <v/>
      </c>
      <c r="Q39" s="11">
        <f>IFERROR(P39/J39,"")</f>
        <v/>
      </c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10" t="n"/>
      <c r="G40" s="10" t="n"/>
      <c r="H40" s="10" t="n"/>
      <c r="I40" s="2" t="n"/>
      <c r="J40" s="8" t="n"/>
      <c r="K40" s="8">
        <f>IF(J40="","",J40*Configuracion!$G$2)</f>
        <v/>
      </c>
      <c r="L40" s="8">
        <f>IF(J40="","",J40+K40)</f>
        <v/>
      </c>
      <c r="M40" s="8" t="n"/>
      <c r="N40" s="8" t="n"/>
      <c r="O40" s="8">
        <f>IF(OR(J40="",M40=""),"",J40-M40)</f>
        <v/>
      </c>
      <c r="P40" s="8">
        <f>IF(OR(J40="",N40=""),"",J40-N40)</f>
        <v/>
      </c>
      <c r="Q40" s="11">
        <f>IFERROR(P40/J40,"")</f>
        <v/>
      </c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10" t="n"/>
      <c r="G41" s="10" t="n"/>
      <c r="H41" s="10" t="n"/>
      <c r="I41" s="2" t="n"/>
      <c r="J41" s="8" t="n"/>
      <c r="K41" s="8">
        <f>IF(J41="","",J41*Configuracion!$G$2)</f>
        <v/>
      </c>
      <c r="L41" s="8">
        <f>IF(J41="","",J41+K41)</f>
        <v/>
      </c>
      <c r="M41" s="8" t="n"/>
      <c r="N41" s="8" t="n"/>
      <c r="O41" s="8">
        <f>IF(OR(J41="",M41=""),"",J41-M41)</f>
        <v/>
      </c>
      <c r="P41" s="8">
        <f>IF(OR(J41="",N41=""),"",J41-N41)</f>
        <v/>
      </c>
      <c r="Q41" s="11">
        <f>IFERROR(P41/J41,"")</f>
        <v/>
      </c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10" t="n"/>
      <c r="G42" s="10" t="n"/>
      <c r="H42" s="10" t="n"/>
      <c r="I42" s="2" t="n"/>
      <c r="J42" s="8" t="n"/>
      <c r="K42" s="8">
        <f>IF(J42="","",J42*Configuracion!$G$2)</f>
        <v/>
      </c>
      <c r="L42" s="8">
        <f>IF(J42="","",J42+K42)</f>
        <v/>
      </c>
      <c r="M42" s="8" t="n"/>
      <c r="N42" s="8" t="n"/>
      <c r="O42" s="8">
        <f>IF(OR(J42="",M42=""),"",J42-M42)</f>
        <v/>
      </c>
      <c r="P42" s="8">
        <f>IF(OR(J42="",N42=""),"",J42-N42)</f>
        <v/>
      </c>
      <c r="Q42" s="11">
        <f>IFERROR(P42/J42,"")</f>
        <v/>
      </c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10" t="n"/>
      <c r="G43" s="10" t="n"/>
      <c r="H43" s="10" t="n"/>
      <c r="I43" s="2" t="n"/>
      <c r="J43" s="8" t="n"/>
      <c r="K43" s="8">
        <f>IF(J43="","",J43*Configuracion!$G$2)</f>
        <v/>
      </c>
      <c r="L43" s="8">
        <f>IF(J43="","",J43+K43)</f>
        <v/>
      </c>
      <c r="M43" s="8" t="n"/>
      <c r="N43" s="8" t="n"/>
      <c r="O43" s="8">
        <f>IF(OR(J43="",M43=""),"",J43-M43)</f>
        <v/>
      </c>
      <c r="P43" s="8">
        <f>IF(OR(J43="",N43=""),"",J43-N43)</f>
        <v/>
      </c>
      <c r="Q43" s="11">
        <f>IFERROR(P43/J43,"")</f>
        <v/>
      </c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10" t="n"/>
      <c r="G44" s="10" t="n"/>
      <c r="H44" s="10" t="n"/>
      <c r="I44" s="2" t="n"/>
      <c r="J44" s="8" t="n"/>
      <c r="K44" s="8">
        <f>IF(J44="","",J44*Configuracion!$G$2)</f>
        <v/>
      </c>
      <c r="L44" s="8">
        <f>IF(J44="","",J44+K44)</f>
        <v/>
      </c>
      <c r="M44" s="8" t="n"/>
      <c r="N44" s="8" t="n"/>
      <c r="O44" s="8">
        <f>IF(OR(J44="",M44=""),"",J44-M44)</f>
        <v/>
      </c>
      <c r="P44" s="8">
        <f>IF(OR(J44="",N44=""),"",J44-N44)</f>
        <v/>
      </c>
      <c r="Q44" s="11">
        <f>IFERROR(P44/J44,"")</f>
        <v/>
      </c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10" t="n"/>
      <c r="G45" s="10" t="n"/>
      <c r="H45" s="10" t="n"/>
      <c r="I45" s="2" t="n"/>
      <c r="J45" s="8" t="n"/>
      <c r="K45" s="8">
        <f>IF(J45="","",J45*Configuracion!$G$2)</f>
        <v/>
      </c>
      <c r="L45" s="8">
        <f>IF(J45="","",J45+K45)</f>
        <v/>
      </c>
      <c r="M45" s="8" t="n"/>
      <c r="N45" s="8" t="n"/>
      <c r="O45" s="8">
        <f>IF(OR(J45="",M45=""),"",J45-M45)</f>
        <v/>
      </c>
      <c r="P45" s="8">
        <f>IF(OR(J45="",N45=""),"",J45-N45)</f>
        <v/>
      </c>
      <c r="Q45" s="11">
        <f>IFERROR(P45/J45,"")</f>
        <v/>
      </c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10" t="n"/>
      <c r="G46" s="10" t="n"/>
      <c r="H46" s="10" t="n"/>
      <c r="I46" s="2" t="n"/>
      <c r="J46" s="8" t="n"/>
      <c r="K46" s="8">
        <f>IF(J46="","",J46*Configuracion!$G$2)</f>
        <v/>
      </c>
      <c r="L46" s="8">
        <f>IF(J46="","",J46+K46)</f>
        <v/>
      </c>
      <c r="M46" s="8" t="n"/>
      <c r="N46" s="8" t="n"/>
      <c r="O46" s="8">
        <f>IF(OR(J46="",M46=""),"",J46-M46)</f>
        <v/>
      </c>
      <c r="P46" s="8">
        <f>IF(OR(J46="",N46=""),"",J46-N46)</f>
        <v/>
      </c>
      <c r="Q46" s="11">
        <f>IFERROR(P46/J46,"")</f>
        <v/>
      </c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10" t="n"/>
      <c r="G47" s="10" t="n"/>
      <c r="H47" s="10" t="n"/>
      <c r="I47" s="2" t="n"/>
      <c r="J47" s="8" t="n"/>
      <c r="K47" s="8">
        <f>IF(J47="","",J47*Configuracion!$G$2)</f>
        <v/>
      </c>
      <c r="L47" s="8">
        <f>IF(J47="","",J47+K47)</f>
        <v/>
      </c>
      <c r="M47" s="8" t="n"/>
      <c r="N47" s="8" t="n"/>
      <c r="O47" s="8">
        <f>IF(OR(J47="",M47=""),"",J47-M47)</f>
        <v/>
      </c>
      <c r="P47" s="8">
        <f>IF(OR(J47="",N47=""),"",J47-N47)</f>
        <v/>
      </c>
      <c r="Q47" s="11">
        <f>IFERROR(P47/J47,"")</f>
        <v/>
      </c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10" t="n"/>
      <c r="G48" s="10" t="n"/>
      <c r="H48" s="10" t="n"/>
      <c r="I48" s="2" t="n"/>
      <c r="J48" s="8" t="n"/>
      <c r="K48" s="8">
        <f>IF(J48="","",J48*Configuracion!$G$2)</f>
        <v/>
      </c>
      <c r="L48" s="8">
        <f>IF(J48="","",J48+K48)</f>
        <v/>
      </c>
      <c r="M48" s="8" t="n"/>
      <c r="N48" s="8" t="n"/>
      <c r="O48" s="8">
        <f>IF(OR(J48="",M48=""),"",J48-M48)</f>
        <v/>
      </c>
      <c r="P48" s="8">
        <f>IF(OR(J48="",N48=""),"",J48-N48)</f>
        <v/>
      </c>
      <c r="Q48" s="11">
        <f>IFERROR(P48/J48,"")</f>
        <v/>
      </c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10" t="n"/>
      <c r="G49" s="10" t="n"/>
      <c r="H49" s="10" t="n"/>
      <c r="I49" s="2" t="n"/>
      <c r="J49" s="8" t="n"/>
      <c r="K49" s="8">
        <f>IF(J49="","",J49*Configuracion!$G$2)</f>
        <v/>
      </c>
      <c r="L49" s="8">
        <f>IF(J49="","",J49+K49)</f>
        <v/>
      </c>
      <c r="M49" s="8" t="n"/>
      <c r="N49" s="8" t="n"/>
      <c r="O49" s="8">
        <f>IF(OR(J49="",M49=""),"",J49-M49)</f>
        <v/>
      </c>
      <c r="P49" s="8">
        <f>IF(OR(J49="",N49=""),"",J49-N49)</f>
        <v/>
      </c>
      <c r="Q49" s="11">
        <f>IFERROR(P49/J49,"")</f>
        <v/>
      </c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10" t="n"/>
      <c r="G50" s="10" t="n"/>
      <c r="H50" s="10" t="n"/>
      <c r="I50" s="2" t="n"/>
      <c r="J50" s="8" t="n"/>
      <c r="K50" s="8">
        <f>IF(J50="","",J50*Configuracion!$G$2)</f>
        <v/>
      </c>
      <c r="L50" s="8">
        <f>IF(J50="","",J50+K50)</f>
        <v/>
      </c>
      <c r="M50" s="8" t="n"/>
      <c r="N50" s="8" t="n"/>
      <c r="O50" s="8">
        <f>IF(OR(J50="",M50=""),"",J50-M50)</f>
        <v/>
      </c>
      <c r="P50" s="8">
        <f>IF(OR(J50="",N50=""),"",J50-N50)</f>
        <v/>
      </c>
      <c r="Q50" s="11">
        <f>IFERROR(P50/J50,"")</f>
        <v/>
      </c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10" t="n"/>
      <c r="G51" s="10" t="n"/>
      <c r="H51" s="10" t="n"/>
      <c r="I51" s="2" t="n"/>
      <c r="J51" s="8" t="n"/>
      <c r="K51" s="8">
        <f>IF(J51="","",J51*Configuracion!$G$2)</f>
        <v/>
      </c>
      <c r="L51" s="8">
        <f>IF(J51="","",J51+K51)</f>
        <v/>
      </c>
      <c r="M51" s="8" t="n"/>
      <c r="N51" s="8" t="n"/>
      <c r="O51" s="8">
        <f>IF(OR(J51="",M51=""),"",J51-M51)</f>
        <v/>
      </c>
      <c r="P51" s="8">
        <f>IF(OR(J51="",N51=""),"",J51-N51)</f>
        <v/>
      </c>
      <c r="Q51" s="11">
        <f>IFERROR(P51/J51,"")</f>
        <v/>
      </c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10" t="n"/>
      <c r="G52" s="10" t="n"/>
      <c r="H52" s="10" t="n"/>
      <c r="I52" s="2" t="n"/>
      <c r="J52" s="8" t="n"/>
      <c r="K52" s="8">
        <f>IF(J52="","",J52*Configuracion!$G$2)</f>
        <v/>
      </c>
      <c r="L52" s="8">
        <f>IF(J52="","",J52+K52)</f>
        <v/>
      </c>
      <c r="M52" s="8" t="n"/>
      <c r="N52" s="8" t="n"/>
      <c r="O52" s="8">
        <f>IF(OR(J52="",M52=""),"",J52-M52)</f>
        <v/>
      </c>
      <c r="P52" s="8">
        <f>IF(OR(J52="",N52=""),"",J52-N52)</f>
        <v/>
      </c>
      <c r="Q52" s="11">
        <f>IFERROR(P52/J52,"")</f>
        <v/>
      </c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10" t="n"/>
      <c r="G53" s="10" t="n"/>
      <c r="H53" s="10" t="n"/>
      <c r="I53" s="2" t="n"/>
      <c r="J53" s="8" t="n"/>
      <c r="K53" s="8">
        <f>IF(J53="","",J53*Configuracion!$G$2)</f>
        <v/>
      </c>
      <c r="L53" s="8">
        <f>IF(J53="","",J53+K53)</f>
        <v/>
      </c>
      <c r="M53" s="8" t="n"/>
      <c r="N53" s="8" t="n"/>
      <c r="O53" s="8">
        <f>IF(OR(J53="",M53=""),"",J53-M53)</f>
        <v/>
      </c>
      <c r="P53" s="8">
        <f>IF(OR(J53="",N53=""),"",J53-N53)</f>
        <v/>
      </c>
      <c r="Q53" s="11">
        <f>IFERROR(P53/J53,"")</f>
        <v/>
      </c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10" t="n"/>
      <c r="G54" s="10" t="n"/>
      <c r="H54" s="10" t="n"/>
      <c r="I54" s="2" t="n"/>
      <c r="J54" s="8" t="n"/>
      <c r="K54" s="8">
        <f>IF(J54="","",J54*Configuracion!$G$2)</f>
        <v/>
      </c>
      <c r="L54" s="8">
        <f>IF(J54="","",J54+K54)</f>
        <v/>
      </c>
      <c r="M54" s="8" t="n"/>
      <c r="N54" s="8" t="n"/>
      <c r="O54" s="8">
        <f>IF(OR(J54="",M54=""),"",J54-M54)</f>
        <v/>
      </c>
      <c r="P54" s="8">
        <f>IF(OR(J54="",N54=""),"",J54-N54)</f>
        <v/>
      </c>
      <c r="Q54" s="11">
        <f>IFERROR(P54/J54,"")</f>
        <v/>
      </c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10" t="n"/>
      <c r="G55" s="10" t="n"/>
      <c r="H55" s="10" t="n"/>
      <c r="I55" s="2" t="n"/>
      <c r="J55" s="8" t="n"/>
      <c r="K55" s="8">
        <f>IF(J55="","",J55*Configuracion!$G$2)</f>
        <v/>
      </c>
      <c r="L55" s="8">
        <f>IF(J55="","",J55+K55)</f>
        <v/>
      </c>
      <c r="M55" s="8" t="n"/>
      <c r="N55" s="8" t="n"/>
      <c r="O55" s="8">
        <f>IF(OR(J55="",M55=""),"",J55-M55)</f>
        <v/>
      </c>
      <c r="P55" s="8">
        <f>IF(OR(J55="",N55=""),"",J55-N55)</f>
        <v/>
      </c>
      <c r="Q55" s="11">
        <f>IFERROR(P55/J55,"")</f>
        <v/>
      </c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10" t="n"/>
      <c r="G56" s="10" t="n"/>
      <c r="H56" s="10" t="n"/>
      <c r="I56" s="2" t="n"/>
      <c r="J56" s="8" t="n"/>
      <c r="K56" s="8">
        <f>IF(J56="","",J56*Configuracion!$G$2)</f>
        <v/>
      </c>
      <c r="L56" s="8">
        <f>IF(J56="","",J56+K56)</f>
        <v/>
      </c>
      <c r="M56" s="8" t="n"/>
      <c r="N56" s="8" t="n"/>
      <c r="O56" s="8">
        <f>IF(OR(J56="",M56=""),"",J56-M56)</f>
        <v/>
      </c>
      <c r="P56" s="8">
        <f>IF(OR(J56="",N56=""),"",J56-N56)</f>
        <v/>
      </c>
      <c r="Q56" s="11">
        <f>IFERROR(P56/J56,"")</f>
        <v/>
      </c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10" t="n"/>
      <c r="G57" s="10" t="n"/>
      <c r="H57" s="10" t="n"/>
      <c r="I57" s="2" t="n"/>
      <c r="J57" s="8" t="n"/>
      <c r="K57" s="8">
        <f>IF(J57="","",J57*Configuracion!$G$2)</f>
        <v/>
      </c>
      <c r="L57" s="8">
        <f>IF(J57="","",J57+K57)</f>
        <v/>
      </c>
      <c r="M57" s="8" t="n"/>
      <c r="N57" s="8" t="n"/>
      <c r="O57" s="8">
        <f>IF(OR(J57="",M57=""),"",J57-M57)</f>
        <v/>
      </c>
      <c r="P57" s="8">
        <f>IF(OR(J57="",N57=""),"",J57-N57)</f>
        <v/>
      </c>
      <c r="Q57" s="11">
        <f>IFERROR(P57/J57,"")</f>
        <v/>
      </c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10" t="n"/>
      <c r="G58" s="10" t="n"/>
      <c r="H58" s="10" t="n"/>
      <c r="I58" s="2" t="n"/>
      <c r="J58" s="8" t="n"/>
      <c r="K58" s="8">
        <f>IF(J58="","",J58*Configuracion!$G$2)</f>
        <v/>
      </c>
      <c r="L58" s="8">
        <f>IF(J58="","",J58+K58)</f>
        <v/>
      </c>
      <c r="M58" s="8" t="n"/>
      <c r="N58" s="8" t="n"/>
      <c r="O58" s="8">
        <f>IF(OR(J58="",M58=""),"",J58-M58)</f>
        <v/>
      </c>
      <c r="P58" s="8">
        <f>IF(OR(J58="",N58=""),"",J58-N58)</f>
        <v/>
      </c>
      <c r="Q58" s="11">
        <f>IFERROR(P58/J58,"")</f>
        <v/>
      </c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10" t="n"/>
      <c r="G59" s="10" t="n"/>
      <c r="H59" s="10" t="n"/>
      <c r="I59" s="2" t="n"/>
      <c r="J59" s="8" t="n"/>
      <c r="K59" s="8">
        <f>IF(J59="","",J59*Configuracion!$G$2)</f>
        <v/>
      </c>
      <c r="L59" s="8">
        <f>IF(J59="","",J59+K59)</f>
        <v/>
      </c>
      <c r="M59" s="8" t="n"/>
      <c r="N59" s="8" t="n"/>
      <c r="O59" s="8">
        <f>IF(OR(J59="",M59=""),"",J59-M59)</f>
        <v/>
      </c>
      <c r="P59" s="8">
        <f>IF(OR(J59="",N59=""),"",J59-N59)</f>
        <v/>
      </c>
      <c r="Q59" s="11">
        <f>IFERROR(P59/J59,"")</f>
        <v/>
      </c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10" t="n"/>
      <c r="G60" s="10" t="n"/>
      <c r="H60" s="10" t="n"/>
      <c r="I60" s="2" t="n"/>
      <c r="J60" s="8" t="n"/>
      <c r="K60" s="8">
        <f>IF(J60="","",J60*Configuracion!$G$2)</f>
        <v/>
      </c>
      <c r="L60" s="8">
        <f>IF(J60="","",J60+K60)</f>
        <v/>
      </c>
      <c r="M60" s="8" t="n"/>
      <c r="N60" s="8" t="n"/>
      <c r="O60" s="8">
        <f>IF(OR(J60="",M60=""),"",J60-M60)</f>
        <v/>
      </c>
      <c r="P60" s="8">
        <f>IF(OR(J60="",N60=""),"",J60-N60)</f>
        <v/>
      </c>
      <c r="Q60" s="11">
        <f>IFERROR(P60/J60,"")</f>
        <v/>
      </c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10" t="n"/>
      <c r="G61" s="10" t="n"/>
      <c r="H61" s="10" t="n"/>
      <c r="I61" s="2" t="n"/>
      <c r="J61" s="8" t="n"/>
      <c r="K61" s="8">
        <f>IF(J61="","",J61*Configuracion!$G$2)</f>
        <v/>
      </c>
      <c r="L61" s="8">
        <f>IF(J61="","",J61+K61)</f>
        <v/>
      </c>
      <c r="M61" s="8" t="n"/>
      <c r="N61" s="8" t="n"/>
      <c r="O61" s="8">
        <f>IF(OR(J61="",M61=""),"",J61-M61)</f>
        <v/>
      </c>
      <c r="P61" s="8">
        <f>IF(OR(J61="",N61=""),"",J61-N61)</f>
        <v/>
      </c>
      <c r="Q61" s="11">
        <f>IFERROR(P61/J61,"")</f>
        <v/>
      </c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10" t="n"/>
      <c r="G62" s="10" t="n"/>
      <c r="H62" s="10" t="n"/>
      <c r="I62" s="2" t="n"/>
      <c r="J62" s="8" t="n"/>
      <c r="K62" s="8">
        <f>IF(J62="","",J62*Configuracion!$G$2)</f>
        <v/>
      </c>
      <c r="L62" s="8">
        <f>IF(J62="","",J62+K62)</f>
        <v/>
      </c>
      <c r="M62" s="8" t="n"/>
      <c r="N62" s="8" t="n"/>
      <c r="O62" s="8">
        <f>IF(OR(J62="",M62=""),"",J62-M62)</f>
        <v/>
      </c>
      <c r="P62" s="8">
        <f>IF(OR(J62="",N62=""),"",J62-N62)</f>
        <v/>
      </c>
      <c r="Q62" s="11">
        <f>IFERROR(P62/J62,"")</f>
        <v/>
      </c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10" t="n"/>
      <c r="G63" s="10" t="n"/>
      <c r="H63" s="10" t="n"/>
      <c r="I63" s="2" t="n"/>
      <c r="J63" s="8" t="n"/>
      <c r="K63" s="8">
        <f>IF(J63="","",J63*Configuracion!$G$2)</f>
        <v/>
      </c>
      <c r="L63" s="8">
        <f>IF(J63="","",J63+K63)</f>
        <v/>
      </c>
      <c r="M63" s="8" t="n"/>
      <c r="N63" s="8" t="n"/>
      <c r="O63" s="8">
        <f>IF(OR(J63="",M63=""),"",J63-M63)</f>
        <v/>
      </c>
      <c r="P63" s="8">
        <f>IF(OR(J63="",N63=""),"",J63-N63)</f>
        <v/>
      </c>
      <c r="Q63" s="11">
        <f>IFERROR(P63/J63,"")</f>
        <v/>
      </c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10" t="n"/>
      <c r="G64" s="10" t="n"/>
      <c r="H64" s="10" t="n"/>
      <c r="I64" s="2" t="n"/>
      <c r="J64" s="8" t="n"/>
      <c r="K64" s="8">
        <f>IF(J64="","",J64*Configuracion!$G$2)</f>
        <v/>
      </c>
      <c r="L64" s="8">
        <f>IF(J64="","",J64+K64)</f>
        <v/>
      </c>
      <c r="M64" s="8" t="n"/>
      <c r="N64" s="8" t="n"/>
      <c r="O64" s="8">
        <f>IF(OR(J64="",M64=""),"",J64-M64)</f>
        <v/>
      </c>
      <c r="P64" s="8">
        <f>IF(OR(J64="",N64=""),"",J64-N64)</f>
        <v/>
      </c>
      <c r="Q64" s="11">
        <f>IFERROR(P64/J64,"")</f>
        <v/>
      </c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10" t="n"/>
      <c r="G65" s="10" t="n"/>
      <c r="H65" s="10" t="n"/>
      <c r="I65" s="2" t="n"/>
      <c r="J65" s="8" t="n"/>
      <c r="K65" s="8">
        <f>IF(J65="","",J65*Configuracion!$G$2)</f>
        <v/>
      </c>
      <c r="L65" s="8">
        <f>IF(J65="","",J65+K65)</f>
        <v/>
      </c>
      <c r="M65" s="8" t="n"/>
      <c r="N65" s="8" t="n"/>
      <c r="O65" s="8">
        <f>IF(OR(J65="",M65=""),"",J65-M65)</f>
        <v/>
      </c>
      <c r="P65" s="8">
        <f>IF(OR(J65="",N65=""),"",J65-N65)</f>
        <v/>
      </c>
      <c r="Q65" s="11">
        <f>IFERROR(P65/J65,"")</f>
        <v/>
      </c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10" t="n"/>
      <c r="G66" s="10" t="n"/>
      <c r="H66" s="10" t="n"/>
      <c r="I66" s="2" t="n"/>
      <c r="J66" s="8" t="n"/>
      <c r="K66" s="8">
        <f>IF(J66="","",J66*Configuracion!$G$2)</f>
        <v/>
      </c>
      <c r="L66" s="8">
        <f>IF(J66="","",J66+K66)</f>
        <v/>
      </c>
      <c r="M66" s="8" t="n"/>
      <c r="N66" s="8" t="n"/>
      <c r="O66" s="8">
        <f>IF(OR(J66="",M66=""),"",J66-M66)</f>
        <v/>
      </c>
      <c r="P66" s="8">
        <f>IF(OR(J66="",N66=""),"",J66-N66)</f>
        <v/>
      </c>
      <c r="Q66" s="11">
        <f>IFERROR(P66/J66,"")</f>
        <v/>
      </c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10" t="n"/>
      <c r="G67" s="10" t="n"/>
      <c r="H67" s="10" t="n"/>
      <c r="I67" s="2" t="n"/>
      <c r="J67" s="8" t="n"/>
      <c r="K67" s="8">
        <f>IF(J67="","",J67*Configuracion!$G$2)</f>
        <v/>
      </c>
      <c r="L67" s="8">
        <f>IF(J67="","",J67+K67)</f>
        <v/>
      </c>
      <c r="M67" s="8" t="n"/>
      <c r="N67" s="8" t="n"/>
      <c r="O67" s="8">
        <f>IF(OR(J67="",M67=""),"",J67-M67)</f>
        <v/>
      </c>
      <c r="P67" s="8">
        <f>IF(OR(J67="",N67=""),"",J67-N67)</f>
        <v/>
      </c>
      <c r="Q67" s="11">
        <f>IFERROR(P67/J67,"")</f>
        <v/>
      </c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10" t="n"/>
      <c r="G68" s="10" t="n"/>
      <c r="H68" s="10" t="n"/>
      <c r="I68" s="2" t="n"/>
      <c r="J68" s="8" t="n"/>
      <c r="K68" s="8">
        <f>IF(J68="","",J68*Configuracion!$G$2)</f>
        <v/>
      </c>
      <c r="L68" s="8">
        <f>IF(J68="","",J68+K68)</f>
        <v/>
      </c>
      <c r="M68" s="8" t="n"/>
      <c r="N68" s="8" t="n"/>
      <c r="O68" s="8">
        <f>IF(OR(J68="",M68=""),"",J68-M68)</f>
        <v/>
      </c>
      <c r="P68" s="8">
        <f>IF(OR(J68="",N68=""),"",J68-N68)</f>
        <v/>
      </c>
      <c r="Q68" s="11">
        <f>IFERROR(P68/J68,"")</f>
        <v/>
      </c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10" t="n"/>
      <c r="G69" s="10" t="n"/>
      <c r="H69" s="10" t="n"/>
      <c r="I69" s="2" t="n"/>
      <c r="J69" s="8" t="n"/>
      <c r="K69" s="8">
        <f>IF(J69="","",J69*Configuracion!$G$2)</f>
        <v/>
      </c>
      <c r="L69" s="8">
        <f>IF(J69="","",J69+K69)</f>
        <v/>
      </c>
      <c r="M69" s="8" t="n"/>
      <c r="N69" s="8" t="n"/>
      <c r="O69" s="8">
        <f>IF(OR(J69="",M69=""),"",J69-M69)</f>
        <v/>
      </c>
      <c r="P69" s="8">
        <f>IF(OR(J69="",N69=""),"",J69-N69)</f>
        <v/>
      </c>
      <c r="Q69" s="11">
        <f>IFERROR(P69/J69,"")</f>
        <v/>
      </c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10" t="n"/>
      <c r="G70" s="10" t="n"/>
      <c r="H70" s="10" t="n"/>
      <c r="I70" s="2" t="n"/>
      <c r="J70" s="8" t="n"/>
      <c r="K70" s="8">
        <f>IF(J70="","",J70*Configuracion!$G$2)</f>
        <v/>
      </c>
      <c r="L70" s="8">
        <f>IF(J70="","",J70+K70)</f>
        <v/>
      </c>
      <c r="M70" s="8" t="n"/>
      <c r="N70" s="8" t="n"/>
      <c r="O70" s="8">
        <f>IF(OR(J70="",M70=""),"",J70-M70)</f>
        <v/>
      </c>
      <c r="P70" s="8">
        <f>IF(OR(J70="",N70=""),"",J70-N70)</f>
        <v/>
      </c>
      <c r="Q70" s="11">
        <f>IFERROR(P70/J70,"")</f>
        <v/>
      </c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10" t="n"/>
      <c r="G71" s="10" t="n"/>
      <c r="H71" s="10" t="n"/>
      <c r="I71" s="2" t="n"/>
      <c r="J71" s="8" t="n"/>
      <c r="K71" s="8">
        <f>IF(J71="","",J71*Configuracion!$G$2)</f>
        <v/>
      </c>
      <c r="L71" s="8">
        <f>IF(J71="","",J71+K71)</f>
        <v/>
      </c>
      <c r="M71" s="8" t="n"/>
      <c r="N71" s="8" t="n"/>
      <c r="O71" s="8">
        <f>IF(OR(J71="",M71=""),"",J71-M71)</f>
        <v/>
      </c>
      <c r="P71" s="8">
        <f>IF(OR(J71="",N71=""),"",J71-N71)</f>
        <v/>
      </c>
      <c r="Q71" s="11">
        <f>IFERROR(P71/J71,"")</f>
        <v/>
      </c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10" t="n"/>
      <c r="G72" s="10" t="n"/>
      <c r="H72" s="10" t="n"/>
      <c r="I72" s="2" t="n"/>
      <c r="J72" s="8" t="n"/>
      <c r="K72" s="8">
        <f>IF(J72="","",J72*Configuracion!$G$2)</f>
        <v/>
      </c>
      <c r="L72" s="8">
        <f>IF(J72="","",J72+K72)</f>
        <v/>
      </c>
      <c r="M72" s="8" t="n"/>
      <c r="N72" s="8" t="n"/>
      <c r="O72" s="8">
        <f>IF(OR(J72="",M72=""),"",J72-M72)</f>
        <v/>
      </c>
      <c r="P72" s="8">
        <f>IF(OR(J72="",N72=""),"",J72-N72)</f>
        <v/>
      </c>
      <c r="Q72" s="11">
        <f>IFERROR(P72/J72,"")</f>
        <v/>
      </c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10" t="n"/>
      <c r="G73" s="10" t="n"/>
      <c r="H73" s="10" t="n"/>
      <c r="I73" s="2" t="n"/>
      <c r="J73" s="8" t="n"/>
      <c r="K73" s="8">
        <f>IF(J73="","",J73*Configuracion!$G$2)</f>
        <v/>
      </c>
      <c r="L73" s="8">
        <f>IF(J73="","",J73+K73)</f>
        <v/>
      </c>
      <c r="M73" s="8" t="n"/>
      <c r="N73" s="8" t="n"/>
      <c r="O73" s="8">
        <f>IF(OR(J73="",M73=""),"",J73-M73)</f>
        <v/>
      </c>
      <c r="P73" s="8">
        <f>IF(OR(J73="",N73=""),"",J73-N73)</f>
        <v/>
      </c>
      <c r="Q73" s="11">
        <f>IFERROR(P73/J73,"")</f>
        <v/>
      </c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10" t="n"/>
      <c r="G74" s="10" t="n"/>
      <c r="H74" s="10" t="n"/>
      <c r="I74" s="2" t="n"/>
      <c r="J74" s="8" t="n"/>
      <c r="K74" s="8">
        <f>IF(J74="","",J74*Configuracion!$G$2)</f>
        <v/>
      </c>
      <c r="L74" s="8">
        <f>IF(J74="","",J74+K74)</f>
        <v/>
      </c>
      <c r="M74" s="8" t="n"/>
      <c r="N74" s="8" t="n"/>
      <c r="O74" s="8">
        <f>IF(OR(J74="",M74=""),"",J74-M74)</f>
        <v/>
      </c>
      <c r="P74" s="8">
        <f>IF(OR(J74="",N74=""),"",J74-N74)</f>
        <v/>
      </c>
      <c r="Q74" s="11">
        <f>IFERROR(P74/J74,"")</f>
        <v/>
      </c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10" t="n"/>
      <c r="G75" s="10" t="n"/>
      <c r="H75" s="10" t="n"/>
      <c r="I75" s="2" t="n"/>
      <c r="J75" s="8" t="n"/>
      <c r="K75" s="8">
        <f>IF(J75="","",J75*Configuracion!$G$2)</f>
        <v/>
      </c>
      <c r="L75" s="8">
        <f>IF(J75="","",J75+K75)</f>
        <v/>
      </c>
      <c r="M75" s="8" t="n"/>
      <c r="N75" s="8" t="n"/>
      <c r="O75" s="8">
        <f>IF(OR(J75="",M75=""),"",J75-M75)</f>
        <v/>
      </c>
      <c r="P75" s="8">
        <f>IF(OR(J75="",N75=""),"",J75-N75)</f>
        <v/>
      </c>
      <c r="Q75" s="11">
        <f>IFERROR(P75/J75,"")</f>
        <v/>
      </c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10" t="n"/>
      <c r="G76" s="10" t="n"/>
      <c r="H76" s="10" t="n"/>
      <c r="I76" s="2" t="n"/>
      <c r="J76" s="8" t="n"/>
      <c r="K76" s="8">
        <f>IF(J76="","",J76*Configuracion!$G$2)</f>
        <v/>
      </c>
      <c r="L76" s="8">
        <f>IF(J76="","",J76+K76)</f>
        <v/>
      </c>
      <c r="M76" s="8" t="n"/>
      <c r="N76" s="8" t="n"/>
      <c r="O76" s="8">
        <f>IF(OR(J76="",M76=""),"",J76-M76)</f>
        <v/>
      </c>
      <c r="P76" s="8">
        <f>IF(OR(J76="",N76=""),"",J76-N76)</f>
        <v/>
      </c>
      <c r="Q76" s="11">
        <f>IFERROR(P76/J76,"")</f>
        <v/>
      </c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10" t="n"/>
      <c r="G77" s="10" t="n"/>
      <c r="H77" s="10" t="n"/>
      <c r="I77" s="2" t="n"/>
      <c r="J77" s="8" t="n"/>
      <c r="K77" s="8">
        <f>IF(J77="","",J77*Configuracion!$G$2)</f>
        <v/>
      </c>
      <c r="L77" s="8">
        <f>IF(J77="","",J77+K77)</f>
        <v/>
      </c>
      <c r="M77" s="8" t="n"/>
      <c r="N77" s="8" t="n"/>
      <c r="O77" s="8">
        <f>IF(OR(J77="",M77=""),"",J77-M77)</f>
        <v/>
      </c>
      <c r="P77" s="8">
        <f>IF(OR(J77="",N77=""),"",J77-N77)</f>
        <v/>
      </c>
      <c r="Q77" s="11">
        <f>IFERROR(P77/J77,"")</f>
        <v/>
      </c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10" t="n"/>
      <c r="G78" s="10" t="n"/>
      <c r="H78" s="10" t="n"/>
      <c r="I78" s="2" t="n"/>
      <c r="J78" s="8" t="n"/>
      <c r="K78" s="8">
        <f>IF(J78="","",J78*Configuracion!$G$2)</f>
        <v/>
      </c>
      <c r="L78" s="8">
        <f>IF(J78="","",J78+K78)</f>
        <v/>
      </c>
      <c r="M78" s="8" t="n"/>
      <c r="N78" s="8" t="n"/>
      <c r="O78" s="8">
        <f>IF(OR(J78="",M78=""),"",J78-M78)</f>
        <v/>
      </c>
      <c r="P78" s="8">
        <f>IF(OR(J78="",N78=""),"",J78-N78)</f>
        <v/>
      </c>
      <c r="Q78" s="11">
        <f>IFERROR(P78/J78,"")</f>
        <v/>
      </c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10" t="n"/>
      <c r="G79" s="10" t="n"/>
      <c r="H79" s="10" t="n"/>
      <c r="I79" s="2" t="n"/>
      <c r="J79" s="8" t="n"/>
      <c r="K79" s="8">
        <f>IF(J79="","",J79*Configuracion!$G$2)</f>
        <v/>
      </c>
      <c r="L79" s="8">
        <f>IF(J79="","",J79+K79)</f>
        <v/>
      </c>
      <c r="M79" s="8" t="n"/>
      <c r="N79" s="8" t="n"/>
      <c r="O79" s="8">
        <f>IF(OR(J79="",M79=""),"",J79-M79)</f>
        <v/>
      </c>
      <c r="P79" s="8">
        <f>IF(OR(J79="",N79=""),"",J79-N79)</f>
        <v/>
      </c>
      <c r="Q79" s="11">
        <f>IFERROR(P79/J79,"")</f>
        <v/>
      </c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10" t="n"/>
      <c r="G80" s="10" t="n"/>
      <c r="H80" s="10" t="n"/>
      <c r="I80" s="2" t="n"/>
      <c r="J80" s="8" t="n"/>
      <c r="K80" s="8">
        <f>IF(J80="","",J80*Configuracion!$G$2)</f>
        <v/>
      </c>
      <c r="L80" s="8">
        <f>IF(J80="","",J80+K80)</f>
        <v/>
      </c>
      <c r="M80" s="8" t="n"/>
      <c r="N80" s="8" t="n"/>
      <c r="O80" s="8">
        <f>IF(OR(J80="",M80=""),"",J80-M80)</f>
        <v/>
      </c>
      <c r="P80" s="8">
        <f>IF(OR(J80="",N80=""),"",J80-N80)</f>
        <v/>
      </c>
      <c r="Q80" s="11">
        <f>IFERROR(P80/J80,"")</f>
        <v/>
      </c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10" t="n"/>
      <c r="G81" s="10" t="n"/>
      <c r="H81" s="10" t="n"/>
      <c r="I81" s="2" t="n"/>
      <c r="J81" s="8" t="n"/>
      <c r="K81" s="8">
        <f>IF(J81="","",J81*Configuracion!$G$2)</f>
        <v/>
      </c>
      <c r="L81" s="8">
        <f>IF(J81="","",J81+K81)</f>
        <v/>
      </c>
      <c r="M81" s="8" t="n"/>
      <c r="N81" s="8" t="n"/>
      <c r="O81" s="8">
        <f>IF(OR(J81="",M81=""),"",J81-M81)</f>
        <v/>
      </c>
      <c r="P81" s="8">
        <f>IF(OR(J81="",N81=""),"",J81-N81)</f>
        <v/>
      </c>
      <c r="Q81" s="11">
        <f>IFERROR(P81/J81,"")</f>
        <v/>
      </c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10" t="n"/>
      <c r="G82" s="10" t="n"/>
      <c r="H82" s="10" t="n"/>
      <c r="I82" s="2" t="n"/>
      <c r="J82" s="8" t="n"/>
      <c r="K82" s="8">
        <f>IF(J82="","",J82*Configuracion!$G$2)</f>
        <v/>
      </c>
      <c r="L82" s="8">
        <f>IF(J82="","",J82+K82)</f>
        <v/>
      </c>
      <c r="M82" s="8" t="n"/>
      <c r="N82" s="8" t="n"/>
      <c r="O82" s="8">
        <f>IF(OR(J82="",M82=""),"",J82-M82)</f>
        <v/>
      </c>
      <c r="P82" s="8">
        <f>IF(OR(J82="",N82=""),"",J82-N82)</f>
        <v/>
      </c>
      <c r="Q82" s="11">
        <f>IFERROR(P82/J82,"")</f>
        <v/>
      </c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10" t="n"/>
      <c r="G83" s="10" t="n"/>
      <c r="H83" s="10" t="n"/>
      <c r="I83" s="2" t="n"/>
      <c r="J83" s="8" t="n"/>
      <c r="K83" s="8">
        <f>IF(J83="","",J83*Configuracion!$G$2)</f>
        <v/>
      </c>
      <c r="L83" s="8">
        <f>IF(J83="","",J83+K83)</f>
        <v/>
      </c>
      <c r="M83" s="8" t="n"/>
      <c r="N83" s="8" t="n"/>
      <c r="O83" s="8">
        <f>IF(OR(J83="",M83=""),"",J83-M83)</f>
        <v/>
      </c>
      <c r="P83" s="8">
        <f>IF(OR(J83="",N83=""),"",J83-N83)</f>
        <v/>
      </c>
      <c r="Q83" s="11">
        <f>IFERROR(P83/J83,"")</f>
        <v/>
      </c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10" t="n"/>
      <c r="G84" s="10" t="n"/>
      <c r="H84" s="10" t="n"/>
      <c r="I84" s="2" t="n"/>
      <c r="J84" s="8" t="n"/>
      <c r="K84" s="8">
        <f>IF(J84="","",J84*Configuracion!$G$2)</f>
        <v/>
      </c>
      <c r="L84" s="8">
        <f>IF(J84="","",J84+K84)</f>
        <v/>
      </c>
      <c r="M84" s="8" t="n"/>
      <c r="N84" s="8" t="n"/>
      <c r="O84" s="8">
        <f>IF(OR(J84="",M84=""),"",J84-M84)</f>
        <v/>
      </c>
      <c r="P84" s="8">
        <f>IF(OR(J84="",N84=""),"",J84-N84)</f>
        <v/>
      </c>
      <c r="Q84" s="11">
        <f>IFERROR(P84/J84,"")</f>
        <v/>
      </c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10" t="n"/>
      <c r="G85" s="10" t="n"/>
      <c r="H85" s="10" t="n"/>
      <c r="I85" s="2" t="n"/>
      <c r="J85" s="8" t="n"/>
      <c r="K85" s="8">
        <f>IF(J85="","",J85*Configuracion!$G$2)</f>
        <v/>
      </c>
      <c r="L85" s="8">
        <f>IF(J85="","",J85+K85)</f>
        <v/>
      </c>
      <c r="M85" s="8" t="n"/>
      <c r="N85" s="8" t="n"/>
      <c r="O85" s="8">
        <f>IF(OR(J85="",M85=""),"",J85-M85)</f>
        <v/>
      </c>
      <c r="P85" s="8">
        <f>IF(OR(J85="",N85=""),"",J85-N85)</f>
        <v/>
      </c>
      <c r="Q85" s="11">
        <f>IFERROR(P85/J85,"")</f>
        <v/>
      </c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10" t="n"/>
      <c r="G86" s="10" t="n"/>
      <c r="H86" s="10" t="n"/>
      <c r="I86" s="2" t="n"/>
      <c r="J86" s="8" t="n"/>
      <c r="K86" s="8">
        <f>IF(J86="","",J86*Configuracion!$G$2)</f>
        <v/>
      </c>
      <c r="L86" s="8">
        <f>IF(J86="","",J86+K86)</f>
        <v/>
      </c>
      <c r="M86" s="8" t="n"/>
      <c r="N86" s="8" t="n"/>
      <c r="O86" s="8">
        <f>IF(OR(J86="",M86=""),"",J86-M86)</f>
        <v/>
      </c>
      <c r="P86" s="8">
        <f>IF(OR(J86="",N86=""),"",J86-N86)</f>
        <v/>
      </c>
      <c r="Q86" s="11">
        <f>IFERROR(P86/J86,"")</f>
        <v/>
      </c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10" t="n"/>
      <c r="G87" s="10" t="n"/>
      <c r="H87" s="10" t="n"/>
      <c r="I87" s="2" t="n"/>
      <c r="J87" s="8" t="n"/>
      <c r="K87" s="8">
        <f>IF(J87="","",J87*Configuracion!$G$2)</f>
        <v/>
      </c>
      <c r="L87" s="8">
        <f>IF(J87="","",J87+K87)</f>
        <v/>
      </c>
      <c r="M87" s="8" t="n"/>
      <c r="N87" s="8" t="n"/>
      <c r="O87" s="8">
        <f>IF(OR(J87="",M87=""),"",J87-M87)</f>
        <v/>
      </c>
      <c r="P87" s="8">
        <f>IF(OR(J87="",N87=""),"",J87-N87)</f>
        <v/>
      </c>
      <c r="Q87" s="11">
        <f>IFERROR(P87/J87,"")</f>
        <v/>
      </c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10" t="n"/>
      <c r="G88" s="10" t="n"/>
      <c r="H88" s="10" t="n"/>
      <c r="I88" s="2" t="n"/>
      <c r="J88" s="8" t="n"/>
      <c r="K88" s="8">
        <f>IF(J88="","",J88*Configuracion!$G$2)</f>
        <v/>
      </c>
      <c r="L88" s="8">
        <f>IF(J88="","",J88+K88)</f>
        <v/>
      </c>
      <c r="M88" s="8" t="n"/>
      <c r="N88" s="8" t="n"/>
      <c r="O88" s="8">
        <f>IF(OR(J88="",M88=""),"",J88-M88)</f>
        <v/>
      </c>
      <c r="P88" s="8">
        <f>IF(OR(J88="",N88=""),"",J88-N88)</f>
        <v/>
      </c>
      <c r="Q88" s="11">
        <f>IFERROR(P88/J88,"")</f>
        <v/>
      </c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10" t="n"/>
      <c r="G89" s="10" t="n"/>
      <c r="H89" s="10" t="n"/>
      <c r="I89" s="2" t="n"/>
      <c r="J89" s="8" t="n"/>
      <c r="K89" s="8">
        <f>IF(J89="","",J89*Configuracion!$G$2)</f>
        <v/>
      </c>
      <c r="L89" s="8">
        <f>IF(J89="","",J89+K89)</f>
        <v/>
      </c>
      <c r="M89" s="8" t="n"/>
      <c r="N89" s="8" t="n"/>
      <c r="O89" s="8">
        <f>IF(OR(J89="",M89=""),"",J89-M89)</f>
        <v/>
      </c>
      <c r="P89" s="8">
        <f>IF(OR(J89="",N89=""),"",J89-N89)</f>
        <v/>
      </c>
      <c r="Q89" s="11">
        <f>IFERROR(P89/J89,"")</f>
        <v/>
      </c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10" t="n"/>
      <c r="G90" s="10" t="n"/>
      <c r="H90" s="10" t="n"/>
      <c r="I90" s="2" t="n"/>
      <c r="J90" s="8" t="n"/>
      <c r="K90" s="8">
        <f>IF(J90="","",J90*Configuracion!$G$2)</f>
        <v/>
      </c>
      <c r="L90" s="8">
        <f>IF(J90="","",J90+K90)</f>
        <v/>
      </c>
      <c r="M90" s="8" t="n"/>
      <c r="N90" s="8" t="n"/>
      <c r="O90" s="8">
        <f>IF(OR(J90="",M90=""),"",J90-M90)</f>
        <v/>
      </c>
      <c r="P90" s="8">
        <f>IF(OR(J90="",N90=""),"",J90-N90)</f>
        <v/>
      </c>
      <c r="Q90" s="11">
        <f>IFERROR(P90/J90,"")</f>
        <v/>
      </c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10" t="n"/>
      <c r="G91" s="10" t="n"/>
      <c r="H91" s="10" t="n"/>
      <c r="I91" s="2" t="n"/>
      <c r="J91" s="8" t="n"/>
      <c r="K91" s="8">
        <f>IF(J91="","",J91*Configuracion!$G$2)</f>
        <v/>
      </c>
      <c r="L91" s="8">
        <f>IF(J91="","",J91+K91)</f>
        <v/>
      </c>
      <c r="M91" s="8" t="n"/>
      <c r="N91" s="8" t="n"/>
      <c r="O91" s="8">
        <f>IF(OR(J91="",M91=""),"",J91-M91)</f>
        <v/>
      </c>
      <c r="P91" s="8">
        <f>IF(OR(J91="",N91=""),"",J91-N91)</f>
        <v/>
      </c>
      <c r="Q91" s="11">
        <f>IFERROR(P91/J91,"")</f>
        <v/>
      </c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10" t="n"/>
      <c r="G92" s="10" t="n"/>
      <c r="H92" s="10" t="n"/>
      <c r="I92" s="2" t="n"/>
      <c r="J92" s="8" t="n"/>
      <c r="K92" s="8">
        <f>IF(J92="","",J92*Configuracion!$G$2)</f>
        <v/>
      </c>
      <c r="L92" s="8">
        <f>IF(J92="","",J92+K92)</f>
        <v/>
      </c>
      <c r="M92" s="8" t="n"/>
      <c r="N92" s="8" t="n"/>
      <c r="O92" s="8">
        <f>IF(OR(J92="",M92=""),"",J92-M92)</f>
        <v/>
      </c>
      <c r="P92" s="8">
        <f>IF(OR(J92="",N92=""),"",J92-N92)</f>
        <v/>
      </c>
      <c r="Q92" s="11">
        <f>IFERROR(P92/J92,"")</f>
        <v/>
      </c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10" t="n"/>
      <c r="G93" s="10" t="n"/>
      <c r="H93" s="10" t="n"/>
      <c r="I93" s="2" t="n"/>
      <c r="J93" s="8" t="n"/>
      <c r="K93" s="8">
        <f>IF(J93="","",J93*Configuracion!$G$2)</f>
        <v/>
      </c>
      <c r="L93" s="8">
        <f>IF(J93="","",J93+K93)</f>
        <v/>
      </c>
      <c r="M93" s="8" t="n"/>
      <c r="N93" s="8" t="n"/>
      <c r="O93" s="8">
        <f>IF(OR(J93="",M93=""),"",J93-M93)</f>
        <v/>
      </c>
      <c r="P93" s="8">
        <f>IF(OR(J93="",N93=""),"",J93-N93)</f>
        <v/>
      </c>
      <c r="Q93" s="11">
        <f>IFERROR(P93/J93,"")</f>
        <v/>
      </c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10" t="n"/>
      <c r="G94" s="10" t="n"/>
      <c r="H94" s="10" t="n"/>
      <c r="I94" s="2" t="n"/>
      <c r="J94" s="8" t="n"/>
      <c r="K94" s="8">
        <f>IF(J94="","",J94*Configuracion!$G$2)</f>
        <v/>
      </c>
      <c r="L94" s="8">
        <f>IF(J94="","",J94+K94)</f>
        <v/>
      </c>
      <c r="M94" s="8" t="n"/>
      <c r="N94" s="8" t="n"/>
      <c r="O94" s="8">
        <f>IF(OR(J94="",M94=""),"",J94-M94)</f>
        <v/>
      </c>
      <c r="P94" s="8">
        <f>IF(OR(J94="",N94=""),"",J94-N94)</f>
        <v/>
      </c>
      <c r="Q94" s="11">
        <f>IFERROR(P94/J94,"")</f>
        <v/>
      </c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10" t="n"/>
      <c r="G95" s="10" t="n"/>
      <c r="H95" s="10" t="n"/>
      <c r="I95" s="2" t="n"/>
      <c r="J95" s="8" t="n"/>
      <c r="K95" s="8">
        <f>IF(J95="","",J95*Configuracion!$G$2)</f>
        <v/>
      </c>
      <c r="L95" s="8">
        <f>IF(J95="","",J95+K95)</f>
        <v/>
      </c>
      <c r="M95" s="8" t="n"/>
      <c r="N95" s="8" t="n"/>
      <c r="O95" s="8">
        <f>IF(OR(J95="",M95=""),"",J95-M95)</f>
        <v/>
      </c>
      <c r="P95" s="8">
        <f>IF(OR(J95="",N95=""),"",J95-N95)</f>
        <v/>
      </c>
      <c r="Q95" s="11">
        <f>IFERROR(P95/J95,"")</f>
        <v/>
      </c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10" t="n"/>
      <c r="G96" s="10" t="n"/>
      <c r="H96" s="10" t="n"/>
      <c r="I96" s="2" t="n"/>
      <c r="J96" s="8" t="n"/>
      <c r="K96" s="8">
        <f>IF(J96="","",J96*Configuracion!$G$2)</f>
        <v/>
      </c>
      <c r="L96" s="8">
        <f>IF(J96="","",J96+K96)</f>
        <v/>
      </c>
      <c r="M96" s="8" t="n"/>
      <c r="N96" s="8" t="n"/>
      <c r="O96" s="8">
        <f>IF(OR(J96="",M96=""),"",J96-M96)</f>
        <v/>
      </c>
      <c r="P96" s="8">
        <f>IF(OR(J96="",N96=""),"",J96-N96)</f>
        <v/>
      </c>
      <c r="Q96" s="11">
        <f>IFERROR(P96/J96,"")</f>
        <v/>
      </c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10" t="n"/>
      <c r="G97" s="10" t="n"/>
      <c r="H97" s="10" t="n"/>
      <c r="I97" s="2" t="n"/>
      <c r="J97" s="8" t="n"/>
      <c r="K97" s="8">
        <f>IF(J97="","",J97*Configuracion!$G$2)</f>
        <v/>
      </c>
      <c r="L97" s="8">
        <f>IF(J97="","",J97+K97)</f>
        <v/>
      </c>
      <c r="M97" s="8" t="n"/>
      <c r="N97" s="8" t="n"/>
      <c r="O97" s="8">
        <f>IF(OR(J97="",M97=""),"",J97-M97)</f>
        <v/>
      </c>
      <c r="P97" s="8">
        <f>IF(OR(J97="",N97=""),"",J97-N97)</f>
        <v/>
      </c>
      <c r="Q97" s="11">
        <f>IFERROR(P97/J97,"")</f>
        <v/>
      </c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10" t="n"/>
      <c r="G98" s="10" t="n"/>
      <c r="H98" s="10" t="n"/>
      <c r="I98" s="2" t="n"/>
      <c r="J98" s="8" t="n"/>
      <c r="K98" s="8">
        <f>IF(J98="","",J98*Configuracion!$G$2)</f>
        <v/>
      </c>
      <c r="L98" s="8">
        <f>IF(J98="","",J98+K98)</f>
        <v/>
      </c>
      <c r="M98" s="8" t="n"/>
      <c r="N98" s="8" t="n"/>
      <c r="O98" s="8">
        <f>IF(OR(J98="",M98=""),"",J98-M98)</f>
        <v/>
      </c>
      <c r="P98" s="8">
        <f>IF(OR(J98="",N98=""),"",J98-N98)</f>
        <v/>
      </c>
      <c r="Q98" s="11">
        <f>IFERROR(P98/J98,"")</f>
        <v/>
      </c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10" t="n"/>
      <c r="G99" s="10" t="n"/>
      <c r="H99" s="10" t="n"/>
      <c r="I99" s="2" t="n"/>
      <c r="J99" s="8" t="n"/>
      <c r="K99" s="8">
        <f>IF(J99="","",J99*Configuracion!$G$2)</f>
        <v/>
      </c>
      <c r="L99" s="8">
        <f>IF(J99="","",J99+K99)</f>
        <v/>
      </c>
      <c r="M99" s="8" t="n"/>
      <c r="N99" s="8" t="n"/>
      <c r="O99" s="8">
        <f>IF(OR(J99="",M99=""),"",J99-M99)</f>
        <v/>
      </c>
      <c r="P99" s="8">
        <f>IF(OR(J99="",N99=""),"",J99-N99)</f>
        <v/>
      </c>
      <c r="Q99" s="11">
        <f>IFERROR(P99/J99,"")</f>
        <v/>
      </c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10" t="n"/>
      <c r="G100" s="10" t="n"/>
      <c r="H100" s="10" t="n"/>
      <c r="I100" s="2" t="n"/>
      <c r="J100" s="8" t="n"/>
      <c r="K100" s="8">
        <f>IF(J100="","",J100*Configuracion!$G$2)</f>
        <v/>
      </c>
      <c r="L100" s="8">
        <f>IF(J100="","",J100+K100)</f>
        <v/>
      </c>
      <c r="M100" s="8" t="n"/>
      <c r="N100" s="8" t="n"/>
      <c r="O100" s="8">
        <f>IF(OR(J100="",M100=""),"",J100-M100)</f>
        <v/>
      </c>
      <c r="P100" s="8">
        <f>IF(OR(J100="",N100=""),"",J100-N100)</f>
        <v/>
      </c>
      <c r="Q100" s="11">
        <f>IFERROR(P100/J100,"")</f>
        <v/>
      </c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10" t="n"/>
      <c r="G101" s="10" t="n"/>
      <c r="H101" s="10" t="n"/>
      <c r="I101" s="2" t="n"/>
      <c r="J101" s="8" t="n"/>
      <c r="K101" s="8">
        <f>IF(J101="","",J101*Configuracion!$G$2)</f>
        <v/>
      </c>
      <c r="L101" s="8">
        <f>IF(J101="","",J101+K101)</f>
        <v/>
      </c>
      <c r="M101" s="8" t="n"/>
      <c r="N101" s="8" t="n"/>
      <c r="O101" s="8">
        <f>IF(OR(J101="",M101=""),"",J101-M101)</f>
        <v/>
      </c>
      <c r="P101" s="8">
        <f>IF(OR(J101="",N101=""),"",J101-N101)</f>
        <v/>
      </c>
      <c r="Q101" s="11">
        <f>IFERROR(P101/J101,"")</f>
        <v/>
      </c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10" t="n"/>
      <c r="G102" s="10" t="n"/>
      <c r="H102" s="10" t="n"/>
      <c r="I102" s="2" t="n"/>
      <c r="J102" s="8" t="n"/>
      <c r="K102" s="8">
        <f>IF(J102="","",J102*Configuracion!$G$2)</f>
        <v/>
      </c>
      <c r="L102" s="8">
        <f>IF(J102="","",J102+K102)</f>
        <v/>
      </c>
      <c r="M102" s="8" t="n"/>
      <c r="N102" s="8" t="n"/>
      <c r="O102" s="8">
        <f>IF(OR(J102="",M102=""),"",J102-M102)</f>
        <v/>
      </c>
      <c r="P102" s="8">
        <f>IF(OR(J102="",N102=""),"",J102-N102)</f>
        <v/>
      </c>
      <c r="Q102" s="11">
        <f>IFERROR(P102/J102,"")</f>
        <v/>
      </c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10" t="n"/>
      <c r="G103" s="10" t="n"/>
      <c r="H103" s="10" t="n"/>
      <c r="I103" s="2" t="n"/>
      <c r="J103" s="8" t="n"/>
      <c r="K103" s="8">
        <f>IF(J103="","",J103*Configuracion!$G$2)</f>
        <v/>
      </c>
      <c r="L103" s="8">
        <f>IF(J103="","",J103+K103)</f>
        <v/>
      </c>
      <c r="M103" s="8" t="n"/>
      <c r="N103" s="8" t="n"/>
      <c r="O103" s="8">
        <f>IF(OR(J103="",M103=""),"",J103-M103)</f>
        <v/>
      </c>
      <c r="P103" s="8">
        <f>IF(OR(J103="",N103=""),"",J103-N103)</f>
        <v/>
      </c>
      <c r="Q103" s="11">
        <f>IFERROR(P103/J103,"")</f>
        <v/>
      </c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10" t="n"/>
      <c r="G104" s="10" t="n"/>
      <c r="H104" s="10" t="n"/>
      <c r="I104" s="2" t="n"/>
      <c r="J104" s="8" t="n"/>
      <c r="K104" s="8">
        <f>IF(J104="","",J104*Configuracion!$G$2)</f>
        <v/>
      </c>
      <c r="L104" s="8">
        <f>IF(J104="","",J104+K104)</f>
        <v/>
      </c>
      <c r="M104" s="8" t="n"/>
      <c r="N104" s="8" t="n"/>
      <c r="O104" s="8">
        <f>IF(OR(J104="",M104=""),"",J104-M104)</f>
        <v/>
      </c>
      <c r="P104" s="8">
        <f>IF(OR(J104="",N104=""),"",J104-N104)</f>
        <v/>
      </c>
      <c r="Q104" s="11">
        <f>IFERROR(P104/J104,"")</f>
        <v/>
      </c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10" t="n"/>
      <c r="G105" s="10" t="n"/>
      <c r="H105" s="10" t="n"/>
      <c r="I105" s="2" t="n"/>
      <c r="J105" s="8" t="n"/>
      <c r="K105" s="8">
        <f>IF(J105="","",J105*Configuracion!$G$2)</f>
        <v/>
      </c>
      <c r="L105" s="8">
        <f>IF(J105="","",J105+K105)</f>
        <v/>
      </c>
      <c r="M105" s="8" t="n"/>
      <c r="N105" s="8" t="n"/>
      <c r="O105" s="8">
        <f>IF(OR(J105="",M105=""),"",J105-M105)</f>
        <v/>
      </c>
      <c r="P105" s="8">
        <f>IF(OR(J105="",N105=""),"",J105-N105)</f>
        <v/>
      </c>
      <c r="Q105" s="11">
        <f>IFERROR(P105/J105,"")</f>
        <v/>
      </c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10" t="n"/>
      <c r="G106" s="10" t="n"/>
      <c r="H106" s="10" t="n"/>
      <c r="I106" s="2" t="n"/>
      <c r="J106" s="8" t="n"/>
      <c r="K106" s="8">
        <f>IF(J106="","",J106*Configuracion!$G$2)</f>
        <v/>
      </c>
      <c r="L106" s="8">
        <f>IF(J106="","",J106+K106)</f>
        <v/>
      </c>
      <c r="M106" s="8" t="n"/>
      <c r="N106" s="8" t="n"/>
      <c r="O106" s="8">
        <f>IF(OR(J106="",M106=""),"",J106-M106)</f>
        <v/>
      </c>
      <c r="P106" s="8">
        <f>IF(OR(J106="",N106=""),"",J106-N106)</f>
        <v/>
      </c>
      <c r="Q106" s="11">
        <f>IFERROR(P106/J106,"")</f>
        <v/>
      </c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10" t="n"/>
      <c r="G107" s="10" t="n"/>
      <c r="H107" s="10" t="n"/>
      <c r="I107" s="2" t="n"/>
      <c r="J107" s="8" t="n"/>
      <c r="K107" s="8">
        <f>IF(J107="","",J107*Configuracion!$G$2)</f>
        <v/>
      </c>
      <c r="L107" s="8">
        <f>IF(J107="","",J107+K107)</f>
        <v/>
      </c>
      <c r="M107" s="8" t="n"/>
      <c r="N107" s="8" t="n"/>
      <c r="O107" s="8">
        <f>IF(OR(J107="",M107=""),"",J107-M107)</f>
        <v/>
      </c>
      <c r="P107" s="8">
        <f>IF(OR(J107="",N107=""),"",J107-N107)</f>
        <v/>
      </c>
      <c r="Q107" s="11">
        <f>IFERROR(P107/J107,"")</f>
        <v/>
      </c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10" t="n"/>
      <c r="G108" s="10" t="n"/>
      <c r="H108" s="10" t="n"/>
      <c r="I108" s="2" t="n"/>
      <c r="J108" s="8" t="n"/>
      <c r="K108" s="8">
        <f>IF(J108="","",J108*Configuracion!$G$2)</f>
        <v/>
      </c>
      <c r="L108" s="8">
        <f>IF(J108="","",J108+K108)</f>
        <v/>
      </c>
      <c r="M108" s="8" t="n"/>
      <c r="N108" s="8" t="n"/>
      <c r="O108" s="8">
        <f>IF(OR(J108="",M108=""),"",J108-M108)</f>
        <v/>
      </c>
      <c r="P108" s="8">
        <f>IF(OR(J108="",N108=""),"",J108-N108)</f>
        <v/>
      </c>
      <c r="Q108" s="11">
        <f>IFERROR(P108/J108,"")</f>
        <v/>
      </c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10" t="n"/>
      <c r="G109" s="10" t="n"/>
      <c r="H109" s="10" t="n"/>
      <c r="I109" s="2" t="n"/>
      <c r="J109" s="8" t="n"/>
      <c r="K109" s="8">
        <f>IF(J109="","",J109*Configuracion!$G$2)</f>
        <v/>
      </c>
      <c r="L109" s="8">
        <f>IF(J109="","",J109+K109)</f>
        <v/>
      </c>
      <c r="M109" s="8" t="n"/>
      <c r="N109" s="8" t="n"/>
      <c r="O109" s="8">
        <f>IF(OR(J109="",M109=""),"",J109-M109)</f>
        <v/>
      </c>
      <c r="P109" s="8">
        <f>IF(OR(J109="",N109=""),"",J109-N109)</f>
        <v/>
      </c>
      <c r="Q109" s="11">
        <f>IFERROR(P109/J109,"")</f>
        <v/>
      </c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10" t="n"/>
      <c r="G110" s="10" t="n"/>
      <c r="H110" s="10" t="n"/>
      <c r="I110" s="2" t="n"/>
      <c r="J110" s="8" t="n"/>
      <c r="K110" s="8">
        <f>IF(J110="","",J110*Configuracion!$G$2)</f>
        <v/>
      </c>
      <c r="L110" s="8">
        <f>IF(J110="","",J110+K110)</f>
        <v/>
      </c>
      <c r="M110" s="8" t="n"/>
      <c r="N110" s="8" t="n"/>
      <c r="O110" s="8">
        <f>IF(OR(J110="",M110=""),"",J110-M110)</f>
        <v/>
      </c>
      <c r="P110" s="8">
        <f>IF(OR(J110="",N110=""),"",J110-N110)</f>
        <v/>
      </c>
      <c r="Q110" s="11">
        <f>IFERROR(P110/J110,"")</f>
        <v/>
      </c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10" t="n"/>
      <c r="G111" s="10" t="n"/>
      <c r="H111" s="10" t="n"/>
      <c r="I111" s="2" t="n"/>
      <c r="J111" s="8" t="n"/>
      <c r="K111" s="8">
        <f>IF(J111="","",J111*Configuracion!$G$2)</f>
        <v/>
      </c>
      <c r="L111" s="8">
        <f>IF(J111="","",J111+K111)</f>
        <v/>
      </c>
      <c r="M111" s="8" t="n"/>
      <c r="N111" s="8" t="n"/>
      <c r="O111" s="8">
        <f>IF(OR(J111="",M111=""),"",J111-M111)</f>
        <v/>
      </c>
      <c r="P111" s="8">
        <f>IF(OR(J111="",N111=""),"",J111-N111)</f>
        <v/>
      </c>
      <c r="Q111" s="11">
        <f>IFERROR(P111/J111,"")</f>
        <v/>
      </c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10" t="n"/>
      <c r="G112" s="10" t="n"/>
      <c r="H112" s="10" t="n"/>
      <c r="I112" s="2" t="n"/>
      <c r="J112" s="8" t="n"/>
      <c r="K112" s="8">
        <f>IF(J112="","",J112*Configuracion!$G$2)</f>
        <v/>
      </c>
      <c r="L112" s="8">
        <f>IF(J112="","",J112+K112)</f>
        <v/>
      </c>
      <c r="M112" s="8" t="n"/>
      <c r="N112" s="8" t="n"/>
      <c r="O112" s="8">
        <f>IF(OR(J112="",M112=""),"",J112-M112)</f>
        <v/>
      </c>
      <c r="P112" s="8">
        <f>IF(OR(J112="",N112=""),"",J112-N112)</f>
        <v/>
      </c>
      <c r="Q112" s="11">
        <f>IFERROR(P112/J112,"")</f>
        <v/>
      </c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10" t="n"/>
      <c r="G113" s="10" t="n"/>
      <c r="H113" s="10" t="n"/>
      <c r="I113" s="2" t="n"/>
      <c r="J113" s="8" t="n"/>
      <c r="K113" s="8">
        <f>IF(J113="","",J113*Configuracion!$G$2)</f>
        <v/>
      </c>
      <c r="L113" s="8">
        <f>IF(J113="","",J113+K113)</f>
        <v/>
      </c>
      <c r="M113" s="8" t="n"/>
      <c r="N113" s="8" t="n"/>
      <c r="O113" s="8">
        <f>IF(OR(J113="",M113=""),"",J113-M113)</f>
        <v/>
      </c>
      <c r="P113" s="8">
        <f>IF(OR(J113="",N113=""),"",J113-N113)</f>
        <v/>
      </c>
      <c r="Q113" s="11">
        <f>IFERROR(P113/J113,"")</f>
        <v/>
      </c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10" t="n"/>
      <c r="G114" s="10" t="n"/>
      <c r="H114" s="10" t="n"/>
      <c r="I114" s="2" t="n"/>
      <c r="J114" s="8" t="n"/>
      <c r="K114" s="8">
        <f>IF(J114="","",J114*Configuracion!$G$2)</f>
        <v/>
      </c>
      <c r="L114" s="8">
        <f>IF(J114="","",J114+K114)</f>
        <v/>
      </c>
      <c r="M114" s="8" t="n"/>
      <c r="N114" s="8" t="n"/>
      <c r="O114" s="8">
        <f>IF(OR(J114="",M114=""),"",J114-M114)</f>
        <v/>
      </c>
      <c r="P114" s="8">
        <f>IF(OR(J114="",N114=""),"",J114-N114)</f>
        <v/>
      </c>
      <c r="Q114" s="11">
        <f>IFERROR(P114/J114,"")</f>
        <v/>
      </c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10" t="n"/>
      <c r="G115" s="10" t="n"/>
      <c r="H115" s="10" t="n"/>
      <c r="I115" s="2" t="n"/>
      <c r="J115" s="8" t="n"/>
      <c r="K115" s="8">
        <f>IF(J115="","",J115*Configuracion!$G$2)</f>
        <v/>
      </c>
      <c r="L115" s="8">
        <f>IF(J115="","",J115+K115)</f>
        <v/>
      </c>
      <c r="M115" s="8" t="n"/>
      <c r="N115" s="8" t="n"/>
      <c r="O115" s="8">
        <f>IF(OR(J115="",M115=""),"",J115-M115)</f>
        <v/>
      </c>
      <c r="P115" s="8">
        <f>IF(OR(J115="",N115=""),"",J115-N115)</f>
        <v/>
      </c>
      <c r="Q115" s="11">
        <f>IFERROR(P115/J115,"")</f>
        <v/>
      </c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10" t="n"/>
      <c r="G116" s="10" t="n"/>
      <c r="H116" s="10" t="n"/>
      <c r="I116" s="2" t="n"/>
      <c r="J116" s="8" t="n"/>
      <c r="K116" s="8">
        <f>IF(J116="","",J116*Configuracion!$G$2)</f>
        <v/>
      </c>
      <c r="L116" s="8">
        <f>IF(J116="","",J116+K116)</f>
        <v/>
      </c>
      <c r="M116" s="8" t="n"/>
      <c r="N116" s="8" t="n"/>
      <c r="O116" s="8">
        <f>IF(OR(J116="",M116=""),"",J116-M116)</f>
        <v/>
      </c>
      <c r="P116" s="8">
        <f>IF(OR(J116="",N116=""),"",J116-N116)</f>
        <v/>
      </c>
      <c r="Q116" s="11">
        <f>IFERROR(P116/J116,"")</f>
        <v/>
      </c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10" t="n"/>
      <c r="G117" s="10" t="n"/>
      <c r="H117" s="10" t="n"/>
      <c r="I117" s="2" t="n"/>
      <c r="J117" s="8" t="n"/>
      <c r="K117" s="8">
        <f>IF(J117="","",J117*Configuracion!$G$2)</f>
        <v/>
      </c>
      <c r="L117" s="8">
        <f>IF(J117="","",J117+K117)</f>
        <v/>
      </c>
      <c r="M117" s="8" t="n"/>
      <c r="N117" s="8" t="n"/>
      <c r="O117" s="8">
        <f>IF(OR(J117="",M117=""),"",J117-M117)</f>
        <v/>
      </c>
      <c r="P117" s="8">
        <f>IF(OR(J117="",N117=""),"",J117-N117)</f>
        <v/>
      </c>
      <c r="Q117" s="11">
        <f>IFERROR(P117/J117,"")</f>
        <v/>
      </c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10" t="n"/>
      <c r="G118" s="10" t="n"/>
      <c r="H118" s="10" t="n"/>
      <c r="I118" s="2" t="n"/>
      <c r="J118" s="8" t="n"/>
      <c r="K118" s="8">
        <f>IF(J118="","",J118*Configuracion!$G$2)</f>
        <v/>
      </c>
      <c r="L118" s="8">
        <f>IF(J118="","",J118+K118)</f>
        <v/>
      </c>
      <c r="M118" s="8" t="n"/>
      <c r="N118" s="8" t="n"/>
      <c r="O118" s="8">
        <f>IF(OR(J118="",M118=""),"",J118-M118)</f>
        <v/>
      </c>
      <c r="P118" s="8">
        <f>IF(OR(J118="",N118=""),"",J118-N118)</f>
        <v/>
      </c>
      <c r="Q118" s="11">
        <f>IFERROR(P118/J118,"")</f>
        <v/>
      </c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10" t="n"/>
      <c r="G119" s="10" t="n"/>
      <c r="H119" s="10" t="n"/>
      <c r="I119" s="2" t="n"/>
      <c r="J119" s="8" t="n"/>
      <c r="K119" s="8">
        <f>IF(J119="","",J119*Configuracion!$G$2)</f>
        <v/>
      </c>
      <c r="L119" s="8">
        <f>IF(J119="","",J119+K119)</f>
        <v/>
      </c>
      <c r="M119" s="8" t="n"/>
      <c r="N119" s="8" t="n"/>
      <c r="O119" s="8">
        <f>IF(OR(J119="",M119=""),"",J119-M119)</f>
        <v/>
      </c>
      <c r="P119" s="8">
        <f>IF(OR(J119="",N119=""),"",J119-N119)</f>
        <v/>
      </c>
      <c r="Q119" s="11">
        <f>IFERROR(P119/J119,"")</f>
        <v/>
      </c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10" t="n"/>
      <c r="G120" s="10" t="n"/>
      <c r="H120" s="10" t="n"/>
      <c r="I120" s="2" t="n"/>
      <c r="J120" s="8" t="n"/>
      <c r="K120" s="8">
        <f>IF(J120="","",J120*Configuracion!$G$2)</f>
        <v/>
      </c>
      <c r="L120" s="8">
        <f>IF(J120="","",J120+K120)</f>
        <v/>
      </c>
      <c r="M120" s="8" t="n"/>
      <c r="N120" s="8" t="n"/>
      <c r="O120" s="8">
        <f>IF(OR(J120="",M120=""),"",J120-M120)</f>
        <v/>
      </c>
      <c r="P120" s="8">
        <f>IF(OR(J120="",N120=""),"",J120-N120)</f>
        <v/>
      </c>
      <c r="Q120" s="11">
        <f>IFERROR(P120/J120,"")</f>
        <v/>
      </c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10" t="n"/>
      <c r="G121" s="10" t="n"/>
      <c r="H121" s="10" t="n"/>
      <c r="I121" s="2" t="n"/>
      <c r="J121" s="8" t="n"/>
      <c r="K121" s="8">
        <f>IF(J121="","",J121*Configuracion!$G$2)</f>
        <v/>
      </c>
      <c r="L121" s="8">
        <f>IF(J121="","",J121+K121)</f>
        <v/>
      </c>
      <c r="M121" s="8" t="n"/>
      <c r="N121" s="8" t="n"/>
      <c r="O121" s="8">
        <f>IF(OR(J121="",M121=""),"",J121-M121)</f>
        <v/>
      </c>
      <c r="P121" s="8">
        <f>IF(OR(J121="",N121=""),"",J121-N121)</f>
        <v/>
      </c>
      <c r="Q121" s="11">
        <f>IFERROR(P121/J121,"")</f>
        <v/>
      </c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10" t="n"/>
      <c r="G122" s="10" t="n"/>
      <c r="H122" s="10" t="n"/>
      <c r="I122" s="2" t="n"/>
      <c r="J122" s="8" t="n"/>
      <c r="K122" s="8">
        <f>IF(J122="","",J122*Configuracion!$G$2)</f>
        <v/>
      </c>
      <c r="L122" s="8">
        <f>IF(J122="","",J122+K122)</f>
        <v/>
      </c>
      <c r="M122" s="8" t="n"/>
      <c r="N122" s="8" t="n"/>
      <c r="O122" s="8">
        <f>IF(OR(J122="",M122=""),"",J122-M122)</f>
        <v/>
      </c>
      <c r="P122" s="8">
        <f>IF(OR(J122="",N122=""),"",J122-N122)</f>
        <v/>
      </c>
      <c r="Q122" s="11">
        <f>IFERROR(P122/J122,"")</f>
        <v/>
      </c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10" t="n"/>
      <c r="G123" s="10" t="n"/>
      <c r="H123" s="10" t="n"/>
      <c r="I123" s="2" t="n"/>
      <c r="J123" s="8" t="n"/>
      <c r="K123" s="8">
        <f>IF(J123="","",J123*Configuracion!$G$2)</f>
        <v/>
      </c>
      <c r="L123" s="8">
        <f>IF(J123="","",J123+K123)</f>
        <v/>
      </c>
      <c r="M123" s="8" t="n"/>
      <c r="N123" s="8" t="n"/>
      <c r="O123" s="8">
        <f>IF(OR(J123="",M123=""),"",J123-M123)</f>
        <v/>
      </c>
      <c r="P123" s="8">
        <f>IF(OR(J123="",N123=""),"",J123-N123)</f>
        <v/>
      </c>
      <c r="Q123" s="11">
        <f>IFERROR(P123/J123,"")</f>
        <v/>
      </c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10" t="n"/>
      <c r="G124" s="10" t="n"/>
      <c r="H124" s="10" t="n"/>
      <c r="I124" s="2" t="n"/>
      <c r="J124" s="8" t="n"/>
      <c r="K124" s="8">
        <f>IF(J124="","",J124*Configuracion!$G$2)</f>
        <v/>
      </c>
      <c r="L124" s="8">
        <f>IF(J124="","",J124+K124)</f>
        <v/>
      </c>
      <c r="M124" s="8" t="n"/>
      <c r="N124" s="8" t="n"/>
      <c r="O124" s="8">
        <f>IF(OR(J124="",M124=""),"",J124-M124)</f>
        <v/>
      </c>
      <c r="P124" s="8">
        <f>IF(OR(J124="",N124=""),"",J124-N124)</f>
        <v/>
      </c>
      <c r="Q124" s="11">
        <f>IFERROR(P124/J124,"")</f>
        <v/>
      </c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10" t="n"/>
      <c r="G125" s="10" t="n"/>
      <c r="H125" s="10" t="n"/>
      <c r="I125" s="2" t="n"/>
      <c r="J125" s="8" t="n"/>
      <c r="K125" s="8">
        <f>IF(J125="","",J125*Configuracion!$G$2)</f>
        <v/>
      </c>
      <c r="L125" s="8">
        <f>IF(J125="","",J125+K125)</f>
        <v/>
      </c>
      <c r="M125" s="8" t="n"/>
      <c r="N125" s="8" t="n"/>
      <c r="O125" s="8">
        <f>IF(OR(J125="",M125=""),"",J125-M125)</f>
        <v/>
      </c>
      <c r="P125" s="8">
        <f>IF(OR(J125="",N125=""),"",J125-N125)</f>
        <v/>
      </c>
      <c r="Q125" s="11">
        <f>IFERROR(P125/J125,"")</f>
        <v/>
      </c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10" t="n"/>
      <c r="G126" s="10" t="n"/>
      <c r="H126" s="10" t="n"/>
      <c r="I126" s="2" t="n"/>
      <c r="J126" s="8" t="n"/>
      <c r="K126" s="8">
        <f>IF(J126="","",J126*Configuracion!$G$2)</f>
        <v/>
      </c>
      <c r="L126" s="8">
        <f>IF(J126="","",J126+K126)</f>
        <v/>
      </c>
      <c r="M126" s="8" t="n"/>
      <c r="N126" s="8" t="n"/>
      <c r="O126" s="8">
        <f>IF(OR(J126="",M126=""),"",J126-M126)</f>
        <v/>
      </c>
      <c r="P126" s="8">
        <f>IF(OR(J126="",N126=""),"",J126-N126)</f>
        <v/>
      </c>
      <c r="Q126" s="11">
        <f>IFERROR(P126/J126,"")</f>
        <v/>
      </c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10" t="n"/>
      <c r="G127" s="10" t="n"/>
      <c r="H127" s="10" t="n"/>
      <c r="I127" s="2" t="n"/>
      <c r="J127" s="8" t="n"/>
      <c r="K127" s="8">
        <f>IF(J127="","",J127*Configuracion!$G$2)</f>
        <v/>
      </c>
      <c r="L127" s="8">
        <f>IF(J127="","",J127+K127)</f>
        <v/>
      </c>
      <c r="M127" s="8" t="n"/>
      <c r="N127" s="8" t="n"/>
      <c r="O127" s="8">
        <f>IF(OR(J127="",M127=""),"",J127-M127)</f>
        <v/>
      </c>
      <c r="P127" s="8">
        <f>IF(OR(J127="",N127=""),"",J127-N127)</f>
        <v/>
      </c>
      <c r="Q127" s="11">
        <f>IFERROR(P127/J127,"")</f>
        <v/>
      </c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10" t="n"/>
      <c r="G128" s="10" t="n"/>
      <c r="H128" s="10" t="n"/>
      <c r="I128" s="2" t="n"/>
      <c r="J128" s="8" t="n"/>
      <c r="K128" s="8">
        <f>IF(J128="","",J128*Configuracion!$G$2)</f>
        <v/>
      </c>
      <c r="L128" s="8">
        <f>IF(J128="","",J128+K128)</f>
        <v/>
      </c>
      <c r="M128" s="8" t="n"/>
      <c r="N128" s="8" t="n"/>
      <c r="O128" s="8">
        <f>IF(OR(J128="",M128=""),"",J128-M128)</f>
        <v/>
      </c>
      <c r="P128" s="8">
        <f>IF(OR(J128="",N128=""),"",J128-N128)</f>
        <v/>
      </c>
      <c r="Q128" s="11">
        <f>IFERROR(P128/J128,"")</f>
        <v/>
      </c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10" t="n"/>
      <c r="G129" s="10" t="n"/>
      <c r="H129" s="10" t="n"/>
      <c r="I129" s="2" t="n"/>
      <c r="J129" s="8" t="n"/>
      <c r="K129" s="8">
        <f>IF(J129="","",J129*Configuracion!$G$2)</f>
        <v/>
      </c>
      <c r="L129" s="8">
        <f>IF(J129="","",J129+K129)</f>
        <v/>
      </c>
      <c r="M129" s="8" t="n"/>
      <c r="N129" s="8" t="n"/>
      <c r="O129" s="8">
        <f>IF(OR(J129="",M129=""),"",J129-M129)</f>
        <v/>
      </c>
      <c r="P129" s="8">
        <f>IF(OR(J129="",N129=""),"",J129-N129)</f>
        <v/>
      </c>
      <c r="Q129" s="11">
        <f>IFERROR(P129/J129,"")</f>
        <v/>
      </c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10" t="n"/>
      <c r="G130" s="10" t="n"/>
      <c r="H130" s="10" t="n"/>
      <c r="I130" s="2" t="n"/>
      <c r="J130" s="8" t="n"/>
      <c r="K130" s="8">
        <f>IF(J130="","",J130*Configuracion!$G$2)</f>
        <v/>
      </c>
      <c r="L130" s="8">
        <f>IF(J130="","",J130+K130)</f>
        <v/>
      </c>
      <c r="M130" s="8" t="n"/>
      <c r="N130" s="8" t="n"/>
      <c r="O130" s="8">
        <f>IF(OR(J130="",M130=""),"",J130-M130)</f>
        <v/>
      </c>
      <c r="P130" s="8">
        <f>IF(OR(J130="",N130=""),"",J130-N130)</f>
        <v/>
      </c>
      <c r="Q130" s="11">
        <f>IFERROR(P130/J130,"")</f>
        <v/>
      </c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10" t="n"/>
      <c r="G131" s="10" t="n"/>
      <c r="H131" s="10" t="n"/>
      <c r="I131" s="2" t="n"/>
      <c r="J131" s="8" t="n"/>
      <c r="K131" s="8">
        <f>IF(J131="","",J131*Configuracion!$G$2)</f>
        <v/>
      </c>
      <c r="L131" s="8">
        <f>IF(J131="","",J131+K131)</f>
        <v/>
      </c>
      <c r="M131" s="8" t="n"/>
      <c r="N131" s="8" t="n"/>
      <c r="O131" s="8">
        <f>IF(OR(J131="",M131=""),"",J131-M131)</f>
        <v/>
      </c>
      <c r="P131" s="8">
        <f>IF(OR(J131="",N131=""),"",J131-N131)</f>
        <v/>
      </c>
      <c r="Q131" s="11">
        <f>IFERROR(P131/J131,"")</f>
        <v/>
      </c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10" t="n"/>
      <c r="G132" s="10" t="n"/>
      <c r="H132" s="10" t="n"/>
      <c r="I132" s="2" t="n"/>
      <c r="J132" s="8" t="n"/>
      <c r="K132" s="8">
        <f>IF(J132="","",J132*Configuracion!$G$2)</f>
        <v/>
      </c>
      <c r="L132" s="8">
        <f>IF(J132="","",J132+K132)</f>
        <v/>
      </c>
      <c r="M132" s="8" t="n"/>
      <c r="N132" s="8" t="n"/>
      <c r="O132" s="8">
        <f>IF(OR(J132="",M132=""),"",J132-M132)</f>
        <v/>
      </c>
      <c r="P132" s="8">
        <f>IF(OR(J132="",N132=""),"",J132-N132)</f>
        <v/>
      </c>
      <c r="Q132" s="11">
        <f>IFERROR(P132/J132,"")</f>
        <v/>
      </c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10" t="n"/>
      <c r="G133" s="10" t="n"/>
      <c r="H133" s="10" t="n"/>
      <c r="I133" s="2" t="n"/>
      <c r="J133" s="8" t="n"/>
      <c r="K133" s="8">
        <f>IF(J133="","",J133*Configuracion!$G$2)</f>
        <v/>
      </c>
      <c r="L133" s="8">
        <f>IF(J133="","",J133+K133)</f>
        <v/>
      </c>
      <c r="M133" s="8" t="n"/>
      <c r="N133" s="8" t="n"/>
      <c r="O133" s="8">
        <f>IF(OR(J133="",M133=""),"",J133-M133)</f>
        <v/>
      </c>
      <c r="P133" s="8">
        <f>IF(OR(J133="",N133=""),"",J133-N133)</f>
        <v/>
      </c>
      <c r="Q133" s="11">
        <f>IFERROR(P133/J133,"")</f>
        <v/>
      </c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10" t="n"/>
      <c r="G134" s="10" t="n"/>
      <c r="H134" s="10" t="n"/>
      <c r="I134" s="2" t="n"/>
      <c r="J134" s="8" t="n"/>
      <c r="K134" s="8">
        <f>IF(J134="","",J134*Configuracion!$G$2)</f>
        <v/>
      </c>
      <c r="L134" s="8">
        <f>IF(J134="","",J134+K134)</f>
        <v/>
      </c>
      <c r="M134" s="8" t="n"/>
      <c r="N134" s="8" t="n"/>
      <c r="O134" s="8">
        <f>IF(OR(J134="",M134=""),"",J134-M134)</f>
        <v/>
      </c>
      <c r="P134" s="8">
        <f>IF(OR(J134="",N134=""),"",J134-N134)</f>
        <v/>
      </c>
      <c r="Q134" s="11">
        <f>IFERROR(P134/J134,"")</f>
        <v/>
      </c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10" t="n"/>
      <c r="G135" s="10" t="n"/>
      <c r="H135" s="10" t="n"/>
      <c r="I135" s="2" t="n"/>
      <c r="J135" s="8" t="n"/>
      <c r="K135" s="8">
        <f>IF(J135="","",J135*Configuracion!$G$2)</f>
        <v/>
      </c>
      <c r="L135" s="8">
        <f>IF(J135="","",J135+K135)</f>
        <v/>
      </c>
      <c r="M135" s="8" t="n"/>
      <c r="N135" s="8" t="n"/>
      <c r="O135" s="8">
        <f>IF(OR(J135="",M135=""),"",J135-M135)</f>
        <v/>
      </c>
      <c r="P135" s="8">
        <f>IF(OR(J135="",N135=""),"",J135-N135)</f>
        <v/>
      </c>
      <c r="Q135" s="11">
        <f>IFERROR(P135/J135,"")</f>
        <v/>
      </c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10" t="n"/>
      <c r="G136" s="10" t="n"/>
      <c r="H136" s="10" t="n"/>
      <c r="I136" s="2" t="n"/>
      <c r="J136" s="8" t="n"/>
      <c r="K136" s="8">
        <f>IF(J136="","",J136*Configuracion!$G$2)</f>
        <v/>
      </c>
      <c r="L136" s="8">
        <f>IF(J136="","",J136+K136)</f>
        <v/>
      </c>
      <c r="M136" s="8" t="n"/>
      <c r="N136" s="8" t="n"/>
      <c r="O136" s="8">
        <f>IF(OR(J136="",M136=""),"",J136-M136)</f>
        <v/>
      </c>
      <c r="P136" s="8">
        <f>IF(OR(J136="",N136=""),"",J136-N136)</f>
        <v/>
      </c>
      <c r="Q136" s="11">
        <f>IFERROR(P136/J136,"")</f>
        <v/>
      </c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10" t="n"/>
      <c r="G137" s="10" t="n"/>
      <c r="H137" s="10" t="n"/>
      <c r="I137" s="2" t="n"/>
      <c r="J137" s="8" t="n"/>
      <c r="K137" s="8">
        <f>IF(J137="","",J137*Configuracion!$G$2)</f>
        <v/>
      </c>
      <c r="L137" s="8">
        <f>IF(J137="","",J137+K137)</f>
        <v/>
      </c>
      <c r="M137" s="8" t="n"/>
      <c r="N137" s="8" t="n"/>
      <c r="O137" s="8">
        <f>IF(OR(J137="",M137=""),"",J137-M137)</f>
        <v/>
      </c>
      <c r="P137" s="8">
        <f>IF(OR(J137="",N137=""),"",J137-N137)</f>
        <v/>
      </c>
      <c r="Q137" s="11">
        <f>IFERROR(P137/J137,"")</f>
        <v/>
      </c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10" t="n"/>
      <c r="G138" s="10" t="n"/>
      <c r="H138" s="10" t="n"/>
      <c r="I138" s="2" t="n"/>
      <c r="J138" s="8" t="n"/>
      <c r="K138" s="8">
        <f>IF(J138="","",J138*Configuracion!$G$2)</f>
        <v/>
      </c>
      <c r="L138" s="8">
        <f>IF(J138="","",J138+K138)</f>
        <v/>
      </c>
      <c r="M138" s="8" t="n"/>
      <c r="N138" s="8" t="n"/>
      <c r="O138" s="8">
        <f>IF(OR(J138="",M138=""),"",J138-M138)</f>
        <v/>
      </c>
      <c r="P138" s="8">
        <f>IF(OR(J138="",N138=""),"",J138-N138)</f>
        <v/>
      </c>
      <c r="Q138" s="11">
        <f>IFERROR(P138/J138,"")</f>
        <v/>
      </c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10" t="n"/>
      <c r="G139" s="10" t="n"/>
      <c r="H139" s="10" t="n"/>
      <c r="I139" s="2" t="n"/>
      <c r="J139" s="8" t="n"/>
      <c r="K139" s="8">
        <f>IF(J139="","",J139*Configuracion!$G$2)</f>
        <v/>
      </c>
      <c r="L139" s="8">
        <f>IF(J139="","",J139+K139)</f>
        <v/>
      </c>
      <c r="M139" s="8" t="n"/>
      <c r="N139" s="8" t="n"/>
      <c r="O139" s="8">
        <f>IF(OR(J139="",M139=""),"",J139-M139)</f>
        <v/>
      </c>
      <c r="P139" s="8">
        <f>IF(OR(J139="",N139=""),"",J139-N139)</f>
        <v/>
      </c>
      <c r="Q139" s="11">
        <f>IFERROR(P139/J139,"")</f>
        <v/>
      </c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10" t="n"/>
      <c r="G140" s="10" t="n"/>
      <c r="H140" s="10" t="n"/>
      <c r="I140" s="2" t="n"/>
      <c r="J140" s="8" t="n"/>
      <c r="K140" s="8">
        <f>IF(J140="","",J140*Configuracion!$G$2)</f>
        <v/>
      </c>
      <c r="L140" s="8">
        <f>IF(J140="","",J140+K140)</f>
        <v/>
      </c>
      <c r="M140" s="8" t="n"/>
      <c r="N140" s="8" t="n"/>
      <c r="O140" s="8">
        <f>IF(OR(J140="",M140=""),"",J140-M140)</f>
        <v/>
      </c>
      <c r="P140" s="8">
        <f>IF(OR(J140="",N140=""),"",J140-N140)</f>
        <v/>
      </c>
      <c r="Q140" s="11">
        <f>IFERROR(P140/J140,"")</f>
        <v/>
      </c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10" t="n"/>
      <c r="G141" s="10" t="n"/>
      <c r="H141" s="10" t="n"/>
      <c r="I141" s="2" t="n"/>
      <c r="J141" s="8" t="n"/>
      <c r="K141" s="8">
        <f>IF(J141="","",J141*Configuracion!$G$2)</f>
        <v/>
      </c>
      <c r="L141" s="8">
        <f>IF(J141="","",J141+K141)</f>
        <v/>
      </c>
      <c r="M141" s="8" t="n"/>
      <c r="N141" s="8" t="n"/>
      <c r="O141" s="8">
        <f>IF(OR(J141="",M141=""),"",J141-M141)</f>
        <v/>
      </c>
      <c r="P141" s="8">
        <f>IF(OR(J141="",N141=""),"",J141-N141)</f>
        <v/>
      </c>
      <c r="Q141" s="11">
        <f>IFERROR(P141/J141,"")</f>
        <v/>
      </c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10" t="n"/>
      <c r="G142" s="10" t="n"/>
      <c r="H142" s="10" t="n"/>
      <c r="I142" s="2" t="n"/>
      <c r="J142" s="8" t="n"/>
      <c r="K142" s="8">
        <f>IF(J142="","",J142*Configuracion!$G$2)</f>
        <v/>
      </c>
      <c r="L142" s="8">
        <f>IF(J142="","",J142+K142)</f>
        <v/>
      </c>
      <c r="M142" s="8" t="n"/>
      <c r="N142" s="8" t="n"/>
      <c r="O142" s="8">
        <f>IF(OR(J142="",M142=""),"",J142-M142)</f>
        <v/>
      </c>
      <c r="P142" s="8">
        <f>IF(OR(J142="",N142=""),"",J142-N142)</f>
        <v/>
      </c>
      <c r="Q142" s="11">
        <f>IFERROR(P142/J142,"")</f>
        <v/>
      </c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10" t="n"/>
      <c r="G143" s="10" t="n"/>
      <c r="H143" s="10" t="n"/>
      <c r="I143" s="2" t="n"/>
      <c r="J143" s="8" t="n"/>
      <c r="K143" s="8">
        <f>IF(J143="","",J143*Configuracion!$G$2)</f>
        <v/>
      </c>
      <c r="L143" s="8">
        <f>IF(J143="","",J143+K143)</f>
        <v/>
      </c>
      <c r="M143" s="8" t="n"/>
      <c r="N143" s="8" t="n"/>
      <c r="O143" s="8">
        <f>IF(OR(J143="",M143=""),"",J143-M143)</f>
        <v/>
      </c>
      <c r="P143" s="8">
        <f>IF(OR(J143="",N143=""),"",J143-N143)</f>
        <v/>
      </c>
      <c r="Q143" s="11">
        <f>IFERROR(P143/J143,"")</f>
        <v/>
      </c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10" t="n"/>
      <c r="G144" s="10" t="n"/>
      <c r="H144" s="10" t="n"/>
      <c r="I144" s="2" t="n"/>
      <c r="J144" s="8" t="n"/>
      <c r="K144" s="8">
        <f>IF(J144="","",J144*Configuracion!$G$2)</f>
        <v/>
      </c>
      <c r="L144" s="8">
        <f>IF(J144="","",J144+K144)</f>
        <v/>
      </c>
      <c r="M144" s="8" t="n"/>
      <c r="N144" s="8" t="n"/>
      <c r="O144" s="8">
        <f>IF(OR(J144="",M144=""),"",J144-M144)</f>
        <v/>
      </c>
      <c r="P144" s="8">
        <f>IF(OR(J144="",N144=""),"",J144-N144)</f>
        <v/>
      </c>
      <c r="Q144" s="11">
        <f>IFERROR(P144/J144,"")</f>
        <v/>
      </c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10" t="n"/>
      <c r="G145" s="10" t="n"/>
      <c r="H145" s="10" t="n"/>
      <c r="I145" s="2" t="n"/>
      <c r="J145" s="8" t="n"/>
      <c r="K145" s="8">
        <f>IF(J145="","",J145*Configuracion!$G$2)</f>
        <v/>
      </c>
      <c r="L145" s="8">
        <f>IF(J145="","",J145+K145)</f>
        <v/>
      </c>
      <c r="M145" s="8" t="n"/>
      <c r="N145" s="8" t="n"/>
      <c r="O145" s="8">
        <f>IF(OR(J145="",M145=""),"",J145-M145)</f>
        <v/>
      </c>
      <c r="P145" s="8">
        <f>IF(OR(J145="",N145=""),"",J145-N145)</f>
        <v/>
      </c>
      <c r="Q145" s="11">
        <f>IFERROR(P145/J145,"")</f>
        <v/>
      </c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10" t="n"/>
      <c r="G146" s="10" t="n"/>
      <c r="H146" s="10" t="n"/>
      <c r="I146" s="2" t="n"/>
      <c r="J146" s="8" t="n"/>
      <c r="K146" s="8">
        <f>IF(J146="","",J146*Configuracion!$G$2)</f>
        <v/>
      </c>
      <c r="L146" s="8">
        <f>IF(J146="","",J146+K146)</f>
        <v/>
      </c>
      <c r="M146" s="8" t="n"/>
      <c r="N146" s="8" t="n"/>
      <c r="O146" s="8">
        <f>IF(OR(J146="",M146=""),"",J146-M146)</f>
        <v/>
      </c>
      <c r="P146" s="8">
        <f>IF(OR(J146="",N146=""),"",J146-N146)</f>
        <v/>
      </c>
      <c r="Q146" s="11">
        <f>IFERROR(P146/J146,"")</f>
        <v/>
      </c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10" t="n"/>
      <c r="G147" s="10" t="n"/>
      <c r="H147" s="10" t="n"/>
      <c r="I147" s="2" t="n"/>
      <c r="J147" s="8" t="n"/>
      <c r="K147" s="8">
        <f>IF(J147="","",J147*Configuracion!$G$2)</f>
        <v/>
      </c>
      <c r="L147" s="8">
        <f>IF(J147="","",J147+K147)</f>
        <v/>
      </c>
      <c r="M147" s="8" t="n"/>
      <c r="N147" s="8" t="n"/>
      <c r="O147" s="8">
        <f>IF(OR(J147="",M147=""),"",J147-M147)</f>
        <v/>
      </c>
      <c r="P147" s="8">
        <f>IF(OR(J147="",N147=""),"",J147-N147)</f>
        <v/>
      </c>
      <c r="Q147" s="11">
        <f>IFERROR(P147/J147,"")</f>
        <v/>
      </c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10" t="n"/>
      <c r="G148" s="10" t="n"/>
      <c r="H148" s="10" t="n"/>
      <c r="I148" s="2" t="n"/>
      <c r="J148" s="8" t="n"/>
      <c r="K148" s="8">
        <f>IF(J148="","",J148*Configuracion!$G$2)</f>
        <v/>
      </c>
      <c r="L148" s="8">
        <f>IF(J148="","",J148+K148)</f>
        <v/>
      </c>
      <c r="M148" s="8" t="n"/>
      <c r="N148" s="8" t="n"/>
      <c r="O148" s="8">
        <f>IF(OR(J148="",M148=""),"",J148-M148)</f>
        <v/>
      </c>
      <c r="P148" s="8">
        <f>IF(OR(J148="",N148=""),"",J148-N148)</f>
        <v/>
      </c>
      <c r="Q148" s="11">
        <f>IFERROR(P148/J148,"")</f>
        <v/>
      </c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10" t="n"/>
      <c r="G149" s="10" t="n"/>
      <c r="H149" s="10" t="n"/>
      <c r="I149" s="2" t="n"/>
      <c r="J149" s="8" t="n"/>
      <c r="K149" s="8">
        <f>IF(J149="","",J149*Configuracion!$G$2)</f>
        <v/>
      </c>
      <c r="L149" s="8">
        <f>IF(J149="","",J149+K149)</f>
        <v/>
      </c>
      <c r="M149" s="8" t="n"/>
      <c r="N149" s="8" t="n"/>
      <c r="O149" s="8">
        <f>IF(OR(J149="",M149=""),"",J149-M149)</f>
        <v/>
      </c>
      <c r="P149" s="8">
        <f>IF(OR(J149="",N149=""),"",J149-N149)</f>
        <v/>
      </c>
      <c r="Q149" s="11">
        <f>IFERROR(P149/J149,"")</f>
        <v/>
      </c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10" t="n"/>
      <c r="G150" s="10" t="n"/>
      <c r="H150" s="10" t="n"/>
      <c r="I150" s="2" t="n"/>
      <c r="J150" s="8" t="n"/>
      <c r="K150" s="8">
        <f>IF(J150="","",J150*Configuracion!$G$2)</f>
        <v/>
      </c>
      <c r="L150" s="8">
        <f>IF(J150="","",J150+K150)</f>
        <v/>
      </c>
      <c r="M150" s="8" t="n"/>
      <c r="N150" s="8" t="n"/>
      <c r="O150" s="8">
        <f>IF(OR(J150="",M150=""),"",J150-M150)</f>
        <v/>
      </c>
      <c r="P150" s="8">
        <f>IF(OR(J150="",N150=""),"",J150-N150)</f>
        <v/>
      </c>
      <c r="Q150" s="11">
        <f>IFERROR(P150/J150,"")</f>
        <v/>
      </c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10" t="n"/>
      <c r="G151" s="10" t="n"/>
      <c r="H151" s="10" t="n"/>
      <c r="I151" s="2" t="n"/>
      <c r="J151" s="8" t="n"/>
      <c r="K151" s="8">
        <f>IF(J151="","",J151*Configuracion!$G$2)</f>
        <v/>
      </c>
      <c r="L151" s="8">
        <f>IF(J151="","",J151+K151)</f>
        <v/>
      </c>
      <c r="M151" s="8" t="n"/>
      <c r="N151" s="8" t="n"/>
      <c r="O151" s="8">
        <f>IF(OR(J151="",M151=""),"",J151-M151)</f>
        <v/>
      </c>
      <c r="P151" s="8">
        <f>IF(OR(J151="",N151=""),"",J151-N151)</f>
        <v/>
      </c>
      <c r="Q151" s="11">
        <f>IFERROR(P151/J151,"")</f>
        <v/>
      </c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10" t="n"/>
      <c r="G152" s="10" t="n"/>
      <c r="H152" s="10" t="n"/>
      <c r="I152" s="2" t="n"/>
      <c r="J152" s="8" t="n"/>
      <c r="K152" s="8">
        <f>IF(J152="","",J152*Configuracion!$G$2)</f>
        <v/>
      </c>
      <c r="L152" s="8">
        <f>IF(J152="","",J152+K152)</f>
        <v/>
      </c>
      <c r="M152" s="8" t="n"/>
      <c r="N152" s="8" t="n"/>
      <c r="O152" s="8">
        <f>IF(OR(J152="",M152=""),"",J152-M152)</f>
        <v/>
      </c>
      <c r="P152" s="8">
        <f>IF(OR(J152="",N152=""),"",J152-N152)</f>
        <v/>
      </c>
      <c r="Q152" s="11">
        <f>IFERROR(P152/J152,"")</f>
        <v/>
      </c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10" t="n"/>
      <c r="G153" s="10" t="n"/>
      <c r="H153" s="10" t="n"/>
      <c r="I153" s="2" t="n"/>
      <c r="J153" s="8" t="n"/>
      <c r="K153" s="8">
        <f>IF(J153="","",J153*Configuracion!$G$2)</f>
        <v/>
      </c>
      <c r="L153" s="8">
        <f>IF(J153="","",J153+K153)</f>
        <v/>
      </c>
      <c r="M153" s="8" t="n"/>
      <c r="N153" s="8" t="n"/>
      <c r="O153" s="8">
        <f>IF(OR(J153="",M153=""),"",J153-M153)</f>
        <v/>
      </c>
      <c r="P153" s="8">
        <f>IF(OR(J153="",N153=""),"",J153-N153)</f>
        <v/>
      </c>
      <c r="Q153" s="11">
        <f>IFERROR(P153/J153,"")</f>
        <v/>
      </c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10" t="n"/>
      <c r="G154" s="10" t="n"/>
      <c r="H154" s="10" t="n"/>
      <c r="I154" s="2" t="n"/>
      <c r="J154" s="8" t="n"/>
      <c r="K154" s="8">
        <f>IF(J154="","",J154*Configuracion!$G$2)</f>
        <v/>
      </c>
      <c r="L154" s="8">
        <f>IF(J154="","",J154+K154)</f>
        <v/>
      </c>
      <c r="M154" s="8" t="n"/>
      <c r="N154" s="8" t="n"/>
      <c r="O154" s="8">
        <f>IF(OR(J154="",M154=""),"",J154-M154)</f>
        <v/>
      </c>
      <c r="P154" s="8">
        <f>IF(OR(J154="",N154=""),"",J154-N154)</f>
        <v/>
      </c>
      <c r="Q154" s="11">
        <f>IFERROR(P154/J154,"")</f>
        <v/>
      </c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10" t="n"/>
      <c r="G155" s="10" t="n"/>
      <c r="H155" s="10" t="n"/>
      <c r="I155" s="2" t="n"/>
      <c r="J155" s="8" t="n"/>
      <c r="K155" s="8">
        <f>IF(J155="","",J155*Configuracion!$G$2)</f>
        <v/>
      </c>
      <c r="L155" s="8">
        <f>IF(J155="","",J155+K155)</f>
        <v/>
      </c>
      <c r="M155" s="8" t="n"/>
      <c r="N155" s="8" t="n"/>
      <c r="O155" s="8">
        <f>IF(OR(J155="",M155=""),"",J155-M155)</f>
        <v/>
      </c>
      <c r="P155" s="8">
        <f>IF(OR(J155="",N155=""),"",J155-N155)</f>
        <v/>
      </c>
      <c r="Q155" s="11">
        <f>IFERROR(P155/J155,"")</f>
        <v/>
      </c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10" t="n"/>
      <c r="G156" s="10" t="n"/>
      <c r="H156" s="10" t="n"/>
      <c r="I156" s="2" t="n"/>
      <c r="J156" s="8" t="n"/>
      <c r="K156" s="8">
        <f>IF(J156="","",J156*Configuracion!$G$2)</f>
        <v/>
      </c>
      <c r="L156" s="8">
        <f>IF(J156="","",J156+K156)</f>
        <v/>
      </c>
      <c r="M156" s="8" t="n"/>
      <c r="N156" s="8" t="n"/>
      <c r="O156" s="8">
        <f>IF(OR(J156="",M156=""),"",J156-M156)</f>
        <v/>
      </c>
      <c r="P156" s="8">
        <f>IF(OR(J156="",N156=""),"",J156-N156)</f>
        <v/>
      </c>
      <c r="Q156" s="11">
        <f>IFERROR(P156/J156,"")</f>
        <v/>
      </c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10" t="n"/>
      <c r="G157" s="10" t="n"/>
      <c r="H157" s="10" t="n"/>
      <c r="I157" s="2" t="n"/>
      <c r="J157" s="8" t="n"/>
      <c r="K157" s="8">
        <f>IF(J157="","",J157*Configuracion!$G$2)</f>
        <v/>
      </c>
      <c r="L157" s="8">
        <f>IF(J157="","",J157+K157)</f>
        <v/>
      </c>
      <c r="M157" s="8" t="n"/>
      <c r="N157" s="8" t="n"/>
      <c r="O157" s="8">
        <f>IF(OR(J157="",M157=""),"",J157-M157)</f>
        <v/>
      </c>
      <c r="P157" s="8">
        <f>IF(OR(J157="",N157=""),"",J157-N157)</f>
        <v/>
      </c>
      <c r="Q157" s="11">
        <f>IFERROR(P157/J157,"")</f>
        <v/>
      </c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10" t="n"/>
      <c r="G158" s="10" t="n"/>
      <c r="H158" s="10" t="n"/>
      <c r="I158" s="2" t="n"/>
      <c r="J158" s="8" t="n"/>
      <c r="K158" s="8">
        <f>IF(J158="","",J158*Configuracion!$G$2)</f>
        <v/>
      </c>
      <c r="L158" s="8">
        <f>IF(J158="","",J158+K158)</f>
        <v/>
      </c>
      <c r="M158" s="8" t="n"/>
      <c r="N158" s="8" t="n"/>
      <c r="O158" s="8">
        <f>IF(OR(J158="",M158=""),"",J158-M158)</f>
        <v/>
      </c>
      <c r="P158" s="8">
        <f>IF(OR(J158="",N158=""),"",J158-N158)</f>
        <v/>
      </c>
      <c r="Q158" s="11">
        <f>IFERROR(P158/J158,"")</f>
        <v/>
      </c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10" t="n"/>
      <c r="G159" s="10" t="n"/>
      <c r="H159" s="10" t="n"/>
      <c r="I159" s="2" t="n"/>
      <c r="J159" s="8" t="n"/>
      <c r="K159" s="8">
        <f>IF(J159="","",J159*Configuracion!$G$2)</f>
        <v/>
      </c>
      <c r="L159" s="8">
        <f>IF(J159="","",J159+K159)</f>
        <v/>
      </c>
      <c r="M159" s="8" t="n"/>
      <c r="N159" s="8" t="n"/>
      <c r="O159" s="8">
        <f>IF(OR(J159="",M159=""),"",J159-M159)</f>
        <v/>
      </c>
      <c r="P159" s="8">
        <f>IF(OR(J159="",N159=""),"",J159-N159)</f>
        <v/>
      </c>
      <c r="Q159" s="11">
        <f>IFERROR(P159/J159,"")</f>
        <v/>
      </c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10" t="n"/>
      <c r="G160" s="10" t="n"/>
      <c r="H160" s="10" t="n"/>
      <c r="I160" s="2" t="n"/>
      <c r="J160" s="8" t="n"/>
      <c r="K160" s="8">
        <f>IF(J160="","",J160*Configuracion!$G$2)</f>
        <v/>
      </c>
      <c r="L160" s="8">
        <f>IF(J160="","",J160+K160)</f>
        <v/>
      </c>
      <c r="M160" s="8" t="n"/>
      <c r="N160" s="8" t="n"/>
      <c r="O160" s="8">
        <f>IF(OR(J160="",M160=""),"",J160-M160)</f>
        <v/>
      </c>
      <c r="P160" s="8">
        <f>IF(OR(J160="",N160=""),"",J160-N160)</f>
        <v/>
      </c>
      <c r="Q160" s="11">
        <f>IFERROR(P160/J160,"")</f>
        <v/>
      </c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10" t="n"/>
      <c r="G161" s="10" t="n"/>
      <c r="H161" s="10" t="n"/>
      <c r="I161" s="2" t="n"/>
      <c r="J161" s="8" t="n"/>
      <c r="K161" s="8">
        <f>IF(J161="","",J161*Configuracion!$G$2)</f>
        <v/>
      </c>
      <c r="L161" s="8">
        <f>IF(J161="","",J161+K161)</f>
        <v/>
      </c>
      <c r="M161" s="8" t="n"/>
      <c r="N161" s="8" t="n"/>
      <c r="O161" s="8">
        <f>IF(OR(J161="",M161=""),"",J161-M161)</f>
        <v/>
      </c>
      <c r="P161" s="8">
        <f>IF(OR(J161="",N161=""),"",J161-N161)</f>
        <v/>
      </c>
      <c r="Q161" s="11">
        <f>IFERROR(P161/J161,"")</f>
        <v/>
      </c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10" t="n"/>
      <c r="G162" s="10" t="n"/>
      <c r="H162" s="10" t="n"/>
      <c r="I162" s="2" t="n"/>
      <c r="J162" s="8" t="n"/>
      <c r="K162" s="8">
        <f>IF(J162="","",J162*Configuracion!$G$2)</f>
        <v/>
      </c>
      <c r="L162" s="8">
        <f>IF(J162="","",J162+K162)</f>
        <v/>
      </c>
      <c r="M162" s="8" t="n"/>
      <c r="N162" s="8" t="n"/>
      <c r="O162" s="8">
        <f>IF(OR(J162="",M162=""),"",J162-M162)</f>
        <v/>
      </c>
      <c r="P162" s="8">
        <f>IF(OR(J162="",N162=""),"",J162-N162)</f>
        <v/>
      </c>
      <c r="Q162" s="11">
        <f>IFERROR(P162/J162,"")</f>
        <v/>
      </c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10" t="n"/>
      <c r="G163" s="10" t="n"/>
      <c r="H163" s="10" t="n"/>
      <c r="I163" s="2" t="n"/>
      <c r="J163" s="8" t="n"/>
      <c r="K163" s="8">
        <f>IF(J163="","",J163*Configuracion!$G$2)</f>
        <v/>
      </c>
      <c r="L163" s="8">
        <f>IF(J163="","",J163+K163)</f>
        <v/>
      </c>
      <c r="M163" s="8" t="n"/>
      <c r="N163" s="8" t="n"/>
      <c r="O163" s="8">
        <f>IF(OR(J163="",M163=""),"",J163-M163)</f>
        <v/>
      </c>
      <c r="P163" s="8">
        <f>IF(OR(J163="",N163=""),"",J163-N163)</f>
        <v/>
      </c>
      <c r="Q163" s="11">
        <f>IFERROR(P163/J163,"")</f>
        <v/>
      </c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10" t="n"/>
      <c r="G164" s="10" t="n"/>
      <c r="H164" s="10" t="n"/>
      <c r="I164" s="2" t="n"/>
      <c r="J164" s="8" t="n"/>
      <c r="K164" s="8">
        <f>IF(J164="","",J164*Configuracion!$G$2)</f>
        <v/>
      </c>
      <c r="L164" s="8">
        <f>IF(J164="","",J164+K164)</f>
        <v/>
      </c>
      <c r="M164" s="8" t="n"/>
      <c r="N164" s="8" t="n"/>
      <c r="O164" s="8">
        <f>IF(OR(J164="",M164=""),"",J164-M164)</f>
        <v/>
      </c>
      <c r="P164" s="8">
        <f>IF(OR(J164="",N164=""),"",J164-N164)</f>
        <v/>
      </c>
      <c r="Q164" s="11">
        <f>IFERROR(P164/J164,"")</f>
        <v/>
      </c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10" t="n"/>
      <c r="G165" s="10" t="n"/>
      <c r="H165" s="10" t="n"/>
      <c r="I165" s="2" t="n"/>
      <c r="J165" s="8" t="n"/>
      <c r="K165" s="8">
        <f>IF(J165="","",J165*Configuracion!$G$2)</f>
        <v/>
      </c>
      <c r="L165" s="8">
        <f>IF(J165="","",J165+K165)</f>
        <v/>
      </c>
      <c r="M165" s="8" t="n"/>
      <c r="N165" s="8" t="n"/>
      <c r="O165" s="8">
        <f>IF(OR(J165="",M165=""),"",J165-M165)</f>
        <v/>
      </c>
      <c r="P165" s="8">
        <f>IF(OR(J165="",N165=""),"",J165-N165)</f>
        <v/>
      </c>
      <c r="Q165" s="11">
        <f>IFERROR(P165/J165,"")</f>
        <v/>
      </c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10" t="n"/>
      <c r="G166" s="10" t="n"/>
      <c r="H166" s="10" t="n"/>
      <c r="I166" s="2" t="n"/>
      <c r="J166" s="8" t="n"/>
      <c r="K166" s="8">
        <f>IF(J166="","",J166*Configuracion!$G$2)</f>
        <v/>
      </c>
      <c r="L166" s="8">
        <f>IF(J166="","",J166+K166)</f>
        <v/>
      </c>
      <c r="M166" s="8" t="n"/>
      <c r="N166" s="8" t="n"/>
      <c r="O166" s="8">
        <f>IF(OR(J166="",M166=""),"",J166-M166)</f>
        <v/>
      </c>
      <c r="P166" s="8">
        <f>IF(OR(J166="",N166=""),"",J166-N166)</f>
        <v/>
      </c>
      <c r="Q166" s="11">
        <f>IFERROR(P166/J166,"")</f>
        <v/>
      </c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10" t="n"/>
      <c r="G167" s="10" t="n"/>
      <c r="H167" s="10" t="n"/>
      <c r="I167" s="2" t="n"/>
      <c r="J167" s="8" t="n"/>
      <c r="K167" s="8">
        <f>IF(J167="","",J167*Configuracion!$G$2)</f>
        <v/>
      </c>
      <c r="L167" s="8">
        <f>IF(J167="","",J167+K167)</f>
        <v/>
      </c>
      <c r="M167" s="8" t="n"/>
      <c r="N167" s="8" t="n"/>
      <c r="O167" s="8">
        <f>IF(OR(J167="",M167=""),"",J167-M167)</f>
        <v/>
      </c>
      <c r="P167" s="8">
        <f>IF(OR(J167="",N167=""),"",J167-N167)</f>
        <v/>
      </c>
      <c r="Q167" s="11">
        <f>IFERROR(P167/J167,"")</f>
        <v/>
      </c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10" t="n"/>
      <c r="G168" s="10" t="n"/>
      <c r="H168" s="10" t="n"/>
      <c r="I168" s="2" t="n"/>
      <c r="J168" s="8" t="n"/>
      <c r="K168" s="8">
        <f>IF(J168="","",J168*Configuracion!$G$2)</f>
        <v/>
      </c>
      <c r="L168" s="8">
        <f>IF(J168="","",J168+K168)</f>
        <v/>
      </c>
      <c r="M168" s="8" t="n"/>
      <c r="N168" s="8" t="n"/>
      <c r="O168" s="8">
        <f>IF(OR(J168="",M168=""),"",J168-M168)</f>
        <v/>
      </c>
      <c r="P168" s="8">
        <f>IF(OR(J168="",N168=""),"",J168-N168)</f>
        <v/>
      </c>
      <c r="Q168" s="11">
        <f>IFERROR(P168/J168,"")</f>
        <v/>
      </c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10" t="n"/>
      <c r="G169" s="10" t="n"/>
      <c r="H169" s="10" t="n"/>
      <c r="I169" s="2" t="n"/>
      <c r="J169" s="8" t="n"/>
      <c r="K169" s="8">
        <f>IF(J169="","",J169*Configuracion!$G$2)</f>
        <v/>
      </c>
      <c r="L169" s="8">
        <f>IF(J169="","",J169+K169)</f>
        <v/>
      </c>
      <c r="M169" s="8" t="n"/>
      <c r="N169" s="8" t="n"/>
      <c r="O169" s="8">
        <f>IF(OR(J169="",M169=""),"",J169-M169)</f>
        <v/>
      </c>
      <c r="P169" s="8">
        <f>IF(OR(J169="",N169=""),"",J169-N169)</f>
        <v/>
      </c>
      <c r="Q169" s="11">
        <f>IFERROR(P169/J169,"")</f>
        <v/>
      </c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10" t="n"/>
      <c r="G170" s="10" t="n"/>
      <c r="H170" s="10" t="n"/>
      <c r="I170" s="2" t="n"/>
      <c r="J170" s="8" t="n"/>
      <c r="K170" s="8">
        <f>IF(J170="","",J170*Configuracion!$G$2)</f>
        <v/>
      </c>
      <c r="L170" s="8">
        <f>IF(J170="","",J170+K170)</f>
        <v/>
      </c>
      <c r="M170" s="8" t="n"/>
      <c r="N170" s="8" t="n"/>
      <c r="O170" s="8">
        <f>IF(OR(J170="",M170=""),"",J170-M170)</f>
        <v/>
      </c>
      <c r="P170" s="8">
        <f>IF(OR(J170="",N170=""),"",J170-N170)</f>
        <v/>
      </c>
      <c r="Q170" s="11">
        <f>IFERROR(P170/J170,"")</f>
        <v/>
      </c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10" t="n"/>
      <c r="G171" s="10" t="n"/>
      <c r="H171" s="10" t="n"/>
      <c r="I171" s="2" t="n"/>
      <c r="J171" s="8" t="n"/>
      <c r="K171" s="8">
        <f>IF(J171="","",J171*Configuracion!$G$2)</f>
        <v/>
      </c>
      <c r="L171" s="8">
        <f>IF(J171="","",J171+K171)</f>
        <v/>
      </c>
      <c r="M171" s="8" t="n"/>
      <c r="N171" s="8" t="n"/>
      <c r="O171" s="8">
        <f>IF(OR(J171="",M171=""),"",J171-M171)</f>
        <v/>
      </c>
      <c r="P171" s="8">
        <f>IF(OR(J171="",N171=""),"",J171-N171)</f>
        <v/>
      </c>
      <c r="Q171" s="11">
        <f>IFERROR(P171/J171,"")</f>
        <v/>
      </c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10" t="n"/>
      <c r="G172" s="10" t="n"/>
      <c r="H172" s="10" t="n"/>
      <c r="I172" s="2" t="n"/>
      <c r="J172" s="8" t="n"/>
      <c r="K172" s="8">
        <f>IF(J172="","",J172*Configuracion!$G$2)</f>
        <v/>
      </c>
      <c r="L172" s="8">
        <f>IF(J172="","",J172+K172)</f>
        <v/>
      </c>
      <c r="M172" s="8" t="n"/>
      <c r="N172" s="8" t="n"/>
      <c r="O172" s="8">
        <f>IF(OR(J172="",M172=""),"",J172-M172)</f>
        <v/>
      </c>
      <c r="P172" s="8">
        <f>IF(OR(J172="",N172=""),"",J172-N172)</f>
        <v/>
      </c>
      <c r="Q172" s="11">
        <f>IFERROR(P172/J172,"")</f>
        <v/>
      </c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10" t="n"/>
      <c r="G173" s="10" t="n"/>
      <c r="H173" s="10" t="n"/>
      <c r="I173" s="2" t="n"/>
      <c r="J173" s="8" t="n"/>
      <c r="K173" s="8">
        <f>IF(J173="","",J173*Configuracion!$G$2)</f>
        <v/>
      </c>
      <c r="L173" s="8">
        <f>IF(J173="","",J173+K173)</f>
        <v/>
      </c>
      <c r="M173" s="8" t="n"/>
      <c r="N173" s="8" t="n"/>
      <c r="O173" s="8">
        <f>IF(OR(J173="",M173=""),"",J173-M173)</f>
        <v/>
      </c>
      <c r="P173" s="8">
        <f>IF(OR(J173="",N173=""),"",J173-N173)</f>
        <v/>
      </c>
      <c r="Q173" s="11">
        <f>IFERROR(P173/J173,"")</f>
        <v/>
      </c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10" t="n"/>
      <c r="G174" s="10" t="n"/>
      <c r="H174" s="10" t="n"/>
      <c r="I174" s="2" t="n"/>
      <c r="J174" s="8" t="n"/>
      <c r="K174" s="8">
        <f>IF(J174="","",J174*Configuracion!$G$2)</f>
        <v/>
      </c>
      <c r="L174" s="8">
        <f>IF(J174="","",J174+K174)</f>
        <v/>
      </c>
      <c r="M174" s="8" t="n"/>
      <c r="N174" s="8" t="n"/>
      <c r="O174" s="8">
        <f>IF(OR(J174="",M174=""),"",J174-M174)</f>
        <v/>
      </c>
      <c r="P174" s="8">
        <f>IF(OR(J174="",N174=""),"",J174-N174)</f>
        <v/>
      </c>
      <c r="Q174" s="11">
        <f>IFERROR(P174/J174,"")</f>
        <v/>
      </c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10" t="n"/>
      <c r="G175" s="10" t="n"/>
      <c r="H175" s="10" t="n"/>
      <c r="I175" s="2" t="n"/>
      <c r="J175" s="8" t="n"/>
      <c r="K175" s="8">
        <f>IF(J175="","",J175*Configuracion!$G$2)</f>
        <v/>
      </c>
      <c r="L175" s="8">
        <f>IF(J175="","",J175+K175)</f>
        <v/>
      </c>
      <c r="M175" s="8" t="n"/>
      <c r="N175" s="8" t="n"/>
      <c r="O175" s="8">
        <f>IF(OR(J175="",M175=""),"",J175-M175)</f>
        <v/>
      </c>
      <c r="P175" s="8">
        <f>IF(OR(J175="",N175=""),"",J175-N175)</f>
        <v/>
      </c>
      <c r="Q175" s="11">
        <f>IFERROR(P175/J175,"")</f>
        <v/>
      </c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10" t="n"/>
      <c r="G176" s="10" t="n"/>
      <c r="H176" s="10" t="n"/>
      <c r="I176" s="2" t="n"/>
      <c r="J176" s="8" t="n"/>
      <c r="K176" s="8">
        <f>IF(J176="","",J176*Configuracion!$G$2)</f>
        <v/>
      </c>
      <c r="L176" s="8">
        <f>IF(J176="","",J176+K176)</f>
        <v/>
      </c>
      <c r="M176" s="8" t="n"/>
      <c r="N176" s="8" t="n"/>
      <c r="O176" s="8">
        <f>IF(OR(J176="",M176=""),"",J176-M176)</f>
        <v/>
      </c>
      <c r="P176" s="8">
        <f>IF(OR(J176="",N176=""),"",J176-N176)</f>
        <v/>
      </c>
      <c r="Q176" s="11">
        <f>IFERROR(P176/J176,"")</f>
        <v/>
      </c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10" t="n"/>
      <c r="G177" s="10" t="n"/>
      <c r="H177" s="10" t="n"/>
      <c r="I177" s="2" t="n"/>
      <c r="J177" s="8" t="n"/>
      <c r="K177" s="8">
        <f>IF(J177="","",J177*Configuracion!$G$2)</f>
        <v/>
      </c>
      <c r="L177" s="8">
        <f>IF(J177="","",J177+K177)</f>
        <v/>
      </c>
      <c r="M177" s="8" t="n"/>
      <c r="N177" s="8" t="n"/>
      <c r="O177" s="8">
        <f>IF(OR(J177="",M177=""),"",J177-M177)</f>
        <v/>
      </c>
      <c r="P177" s="8">
        <f>IF(OR(J177="",N177=""),"",J177-N177)</f>
        <v/>
      </c>
      <c r="Q177" s="11">
        <f>IFERROR(P177/J177,"")</f>
        <v/>
      </c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10" t="n"/>
      <c r="G178" s="10" t="n"/>
      <c r="H178" s="10" t="n"/>
      <c r="I178" s="2" t="n"/>
      <c r="J178" s="8" t="n"/>
      <c r="K178" s="8">
        <f>IF(J178="","",J178*Configuracion!$G$2)</f>
        <v/>
      </c>
      <c r="L178" s="8">
        <f>IF(J178="","",J178+K178)</f>
        <v/>
      </c>
      <c r="M178" s="8" t="n"/>
      <c r="N178" s="8" t="n"/>
      <c r="O178" s="8">
        <f>IF(OR(J178="",M178=""),"",J178-M178)</f>
        <v/>
      </c>
      <c r="P178" s="8">
        <f>IF(OR(J178="",N178=""),"",J178-N178)</f>
        <v/>
      </c>
      <c r="Q178" s="11">
        <f>IFERROR(P178/J178,"")</f>
        <v/>
      </c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10" t="n"/>
      <c r="G179" s="10" t="n"/>
      <c r="H179" s="10" t="n"/>
      <c r="I179" s="2" t="n"/>
      <c r="J179" s="8" t="n"/>
      <c r="K179" s="8">
        <f>IF(J179="","",J179*Configuracion!$G$2)</f>
        <v/>
      </c>
      <c r="L179" s="8">
        <f>IF(J179="","",J179+K179)</f>
        <v/>
      </c>
      <c r="M179" s="8" t="n"/>
      <c r="N179" s="8" t="n"/>
      <c r="O179" s="8">
        <f>IF(OR(J179="",M179=""),"",J179-M179)</f>
        <v/>
      </c>
      <c r="P179" s="8">
        <f>IF(OR(J179="",N179=""),"",J179-N179)</f>
        <v/>
      </c>
      <c r="Q179" s="11">
        <f>IFERROR(P179/J179,"")</f>
        <v/>
      </c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10" t="n"/>
      <c r="G180" s="10" t="n"/>
      <c r="H180" s="10" t="n"/>
      <c r="I180" s="2" t="n"/>
      <c r="J180" s="8" t="n"/>
      <c r="K180" s="8">
        <f>IF(J180="","",J180*Configuracion!$G$2)</f>
        <v/>
      </c>
      <c r="L180" s="8">
        <f>IF(J180="","",J180+K180)</f>
        <v/>
      </c>
      <c r="M180" s="8" t="n"/>
      <c r="N180" s="8" t="n"/>
      <c r="O180" s="8">
        <f>IF(OR(J180="",M180=""),"",J180-M180)</f>
        <v/>
      </c>
      <c r="P180" s="8">
        <f>IF(OR(J180="",N180=""),"",J180-N180)</f>
        <v/>
      </c>
      <c r="Q180" s="11">
        <f>IFERROR(P180/J180,"")</f>
        <v/>
      </c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10" t="n"/>
      <c r="G181" s="10" t="n"/>
      <c r="H181" s="10" t="n"/>
      <c r="I181" s="2" t="n"/>
      <c r="J181" s="8" t="n"/>
      <c r="K181" s="8">
        <f>IF(J181="","",J181*Configuracion!$G$2)</f>
        <v/>
      </c>
      <c r="L181" s="8">
        <f>IF(J181="","",J181+K181)</f>
        <v/>
      </c>
      <c r="M181" s="8" t="n"/>
      <c r="N181" s="8" t="n"/>
      <c r="O181" s="8">
        <f>IF(OR(J181="",M181=""),"",J181-M181)</f>
        <v/>
      </c>
      <c r="P181" s="8">
        <f>IF(OR(J181="",N181=""),"",J181-N181)</f>
        <v/>
      </c>
      <c r="Q181" s="11">
        <f>IFERROR(P181/J181,"")</f>
        <v/>
      </c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10" t="n"/>
      <c r="G182" s="10" t="n"/>
      <c r="H182" s="10" t="n"/>
      <c r="I182" s="2" t="n"/>
      <c r="J182" s="8" t="n"/>
      <c r="K182" s="8">
        <f>IF(J182="","",J182*Configuracion!$G$2)</f>
        <v/>
      </c>
      <c r="L182" s="8">
        <f>IF(J182="","",J182+K182)</f>
        <v/>
      </c>
      <c r="M182" s="8" t="n"/>
      <c r="N182" s="8" t="n"/>
      <c r="O182" s="8">
        <f>IF(OR(J182="",M182=""),"",J182-M182)</f>
        <v/>
      </c>
      <c r="P182" s="8">
        <f>IF(OR(J182="",N182=""),"",J182-N182)</f>
        <v/>
      </c>
      <c r="Q182" s="11">
        <f>IFERROR(P182/J182,"")</f>
        <v/>
      </c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10" t="n"/>
      <c r="G183" s="10" t="n"/>
      <c r="H183" s="10" t="n"/>
      <c r="I183" s="2" t="n"/>
      <c r="J183" s="8" t="n"/>
      <c r="K183" s="8">
        <f>IF(J183="","",J183*Configuracion!$G$2)</f>
        <v/>
      </c>
      <c r="L183" s="8">
        <f>IF(J183="","",J183+K183)</f>
        <v/>
      </c>
      <c r="M183" s="8" t="n"/>
      <c r="N183" s="8" t="n"/>
      <c r="O183" s="8">
        <f>IF(OR(J183="",M183=""),"",J183-M183)</f>
        <v/>
      </c>
      <c r="P183" s="8">
        <f>IF(OR(J183="",N183=""),"",J183-N183)</f>
        <v/>
      </c>
      <c r="Q183" s="11">
        <f>IFERROR(P183/J183,"")</f>
        <v/>
      </c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10" t="n"/>
      <c r="G184" s="10" t="n"/>
      <c r="H184" s="10" t="n"/>
      <c r="I184" s="2" t="n"/>
      <c r="J184" s="8" t="n"/>
      <c r="K184" s="8">
        <f>IF(J184="","",J184*Configuracion!$G$2)</f>
        <v/>
      </c>
      <c r="L184" s="8">
        <f>IF(J184="","",J184+K184)</f>
        <v/>
      </c>
      <c r="M184" s="8" t="n"/>
      <c r="N184" s="8" t="n"/>
      <c r="O184" s="8">
        <f>IF(OR(J184="",M184=""),"",J184-M184)</f>
        <v/>
      </c>
      <c r="P184" s="8">
        <f>IF(OR(J184="",N184=""),"",J184-N184)</f>
        <v/>
      </c>
      <c r="Q184" s="11">
        <f>IFERROR(P184/J184,"")</f>
        <v/>
      </c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10" t="n"/>
      <c r="G185" s="10" t="n"/>
      <c r="H185" s="10" t="n"/>
      <c r="I185" s="2" t="n"/>
      <c r="J185" s="8" t="n"/>
      <c r="K185" s="8">
        <f>IF(J185="","",J185*Configuracion!$G$2)</f>
        <v/>
      </c>
      <c r="L185" s="8">
        <f>IF(J185="","",J185+K185)</f>
        <v/>
      </c>
      <c r="M185" s="8" t="n"/>
      <c r="N185" s="8" t="n"/>
      <c r="O185" s="8">
        <f>IF(OR(J185="",M185=""),"",J185-M185)</f>
        <v/>
      </c>
      <c r="P185" s="8">
        <f>IF(OR(J185="",N185=""),"",J185-N185)</f>
        <v/>
      </c>
      <c r="Q185" s="11">
        <f>IFERROR(P185/J185,"")</f>
        <v/>
      </c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10" t="n"/>
      <c r="G186" s="10" t="n"/>
      <c r="H186" s="10" t="n"/>
      <c r="I186" s="2" t="n"/>
      <c r="J186" s="8" t="n"/>
      <c r="K186" s="8">
        <f>IF(J186="","",J186*Configuracion!$G$2)</f>
        <v/>
      </c>
      <c r="L186" s="8">
        <f>IF(J186="","",J186+K186)</f>
        <v/>
      </c>
      <c r="M186" s="8" t="n"/>
      <c r="N186" s="8" t="n"/>
      <c r="O186" s="8">
        <f>IF(OR(J186="",M186=""),"",J186-M186)</f>
        <v/>
      </c>
      <c r="P186" s="8">
        <f>IF(OR(J186="",N186=""),"",J186-N186)</f>
        <v/>
      </c>
      <c r="Q186" s="11">
        <f>IFERROR(P186/J186,"")</f>
        <v/>
      </c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10" t="n"/>
      <c r="G187" s="10" t="n"/>
      <c r="H187" s="10" t="n"/>
      <c r="I187" s="2" t="n"/>
      <c r="J187" s="8" t="n"/>
      <c r="K187" s="8">
        <f>IF(J187="","",J187*Configuracion!$G$2)</f>
        <v/>
      </c>
      <c r="L187" s="8">
        <f>IF(J187="","",J187+K187)</f>
        <v/>
      </c>
      <c r="M187" s="8" t="n"/>
      <c r="N187" s="8" t="n"/>
      <c r="O187" s="8">
        <f>IF(OR(J187="",M187=""),"",J187-M187)</f>
        <v/>
      </c>
      <c r="P187" s="8">
        <f>IF(OR(J187="",N187=""),"",J187-N187)</f>
        <v/>
      </c>
      <c r="Q187" s="11">
        <f>IFERROR(P187/J187,"")</f>
        <v/>
      </c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10" t="n"/>
      <c r="G188" s="10" t="n"/>
      <c r="H188" s="10" t="n"/>
      <c r="I188" s="2" t="n"/>
      <c r="J188" s="8" t="n"/>
      <c r="K188" s="8">
        <f>IF(J188="","",J188*Configuracion!$G$2)</f>
        <v/>
      </c>
      <c r="L188" s="8">
        <f>IF(J188="","",J188+K188)</f>
        <v/>
      </c>
      <c r="M188" s="8" t="n"/>
      <c r="N188" s="8" t="n"/>
      <c r="O188" s="8">
        <f>IF(OR(J188="",M188=""),"",J188-M188)</f>
        <v/>
      </c>
      <c r="P188" s="8">
        <f>IF(OR(J188="",N188=""),"",J188-N188)</f>
        <v/>
      </c>
      <c r="Q188" s="11">
        <f>IFERROR(P188/J188,"")</f>
        <v/>
      </c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10" t="n"/>
      <c r="G189" s="10" t="n"/>
      <c r="H189" s="10" t="n"/>
      <c r="I189" s="2" t="n"/>
      <c r="J189" s="8" t="n"/>
      <c r="K189" s="8">
        <f>IF(J189="","",J189*Configuracion!$G$2)</f>
        <v/>
      </c>
      <c r="L189" s="8">
        <f>IF(J189="","",J189+K189)</f>
        <v/>
      </c>
      <c r="M189" s="8" t="n"/>
      <c r="N189" s="8" t="n"/>
      <c r="O189" s="8">
        <f>IF(OR(J189="",M189=""),"",J189-M189)</f>
        <v/>
      </c>
      <c r="P189" s="8">
        <f>IF(OR(J189="",N189=""),"",J189-N189)</f>
        <v/>
      </c>
      <c r="Q189" s="11">
        <f>IFERROR(P189/J189,"")</f>
        <v/>
      </c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10" t="n"/>
      <c r="G190" s="10" t="n"/>
      <c r="H190" s="10" t="n"/>
      <c r="I190" s="2" t="n"/>
      <c r="J190" s="8" t="n"/>
      <c r="K190" s="8">
        <f>IF(J190="","",J190*Configuracion!$G$2)</f>
        <v/>
      </c>
      <c r="L190" s="8">
        <f>IF(J190="","",J190+K190)</f>
        <v/>
      </c>
      <c r="M190" s="8" t="n"/>
      <c r="N190" s="8" t="n"/>
      <c r="O190" s="8">
        <f>IF(OR(J190="",M190=""),"",J190-M190)</f>
        <v/>
      </c>
      <c r="P190" s="8">
        <f>IF(OR(J190="",N190=""),"",J190-N190)</f>
        <v/>
      </c>
      <c r="Q190" s="11">
        <f>IFERROR(P190/J190,"")</f>
        <v/>
      </c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10" t="n"/>
      <c r="G191" s="10" t="n"/>
      <c r="H191" s="10" t="n"/>
      <c r="I191" s="2" t="n"/>
      <c r="J191" s="8" t="n"/>
      <c r="K191" s="8">
        <f>IF(J191="","",J191*Configuracion!$G$2)</f>
        <v/>
      </c>
      <c r="L191" s="8">
        <f>IF(J191="","",J191+K191)</f>
        <v/>
      </c>
      <c r="M191" s="8" t="n"/>
      <c r="N191" s="8" t="n"/>
      <c r="O191" s="8">
        <f>IF(OR(J191="",M191=""),"",J191-M191)</f>
        <v/>
      </c>
      <c r="P191" s="8">
        <f>IF(OR(J191="",N191=""),"",J191-N191)</f>
        <v/>
      </c>
      <c r="Q191" s="11">
        <f>IFERROR(P191/J191,"")</f>
        <v/>
      </c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10" t="n"/>
      <c r="G192" s="10" t="n"/>
      <c r="H192" s="10" t="n"/>
      <c r="I192" s="2" t="n"/>
      <c r="J192" s="8" t="n"/>
      <c r="K192" s="8">
        <f>IF(J192="","",J192*Configuracion!$G$2)</f>
        <v/>
      </c>
      <c r="L192" s="8">
        <f>IF(J192="","",J192+K192)</f>
        <v/>
      </c>
      <c r="M192" s="8" t="n"/>
      <c r="N192" s="8" t="n"/>
      <c r="O192" s="8">
        <f>IF(OR(J192="",M192=""),"",J192-M192)</f>
        <v/>
      </c>
      <c r="P192" s="8">
        <f>IF(OR(J192="",N192=""),"",J192-N192)</f>
        <v/>
      </c>
      <c r="Q192" s="11">
        <f>IFERROR(P192/J192,"")</f>
        <v/>
      </c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10" t="n"/>
      <c r="G193" s="10" t="n"/>
      <c r="H193" s="10" t="n"/>
      <c r="I193" s="2" t="n"/>
      <c r="J193" s="8" t="n"/>
      <c r="K193" s="8">
        <f>IF(J193="","",J193*Configuracion!$G$2)</f>
        <v/>
      </c>
      <c r="L193" s="8">
        <f>IF(J193="","",J193+K193)</f>
        <v/>
      </c>
      <c r="M193" s="8" t="n"/>
      <c r="N193" s="8" t="n"/>
      <c r="O193" s="8">
        <f>IF(OR(J193="",M193=""),"",J193-M193)</f>
        <v/>
      </c>
      <c r="P193" s="8">
        <f>IF(OR(J193="",N193=""),"",J193-N193)</f>
        <v/>
      </c>
      <c r="Q193" s="11">
        <f>IFERROR(P193/J193,"")</f>
        <v/>
      </c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10" t="n"/>
      <c r="G194" s="10" t="n"/>
      <c r="H194" s="10" t="n"/>
      <c r="I194" s="2" t="n"/>
      <c r="J194" s="8" t="n"/>
      <c r="K194" s="8">
        <f>IF(J194="","",J194*Configuracion!$G$2)</f>
        <v/>
      </c>
      <c r="L194" s="8">
        <f>IF(J194="","",J194+K194)</f>
        <v/>
      </c>
      <c r="M194" s="8" t="n"/>
      <c r="N194" s="8" t="n"/>
      <c r="O194" s="8">
        <f>IF(OR(J194="",M194=""),"",J194-M194)</f>
        <v/>
      </c>
      <c r="P194" s="8">
        <f>IF(OR(J194="",N194=""),"",J194-N194)</f>
        <v/>
      </c>
      <c r="Q194" s="11">
        <f>IFERROR(P194/J194,"")</f>
        <v/>
      </c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10" t="n"/>
      <c r="G195" s="10" t="n"/>
      <c r="H195" s="10" t="n"/>
      <c r="I195" s="2" t="n"/>
      <c r="J195" s="8" t="n"/>
      <c r="K195" s="8">
        <f>IF(J195="","",J195*Configuracion!$G$2)</f>
        <v/>
      </c>
      <c r="L195" s="8">
        <f>IF(J195="","",J195+K195)</f>
        <v/>
      </c>
      <c r="M195" s="8" t="n"/>
      <c r="N195" s="8" t="n"/>
      <c r="O195" s="8">
        <f>IF(OR(J195="",M195=""),"",J195-M195)</f>
        <v/>
      </c>
      <c r="P195" s="8">
        <f>IF(OR(J195="",N195=""),"",J195-N195)</f>
        <v/>
      </c>
      <c r="Q195" s="11">
        <f>IFERROR(P195/J195,"")</f>
        <v/>
      </c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10" t="n"/>
      <c r="G196" s="10" t="n"/>
      <c r="H196" s="10" t="n"/>
      <c r="I196" s="2" t="n"/>
      <c r="J196" s="8" t="n"/>
      <c r="K196" s="8">
        <f>IF(J196="","",J196*Configuracion!$G$2)</f>
        <v/>
      </c>
      <c r="L196" s="8">
        <f>IF(J196="","",J196+K196)</f>
        <v/>
      </c>
      <c r="M196" s="8" t="n"/>
      <c r="N196" s="8" t="n"/>
      <c r="O196" s="8">
        <f>IF(OR(J196="",M196=""),"",J196-M196)</f>
        <v/>
      </c>
      <c r="P196" s="8">
        <f>IF(OR(J196="",N196=""),"",J196-N196)</f>
        <v/>
      </c>
      <c r="Q196" s="11">
        <f>IFERROR(P196/J196,"")</f>
        <v/>
      </c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10" t="n"/>
      <c r="G197" s="10" t="n"/>
      <c r="H197" s="10" t="n"/>
      <c r="I197" s="2" t="n"/>
      <c r="J197" s="8" t="n"/>
      <c r="K197" s="8">
        <f>IF(J197="","",J197*Configuracion!$G$2)</f>
        <v/>
      </c>
      <c r="L197" s="8">
        <f>IF(J197="","",J197+K197)</f>
        <v/>
      </c>
      <c r="M197" s="8" t="n"/>
      <c r="N197" s="8" t="n"/>
      <c r="O197" s="8">
        <f>IF(OR(J197="",M197=""),"",J197-M197)</f>
        <v/>
      </c>
      <c r="P197" s="8">
        <f>IF(OR(J197="",N197=""),"",J197-N197)</f>
        <v/>
      </c>
      <c r="Q197" s="11">
        <f>IFERROR(P197/J197,"")</f>
        <v/>
      </c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10" t="n"/>
      <c r="G198" s="10" t="n"/>
      <c r="H198" s="10" t="n"/>
      <c r="I198" s="2" t="n"/>
      <c r="J198" s="8" t="n"/>
      <c r="K198" s="8">
        <f>IF(J198="","",J198*Configuracion!$G$2)</f>
        <v/>
      </c>
      <c r="L198" s="8">
        <f>IF(J198="","",J198+K198)</f>
        <v/>
      </c>
      <c r="M198" s="8" t="n"/>
      <c r="N198" s="8" t="n"/>
      <c r="O198" s="8">
        <f>IF(OR(J198="",M198=""),"",J198-M198)</f>
        <v/>
      </c>
      <c r="P198" s="8">
        <f>IF(OR(J198="",N198=""),"",J198-N198)</f>
        <v/>
      </c>
      <c r="Q198" s="11">
        <f>IFERROR(P198/J198,"")</f>
        <v/>
      </c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10" t="n"/>
      <c r="G199" s="10" t="n"/>
      <c r="H199" s="10" t="n"/>
      <c r="I199" s="2" t="n"/>
      <c r="J199" s="8" t="n"/>
      <c r="K199" s="8">
        <f>IF(J199="","",J199*Configuracion!$G$2)</f>
        <v/>
      </c>
      <c r="L199" s="8">
        <f>IF(J199="","",J199+K199)</f>
        <v/>
      </c>
      <c r="M199" s="8" t="n"/>
      <c r="N199" s="8" t="n"/>
      <c r="O199" s="8">
        <f>IF(OR(J199="",M199=""),"",J199-M199)</f>
        <v/>
      </c>
      <c r="P199" s="8">
        <f>IF(OR(J199="",N199=""),"",J199-N199)</f>
        <v/>
      </c>
      <c r="Q199" s="11">
        <f>IFERROR(P199/J199,"")</f>
        <v/>
      </c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10" t="n"/>
      <c r="G200" s="10" t="n"/>
      <c r="H200" s="10" t="n"/>
      <c r="I200" s="2" t="n"/>
      <c r="J200" s="8" t="n"/>
      <c r="K200" s="8">
        <f>IF(J200="","",J200*Configuracion!$G$2)</f>
        <v/>
      </c>
      <c r="L200" s="8">
        <f>IF(J200="","",J200+K200)</f>
        <v/>
      </c>
      <c r="M200" s="8" t="n"/>
      <c r="N200" s="8" t="n"/>
      <c r="O200" s="8">
        <f>IF(OR(J200="",M200=""),"",J200-M200)</f>
        <v/>
      </c>
      <c r="P200" s="8">
        <f>IF(OR(J200="",N200=""),"",J200-N200)</f>
        <v/>
      </c>
      <c r="Q200" s="11">
        <f>IFERROR(P200/J200,"")</f>
        <v/>
      </c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10" t="n"/>
      <c r="G201" s="10" t="n"/>
      <c r="H201" s="10" t="n"/>
      <c r="I201" s="2" t="n"/>
      <c r="J201" s="8" t="n"/>
      <c r="K201" s="8">
        <f>IF(J201="","",J201*Configuracion!$G$2)</f>
        <v/>
      </c>
      <c r="L201" s="8">
        <f>IF(J201="","",J201+K201)</f>
        <v/>
      </c>
      <c r="M201" s="8" t="n"/>
      <c r="N201" s="8" t="n"/>
      <c r="O201" s="8">
        <f>IF(OR(J201="",M201=""),"",J201-M201)</f>
        <v/>
      </c>
      <c r="P201" s="8">
        <f>IF(OR(J201="",N201=""),"",J201-N201)</f>
        <v/>
      </c>
      <c r="Q201" s="11">
        <f>IFERROR(P201/J201,"")</f>
        <v/>
      </c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10" t="n"/>
      <c r="G202" s="10" t="n"/>
      <c r="H202" s="10" t="n"/>
      <c r="I202" s="2" t="n"/>
      <c r="J202" s="8" t="n"/>
      <c r="K202" s="8">
        <f>IF(J202="","",J202*Configuracion!$G$2)</f>
        <v/>
      </c>
      <c r="L202" s="8">
        <f>IF(J202="","",J202+K202)</f>
        <v/>
      </c>
      <c r="M202" s="8" t="n"/>
      <c r="N202" s="8" t="n"/>
      <c r="O202" s="8">
        <f>IF(OR(J202="",M202=""),"",J202-M202)</f>
        <v/>
      </c>
      <c r="P202" s="8">
        <f>IF(OR(J202="",N202=""),"",J202-N202)</f>
        <v/>
      </c>
      <c r="Q202" s="11">
        <f>IFERROR(P202/J202,"")</f>
        <v/>
      </c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10" t="n"/>
      <c r="G203" s="10" t="n"/>
      <c r="H203" s="10" t="n"/>
      <c r="I203" s="2" t="n"/>
      <c r="J203" s="8" t="n"/>
      <c r="K203" s="8">
        <f>IF(J203="","",J203*Configuracion!$G$2)</f>
        <v/>
      </c>
      <c r="L203" s="8">
        <f>IF(J203="","",J203+K203)</f>
        <v/>
      </c>
      <c r="M203" s="8" t="n"/>
      <c r="N203" s="8" t="n"/>
      <c r="O203" s="8">
        <f>IF(OR(J203="",M203=""),"",J203-M203)</f>
        <v/>
      </c>
      <c r="P203" s="8">
        <f>IF(OR(J203="",N203=""),"",J203-N203)</f>
        <v/>
      </c>
      <c r="Q203" s="11">
        <f>IFERROR(P203/J203,"")</f>
        <v/>
      </c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10" t="n"/>
      <c r="G204" s="10" t="n"/>
      <c r="H204" s="10" t="n"/>
      <c r="I204" s="2" t="n"/>
      <c r="J204" s="8" t="n"/>
      <c r="K204" s="8">
        <f>IF(J204="","",J204*Configuracion!$G$2)</f>
        <v/>
      </c>
      <c r="L204" s="8">
        <f>IF(J204="","",J204+K204)</f>
        <v/>
      </c>
      <c r="M204" s="8" t="n"/>
      <c r="N204" s="8" t="n"/>
      <c r="O204" s="8">
        <f>IF(OR(J204="",M204=""),"",J204-M204)</f>
        <v/>
      </c>
      <c r="P204" s="8">
        <f>IF(OR(J204="",N204=""),"",J204-N204)</f>
        <v/>
      </c>
      <c r="Q204" s="11">
        <f>IFERROR(P204/J204,"")</f>
        <v/>
      </c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10" t="n"/>
      <c r="G205" s="10" t="n"/>
      <c r="H205" s="10" t="n"/>
      <c r="I205" s="2" t="n"/>
      <c r="J205" s="8" t="n"/>
      <c r="K205" s="8">
        <f>IF(J205="","",J205*Configuracion!$G$2)</f>
        <v/>
      </c>
      <c r="L205" s="8">
        <f>IF(J205="","",J205+K205)</f>
        <v/>
      </c>
      <c r="M205" s="8" t="n"/>
      <c r="N205" s="8" t="n"/>
      <c r="O205" s="8">
        <f>IF(OR(J205="",M205=""),"",J205-M205)</f>
        <v/>
      </c>
      <c r="P205" s="8">
        <f>IF(OR(J205="",N205=""),"",J205-N205)</f>
        <v/>
      </c>
      <c r="Q205" s="11">
        <f>IFERROR(P205/J205,"")</f>
        <v/>
      </c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10" t="n"/>
      <c r="G206" s="10" t="n"/>
      <c r="H206" s="10" t="n"/>
      <c r="I206" s="2" t="n"/>
      <c r="J206" s="8" t="n"/>
      <c r="K206" s="8">
        <f>IF(J206="","",J206*Configuracion!$G$2)</f>
        <v/>
      </c>
      <c r="L206" s="8">
        <f>IF(J206="","",J206+K206)</f>
        <v/>
      </c>
      <c r="M206" s="8" t="n"/>
      <c r="N206" s="8" t="n"/>
      <c r="O206" s="8">
        <f>IF(OR(J206="",M206=""),"",J206-M206)</f>
        <v/>
      </c>
      <c r="P206" s="8">
        <f>IF(OR(J206="",N206=""),"",J206-N206)</f>
        <v/>
      </c>
      <c r="Q206" s="11">
        <f>IFERROR(P206/J206,"")</f>
        <v/>
      </c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10" t="n"/>
      <c r="G207" s="10" t="n"/>
      <c r="H207" s="10" t="n"/>
      <c r="I207" s="2" t="n"/>
      <c r="J207" s="8" t="n"/>
      <c r="K207" s="8">
        <f>IF(J207="","",J207*Configuracion!$G$2)</f>
        <v/>
      </c>
      <c r="L207" s="8">
        <f>IF(J207="","",J207+K207)</f>
        <v/>
      </c>
      <c r="M207" s="8" t="n"/>
      <c r="N207" s="8" t="n"/>
      <c r="O207" s="8">
        <f>IF(OR(J207="",M207=""),"",J207-M207)</f>
        <v/>
      </c>
      <c r="P207" s="8">
        <f>IF(OR(J207="",N207=""),"",J207-N207)</f>
        <v/>
      </c>
      <c r="Q207" s="11">
        <f>IFERROR(P207/J207,"")</f>
        <v/>
      </c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10" t="n"/>
      <c r="G208" s="10" t="n"/>
      <c r="H208" s="10" t="n"/>
      <c r="I208" s="2" t="n"/>
      <c r="J208" s="8" t="n"/>
      <c r="K208" s="8">
        <f>IF(J208="","",J208*Configuracion!$G$2)</f>
        <v/>
      </c>
      <c r="L208" s="8">
        <f>IF(J208="","",J208+K208)</f>
        <v/>
      </c>
      <c r="M208" s="8" t="n"/>
      <c r="N208" s="8" t="n"/>
      <c r="O208" s="8">
        <f>IF(OR(J208="",M208=""),"",J208-M208)</f>
        <v/>
      </c>
      <c r="P208" s="8">
        <f>IF(OR(J208="",N208=""),"",J208-N208)</f>
        <v/>
      </c>
      <c r="Q208" s="11">
        <f>IFERROR(P208/J208,"")</f>
        <v/>
      </c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10" t="n"/>
      <c r="G209" s="10" t="n"/>
      <c r="H209" s="10" t="n"/>
      <c r="I209" s="2" t="n"/>
      <c r="J209" s="8" t="n"/>
      <c r="K209" s="8">
        <f>IF(J209="","",J209*Configuracion!$G$2)</f>
        <v/>
      </c>
      <c r="L209" s="8">
        <f>IF(J209="","",J209+K209)</f>
        <v/>
      </c>
      <c r="M209" s="8" t="n"/>
      <c r="N209" s="8" t="n"/>
      <c r="O209" s="8">
        <f>IF(OR(J209="",M209=""),"",J209-M209)</f>
        <v/>
      </c>
      <c r="P209" s="8">
        <f>IF(OR(J209="",N209=""),"",J209-N209)</f>
        <v/>
      </c>
      <c r="Q209" s="11">
        <f>IFERROR(P209/J209,"")</f>
        <v/>
      </c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10" t="n"/>
      <c r="G210" s="10" t="n"/>
      <c r="H210" s="10" t="n"/>
      <c r="I210" s="2" t="n"/>
      <c r="J210" s="8" t="n"/>
      <c r="K210" s="8">
        <f>IF(J210="","",J210*Configuracion!$G$2)</f>
        <v/>
      </c>
      <c r="L210" s="8">
        <f>IF(J210="","",J210+K210)</f>
        <v/>
      </c>
      <c r="M210" s="8" t="n"/>
      <c r="N210" s="8" t="n"/>
      <c r="O210" s="8">
        <f>IF(OR(J210="",M210=""),"",J210-M210)</f>
        <v/>
      </c>
      <c r="P210" s="8">
        <f>IF(OR(J210="",N210=""),"",J210-N210)</f>
        <v/>
      </c>
      <c r="Q210" s="11">
        <f>IFERROR(P210/J210,"")</f>
        <v/>
      </c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10" t="n"/>
      <c r="G211" s="10" t="n"/>
      <c r="H211" s="10" t="n"/>
      <c r="I211" s="2" t="n"/>
      <c r="J211" s="8" t="n"/>
      <c r="K211" s="8">
        <f>IF(J211="","",J211*Configuracion!$G$2)</f>
        <v/>
      </c>
      <c r="L211" s="8">
        <f>IF(J211="","",J211+K211)</f>
        <v/>
      </c>
      <c r="M211" s="8" t="n"/>
      <c r="N211" s="8" t="n"/>
      <c r="O211" s="8">
        <f>IF(OR(J211="",M211=""),"",J211-M211)</f>
        <v/>
      </c>
      <c r="P211" s="8">
        <f>IF(OR(J211="",N211=""),"",J211-N211)</f>
        <v/>
      </c>
      <c r="Q211" s="11">
        <f>IFERROR(P211/J211,"")</f>
        <v/>
      </c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10" t="n"/>
      <c r="G212" s="10" t="n"/>
      <c r="H212" s="10" t="n"/>
      <c r="I212" s="2" t="n"/>
      <c r="J212" s="8" t="n"/>
      <c r="K212" s="8">
        <f>IF(J212="","",J212*Configuracion!$G$2)</f>
        <v/>
      </c>
      <c r="L212" s="8">
        <f>IF(J212="","",J212+K212)</f>
        <v/>
      </c>
      <c r="M212" s="8" t="n"/>
      <c r="N212" s="8" t="n"/>
      <c r="O212" s="8">
        <f>IF(OR(J212="",M212=""),"",J212-M212)</f>
        <v/>
      </c>
      <c r="P212" s="8">
        <f>IF(OR(J212="",N212=""),"",J212-N212)</f>
        <v/>
      </c>
      <c r="Q212" s="11">
        <f>IFERROR(P212/J212,"")</f>
        <v/>
      </c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10" t="n"/>
      <c r="G213" s="10" t="n"/>
      <c r="H213" s="10" t="n"/>
      <c r="I213" s="2" t="n"/>
      <c r="J213" s="8" t="n"/>
      <c r="K213" s="8">
        <f>IF(J213="","",J213*Configuracion!$G$2)</f>
        <v/>
      </c>
      <c r="L213" s="8">
        <f>IF(J213="","",J213+K213)</f>
        <v/>
      </c>
      <c r="M213" s="8" t="n"/>
      <c r="N213" s="8" t="n"/>
      <c r="O213" s="8">
        <f>IF(OR(J213="",M213=""),"",J213-M213)</f>
        <v/>
      </c>
      <c r="P213" s="8">
        <f>IF(OR(J213="",N213=""),"",J213-N213)</f>
        <v/>
      </c>
      <c r="Q213" s="11">
        <f>IFERROR(P213/J213,"")</f>
        <v/>
      </c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10" t="n"/>
      <c r="G214" s="10" t="n"/>
      <c r="H214" s="10" t="n"/>
      <c r="I214" s="2" t="n"/>
      <c r="J214" s="8" t="n"/>
      <c r="K214" s="8">
        <f>IF(J214="","",J214*Configuracion!$G$2)</f>
        <v/>
      </c>
      <c r="L214" s="8">
        <f>IF(J214="","",J214+K214)</f>
        <v/>
      </c>
      <c r="M214" s="8" t="n"/>
      <c r="N214" s="8" t="n"/>
      <c r="O214" s="8">
        <f>IF(OR(J214="",M214=""),"",J214-M214)</f>
        <v/>
      </c>
      <c r="P214" s="8">
        <f>IF(OR(J214="",N214=""),"",J214-N214)</f>
        <v/>
      </c>
      <c r="Q214" s="11">
        <f>IFERROR(P214/J214,"")</f>
        <v/>
      </c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10" t="n"/>
      <c r="G215" s="10" t="n"/>
      <c r="H215" s="10" t="n"/>
      <c r="I215" s="2" t="n"/>
      <c r="J215" s="8" t="n"/>
      <c r="K215" s="8">
        <f>IF(J215="","",J215*Configuracion!$G$2)</f>
        <v/>
      </c>
      <c r="L215" s="8">
        <f>IF(J215="","",J215+K215)</f>
        <v/>
      </c>
      <c r="M215" s="8" t="n"/>
      <c r="N215" s="8" t="n"/>
      <c r="O215" s="8">
        <f>IF(OR(J215="",M215=""),"",J215-M215)</f>
        <v/>
      </c>
      <c r="P215" s="8">
        <f>IF(OR(J215="",N215=""),"",J215-N215)</f>
        <v/>
      </c>
      <c r="Q215" s="11">
        <f>IFERROR(P215/J215,"")</f>
        <v/>
      </c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10" t="n"/>
      <c r="G216" s="10" t="n"/>
      <c r="H216" s="10" t="n"/>
      <c r="I216" s="2" t="n"/>
      <c r="J216" s="8" t="n"/>
      <c r="K216" s="8">
        <f>IF(J216="","",J216*Configuracion!$G$2)</f>
        <v/>
      </c>
      <c r="L216" s="8">
        <f>IF(J216="","",J216+K216)</f>
        <v/>
      </c>
      <c r="M216" s="8" t="n"/>
      <c r="N216" s="8" t="n"/>
      <c r="O216" s="8">
        <f>IF(OR(J216="",M216=""),"",J216-M216)</f>
        <v/>
      </c>
      <c r="P216" s="8">
        <f>IF(OR(J216="",N216=""),"",J216-N216)</f>
        <v/>
      </c>
      <c r="Q216" s="11">
        <f>IFERROR(P216/J216,"")</f>
        <v/>
      </c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10" t="n"/>
      <c r="G217" s="10" t="n"/>
      <c r="H217" s="10" t="n"/>
      <c r="I217" s="2" t="n"/>
      <c r="J217" s="8" t="n"/>
      <c r="K217" s="8">
        <f>IF(J217="","",J217*Configuracion!$G$2)</f>
        <v/>
      </c>
      <c r="L217" s="8">
        <f>IF(J217="","",J217+K217)</f>
        <v/>
      </c>
      <c r="M217" s="8" t="n"/>
      <c r="N217" s="8" t="n"/>
      <c r="O217" s="8">
        <f>IF(OR(J217="",M217=""),"",J217-M217)</f>
        <v/>
      </c>
      <c r="P217" s="8">
        <f>IF(OR(J217="",N217=""),"",J217-N217)</f>
        <v/>
      </c>
      <c r="Q217" s="11">
        <f>IFERROR(P217/J217,"")</f>
        <v/>
      </c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10" t="n"/>
      <c r="G218" s="10" t="n"/>
      <c r="H218" s="10" t="n"/>
      <c r="I218" s="2" t="n"/>
      <c r="J218" s="8" t="n"/>
      <c r="K218" s="8">
        <f>IF(J218="","",J218*Configuracion!$G$2)</f>
        <v/>
      </c>
      <c r="L218" s="8">
        <f>IF(J218="","",J218+K218)</f>
        <v/>
      </c>
      <c r="M218" s="8" t="n"/>
      <c r="N218" s="8" t="n"/>
      <c r="O218" s="8">
        <f>IF(OR(J218="",M218=""),"",J218-M218)</f>
        <v/>
      </c>
      <c r="P218" s="8">
        <f>IF(OR(J218="",N218=""),"",J218-N218)</f>
        <v/>
      </c>
      <c r="Q218" s="11">
        <f>IFERROR(P218/J218,"")</f>
        <v/>
      </c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10" t="n"/>
      <c r="G219" s="10" t="n"/>
      <c r="H219" s="10" t="n"/>
      <c r="I219" s="2" t="n"/>
      <c r="J219" s="8" t="n"/>
      <c r="K219" s="8">
        <f>IF(J219="","",J219*Configuracion!$G$2)</f>
        <v/>
      </c>
      <c r="L219" s="8">
        <f>IF(J219="","",J219+K219)</f>
        <v/>
      </c>
      <c r="M219" s="8" t="n"/>
      <c r="N219" s="8" t="n"/>
      <c r="O219" s="8">
        <f>IF(OR(J219="",M219=""),"",J219-M219)</f>
        <v/>
      </c>
      <c r="P219" s="8">
        <f>IF(OR(J219="",N219=""),"",J219-N219)</f>
        <v/>
      </c>
      <c r="Q219" s="11">
        <f>IFERROR(P219/J219,"")</f>
        <v/>
      </c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10" t="n"/>
      <c r="G220" s="10" t="n"/>
      <c r="H220" s="10" t="n"/>
      <c r="I220" s="2" t="n"/>
      <c r="J220" s="8" t="n"/>
      <c r="K220" s="8">
        <f>IF(J220="","",J220*Configuracion!$G$2)</f>
        <v/>
      </c>
      <c r="L220" s="8">
        <f>IF(J220="","",J220+K220)</f>
        <v/>
      </c>
      <c r="M220" s="8" t="n"/>
      <c r="N220" s="8" t="n"/>
      <c r="O220" s="8">
        <f>IF(OR(J220="",M220=""),"",J220-M220)</f>
        <v/>
      </c>
      <c r="P220" s="8">
        <f>IF(OR(J220="",N220=""),"",J220-N220)</f>
        <v/>
      </c>
      <c r="Q220" s="11">
        <f>IFERROR(P220/J220,"")</f>
        <v/>
      </c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10" t="n"/>
      <c r="G221" s="10" t="n"/>
      <c r="H221" s="10" t="n"/>
      <c r="I221" s="2" t="n"/>
      <c r="J221" s="8" t="n"/>
      <c r="K221" s="8">
        <f>IF(J221="","",J221*Configuracion!$G$2)</f>
        <v/>
      </c>
      <c r="L221" s="8">
        <f>IF(J221="","",J221+K221)</f>
        <v/>
      </c>
      <c r="M221" s="8" t="n"/>
      <c r="N221" s="8" t="n"/>
      <c r="O221" s="8">
        <f>IF(OR(J221="",M221=""),"",J221-M221)</f>
        <v/>
      </c>
      <c r="P221" s="8">
        <f>IF(OR(J221="",N221=""),"",J221-N221)</f>
        <v/>
      </c>
      <c r="Q221" s="11">
        <f>IFERROR(P221/J221,"")</f>
        <v/>
      </c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10" t="n"/>
      <c r="G222" s="10" t="n"/>
      <c r="H222" s="10" t="n"/>
      <c r="I222" s="2" t="n"/>
      <c r="J222" s="8" t="n"/>
      <c r="K222" s="8">
        <f>IF(J222="","",J222*Configuracion!$G$2)</f>
        <v/>
      </c>
      <c r="L222" s="8">
        <f>IF(J222="","",J222+K222)</f>
        <v/>
      </c>
      <c r="M222" s="8" t="n"/>
      <c r="N222" s="8" t="n"/>
      <c r="O222" s="8">
        <f>IF(OR(J222="",M222=""),"",J222-M222)</f>
        <v/>
      </c>
      <c r="P222" s="8">
        <f>IF(OR(J222="",N222=""),"",J222-N222)</f>
        <v/>
      </c>
      <c r="Q222" s="11">
        <f>IFERROR(P222/J222,"")</f>
        <v/>
      </c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10" t="n"/>
      <c r="G223" s="10" t="n"/>
      <c r="H223" s="10" t="n"/>
      <c r="I223" s="2" t="n"/>
      <c r="J223" s="8" t="n"/>
      <c r="K223" s="8">
        <f>IF(J223="","",J223*Configuracion!$G$2)</f>
        <v/>
      </c>
      <c r="L223" s="8">
        <f>IF(J223="","",J223+K223)</f>
        <v/>
      </c>
      <c r="M223" s="8" t="n"/>
      <c r="N223" s="8" t="n"/>
      <c r="O223" s="8">
        <f>IF(OR(J223="",M223=""),"",J223-M223)</f>
        <v/>
      </c>
      <c r="P223" s="8">
        <f>IF(OR(J223="",N223=""),"",J223-N223)</f>
        <v/>
      </c>
      <c r="Q223" s="11">
        <f>IFERROR(P223/J223,"")</f>
        <v/>
      </c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10" t="n"/>
      <c r="G224" s="10" t="n"/>
      <c r="H224" s="10" t="n"/>
      <c r="I224" s="2" t="n"/>
      <c r="J224" s="8" t="n"/>
      <c r="K224" s="8">
        <f>IF(J224="","",J224*Configuracion!$G$2)</f>
        <v/>
      </c>
      <c r="L224" s="8">
        <f>IF(J224="","",J224+K224)</f>
        <v/>
      </c>
      <c r="M224" s="8" t="n"/>
      <c r="N224" s="8" t="n"/>
      <c r="O224" s="8">
        <f>IF(OR(J224="",M224=""),"",J224-M224)</f>
        <v/>
      </c>
      <c r="P224" s="8">
        <f>IF(OR(J224="",N224=""),"",J224-N224)</f>
        <v/>
      </c>
      <c r="Q224" s="11">
        <f>IFERROR(P224/J224,"")</f>
        <v/>
      </c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10" t="n"/>
      <c r="G225" s="10" t="n"/>
      <c r="H225" s="10" t="n"/>
      <c r="I225" s="2" t="n"/>
      <c r="J225" s="8" t="n"/>
      <c r="K225" s="8">
        <f>IF(J225="","",J225*Configuracion!$G$2)</f>
        <v/>
      </c>
      <c r="L225" s="8">
        <f>IF(J225="","",J225+K225)</f>
        <v/>
      </c>
      <c r="M225" s="8" t="n"/>
      <c r="N225" s="8" t="n"/>
      <c r="O225" s="8">
        <f>IF(OR(J225="",M225=""),"",J225-M225)</f>
        <v/>
      </c>
      <c r="P225" s="8">
        <f>IF(OR(J225="",N225=""),"",J225-N225)</f>
        <v/>
      </c>
      <c r="Q225" s="11">
        <f>IFERROR(P225/J225,"")</f>
        <v/>
      </c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10" t="n"/>
      <c r="G226" s="10" t="n"/>
      <c r="H226" s="10" t="n"/>
      <c r="I226" s="2" t="n"/>
      <c r="J226" s="8" t="n"/>
      <c r="K226" s="8">
        <f>IF(J226="","",J226*Configuracion!$G$2)</f>
        <v/>
      </c>
      <c r="L226" s="8">
        <f>IF(J226="","",J226+K226)</f>
        <v/>
      </c>
      <c r="M226" s="8" t="n"/>
      <c r="N226" s="8" t="n"/>
      <c r="O226" s="8">
        <f>IF(OR(J226="",M226=""),"",J226-M226)</f>
        <v/>
      </c>
      <c r="P226" s="8">
        <f>IF(OR(J226="",N226=""),"",J226-N226)</f>
        <v/>
      </c>
      <c r="Q226" s="11">
        <f>IFERROR(P226/J226,"")</f>
        <v/>
      </c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10" t="n"/>
      <c r="G227" s="10" t="n"/>
      <c r="H227" s="10" t="n"/>
      <c r="I227" s="2" t="n"/>
      <c r="J227" s="8" t="n"/>
      <c r="K227" s="8">
        <f>IF(J227="","",J227*Configuracion!$G$2)</f>
        <v/>
      </c>
      <c r="L227" s="8">
        <f>IF(J227="","",J227+K227)</f>
        <v/>
      </c>
      <c r="M227" s="8" t="n"/>
      <c r="N227" s="8" t="n"/>
      <c r="O227" s="8">
        <f>IF(OR(J227="",M227=""),"",J227-M227)</f>
        <v/>
      </c>
      <c r="P227" s="8">
        <f>IF(OR(J227="",N227=""),"",J227-N227)</f>
        <v/>
      </c>
      <c r="Q227" s="11">
        <f>IFERROR(P227/J227,"")</f>
        <v/>
      </c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10" t="n"/>
      <c r="G228" s="10" t="n"/>
      <c r="H228" s="10" t="n"/>
      <c r="I228" s="2" t="n"/>
      <c r="J228" s="8" t="n"/>
      <c r="K228" s="8">
        <f>IF(J228="","",J228*Configuracion!$G$2)</f>
        <v/>
      </c>
      <c r="L228" s="8">
        <f>IF(J228="","",J228+K228)</f>
        <v/>
      </c>
      <c r="M228" s="8" t="n"/>
      <c r="N228" s="8" t="n"/>
      <c r="O228" s="8">
        <f>IF(OR(J228="",M228=""),"",J228-M228)</f>
        <v/>
      </c>
      <c r="P228" s="8">
        <f>IF(OR(J228="",N228=""),"",J228-N228)</f>
        <v/>
      </c>
      <c r="Q228" s="11">
        <f>IFERROR(P228/J228,"")</f>
        <v/>
      </c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10" t="n"/>
      <c r="G229" s="10" t="n"/>
      <c r="H229" s="10" t="n"/>
      <c r="I229" s="2" t="n"/>
      <c r="J229" s="8" t="n"/>
      <c r="K229" s="8">
        <f>IF(J229="","",J229*Configuracion!$G$2)</f>
        <v/>
      </c>
      <c r="L229" s="8">
        <f>IF(J229="","",J229+K229)</f>
        <v/>
      </c>
      <c r="M229" s="8" t="n"/>
      <c r="N229" s="8" t="n"/>
      <c r="O229" s="8">
        <f>IF(OR(J229="",M229=""),"",J229-M229)</f>
        <v/>
      </c>
      <c r="P229" s="8">
        <f>IF(OR(J229="",N229=""),"",J229-N229)</f>
        <v/>
      </c>
      <c r="Q229" s="11">
        <f>IFERROR(P229/J229,"")</f>
        <v/>
      </c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10" t="n"/>
      <c r="G230" s="10" t="n"/>
      <c r="H230" s="10" t="n"/>
      <c r="I230" s="2" t="n"/>
      <c r="J230" s="8" t="n"/>
      <c r="K230" s="8">
        <f>IF(J230="","",J230*Configuracion!$G$2)</f>
        <v/>
      </c>
      <c r="L230" s="8">
        <f>IF(J230="","",J230+K230)</f>
        <v/>
      </c>
      <c r="M230" s="8" t="n"/>
      <c r="N230" s="8" t="n"/>
      <c r="O230" s="8">
        <f>IF(OR(J230="",M230=""),"",J230-M230)</f>
        <v/>
      </c>
      <c r="P230" s="8">
        <f>IF(OR(J230="",N230=""),"",J230-N230)</f>
        <v/>
      </c>
      <c r="Q230" s="11">
        <f>IFERROR(P230/J230,"")</f>
        <v/>
      </c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10" t="n"/>
      <c r="G231" s="10" t="n"/>
      <c r="H231" s="10" t="n"/>
      <c r="I231" s="2" t="n"/>
      <c r="J231" s="8" t="n"/>
      <c r="K231" s="8">
        <f>IF(J231="","",J231*Configuracion!$G$2)</f>
        <v/>
      </c>
      <c r="L231" s="8">
        <f>IF(J231="","",J231+K231)</f>
        <v/>
      </c>
      <c r="M231" s="8" t="n"/>
      <c r="N231" s="8" t="n"/>
      <c r="O231" s="8">
        <f>IF(OR(J231="",M231=""),"",J231-M231)</f>
        <v/>
      </c>
      <c r="P231" s="8">
        <f>IF(OR(J231="",N231=""),"",J231-N231)</f>
        <v/>
      </c>
      <c r="Q231" s="11">
        <f>IFERROR(P231/J231,"")</f>
        <v/>
      </c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10" t="n"/>
      <c r="G232" s="10" t="n"/>
      <c r="H232" s="10" t="n"/>
      <c r="I232" s="2" t="n"/>
      <c r="J232" s="8" t="n"/>
      <c r="K232" s="8">
        <f>IF(J232="","",J232*Configuracion!$G$2)</f>
        <v/>
      </c>
      <c r="L232" s="8">
        <f>IF(J232="","",J232+K232)</f>
        <v/>
      </c>
      <c r="M232" s="8" t="n"/>
      <c r="N232" s="8" t="n"/>
      <c r="O232" s="8">
        <f>IF(OR(J232="",M232=""),"",J232-M232)</f>
        <v/>
      </c>
      <c r="P232" s="8">
        <f>IF(OR(J232="",N232=""),"",J232-N232)</f>
        <v/>
      </c>
      <c r="Q232" s="11">
        <f>IFERROR(P232/J232,"")</f>
        <v/>
      </c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10" t="n"/>
      <c r="G233" s="10" t="n"/>
      <c r="H233" s="10" t="n"/>
      <c r="I233" s="2" t="n"/>
      <c r="J233" s="8" t="n"/>
      <c r="K233" s="8">
        <f>IF(J233="","",J233*Configuracion!$G$2)</f>
        <v/>
      </c>
      <c r="L233" s="8">
        <f>IF(J233="","",J233+K233)</f>
        <v/>
      </c>
      <c r="M233" s="8" t="n"/>
      <c r="N233" s="8" t="n"/>
      <c r="O233" s="8">
        <f>IF(OR(J233="",M233=""),"",J233-M233)</f>
        <v/>
      </c>
      <c r="P233" s="8">
        <f>IF(OR(J233="",N233=""),"",J233-N233)</f>
        <v/>
      </c>
      <c r="Q233" s="11">
        <f>IFERROR(P233/J233,"")</f>
        <v/>
      </c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10" t="n"/>
      <c r="G234" s="10" t="n"/>
      <c r="H234" s="10" t="n"/>
      <c r="I234" s="2" t="n"/>
      <c r="J234" s="8" t="n"/>
      <c r="K234" s="8">
        <f>IF(J234="","",J234*Configuracion!$G$2)</f>
        <v/>
      </c>
      <c r="L234" s="8">
        <f>IF(J234="","",J234+K234)</f>
        <v/>
      </c>
      <c r="M234" s="8" t="n"/>
      <c r="N234" s="8" t="n"/>
      <c r="O234" s="8">
        <f>IF(OR(J234="",M234=""),"",J234-M234)</f>
        <v/>
      </c>
      <c r="P234" s="8">
        <f>IF(OR(J234="",N234=""),"",J234-N234)</f>
        <v/>
      </c>
      <c r="Q234" s="11">
        <f>IFERROR(P234/J234,"")</f>
        <v/>
      </c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10" t="n"/>
      <c r="G235" s="10" t="n"/>
      <c r="H235" s="10" t="n"/>
      <c r="I235" s="2" t="n"/>
      <c r="J235" s="8" t="n"/>
      <c r="K235" s="8">
        <f>IF(J235="","",J235*Configuracion!$G$2)</f>
        <v/>
      </c>
      <c r="L235" s="8">
        <f>IF(J235="","",J235+K235)</f>
        <v/>
      </c>
      <c r="M235" s="8" t="n"/>
      <c r="N235" s="8" t="n"/>
      <c r="O235" s="8">
        <f>IF(OR(J235="",M235=""),"",J235-M235)</f>
        <v/>
      </c>
      <c r="P235" s="8">
        <f>IF(OR(J235="",N235=""),"",J235-N235)</f>
        <v/>
      </c>
      <c r="Q235" s="11">
        <f>IFERROR(P235/J235,"")</f>
        <v/>
      </c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10" t="n"/>
      <c r="G236" s="10" t="n"/>
      <c r="H236" s="10" t="n"/>
      <c r="I236" s="2" t="n"/>
      <c r="J236" s="8" t="n"/>
      <c r="K236" s="8">
        <f>IF(J236="","",J236*Configuracion!$G$2)</f>
        <v/>
      </c>
      <c r="L236" s="8">
        <f>IF(J236="","",J236+K236)</f>
        <v/>
      </c>
      <c r="M236" s="8" t="n"/>
      <c r="N236" s="8" t="n"/>
      <c r="O236" s="8">
        <f>IF(OR(J236="",M236=""),"",J236-M236)</f>
        <v/>
      </c>
      <c r="P236" s="8">
        <f>IF(OR(J236="",N236=""),"",J236-N236)</f>
        <v/>
      </c>
      <c r="Q236" s="11">
        <f>IFERROR(P236/J236,"")</f>
        <v/>
      </c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10" t="n"/>
      <c r="G237" s="10" t="n"/>
      <c r="H237" s="10" t="n"/>
      <c r="I237" s="2" t="n"/>
      <c r="J237" s="8" t="n"/>
      <c r="K237" s="8">
        <f>IF(J237="","",J237*Configuracion!$G$2)</f>
        <v/>
      </c>
      <c r="L237" s="8">
        <f>IF(J237="","",J237+K237)</f>
        <v/>
      </c>
      <c r="M237" s="8" t="n"/>
      <c r="N237" s="8" t="n"/>
      <c r="O237" s="8">
        <f>IF(OR(J237="",M237=""),"",J237-M237)</f>
        <v/>
      </c>
      <c r="P237" s="8">
        <f>IF(OR(J237="",N237=""),"",J237-N237)</f>
        <v/>
      </c>
      <c r="Q237" s="11">
        <f>IFERROR(P237/J237,"")</f>
        <v/>
      </c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10" t="n"/>
      <c r="G238" s="10" t="n"/>
      <c r="H238" s="10" t="n"/>
      <c r="I238" s="2" t="n"/>
      <c r="J238" s="8" t="n"/>
      <c r="K238" s="8">
        <f>IF(J238="","",J238*Configuracion!$G$2)</f>
        <v/>
      </c>
      <c r="L238" s="8">
        <f>IF(J238="","",J238+K238)</f>
        <v/>
      </c>
      <c r="M238" s="8" t="n"/>
      <c r="N238" s="8" t="n"/>
      <c r="O238" s="8">
        <f>IF(OR(J238="",M238=""),"",J238-M238)</f>
        <v/>
      </c>
      <c r="P238" s="8">
        <f>IF(OR(J238="",N238=""),"",J238-N238)</f>
        <v/>
      </c>
      <c r="Q238" s="11">
        <f>IFERROR(P238/J238,"")</f>
        <v/>
      </c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10" t="n"/>
      <c r="G239" s="10" t="n"/>
      <c r="H239" s="10" t="n"/>
      <c r="I239" s="2" t="n"/>
      <c r="J239" s="8" t="n"/>
      <c r="K239" s="8">
        <f>IF(J239="","",J239*Configuracion!$G$2)</f>
        <v/>
      </c>
      <c r="L239" s="8">
        <f>IF(J239="","",J239+K239)</f>
        <v/>
      </c>
      <c r="M239" s="8" t="n"/>
      <c r="N239" s="8" t="n"/>
      <c r="O239" s="8">
        <f>IF(OR(J239="",M239=""),"",J239-M239)</f>
        <v/>
      </c>
      <c r="P239" s="8">
        <f>IF(OR(J239="",N239=""),"",J239-N239)</f>
        <v/>
      </c>
      <c r="Q239" s="11">
        <f>IFERROR(P239/J239,"")</f>
        <v/>
      </c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10" t="n"/>
      <c r="G240" s="10" t="n"/>
      <c r="H240" s="10" t="n"/>
      <c r="I240" s="2" t="n"/>
      <c r="J240" s="8" t="n"/>
      <c r="K240" s="8">
        <f>IF(J240="","",J240*Configuracion!$G$2)</f>
        <v/>
      </c>
      <c r="L240" s="8">
        <f>IF(J240="","",J240+K240)</f>
        <v/>
      </c>
      <c r="M240" s="8" t="n"/>
      <c r="N240" s="8" t="n"/>
      <c r="O240" s="8">
        <f>IF(OR(J240="",M240=""),"",J240-M240)</f>
        <v/>
      </c>
      <c r="P240" s="8">
        <f>IF(OR(J240="",N240=""),"",J240-N240)</f>
        <v/>
      </c>
      <c r="Q240" s="11">
        <f>IFERROR(P240/J240,"")</f>
        <v/>
      </c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10" t="n"/>
      <c r="G241" s="10" t="n"/>
      <c r="H241" s="10" t="n"/>
      <c r="I241" s="2" t="n"/>
      <c r="J241" s="8" t="n"/>
      <c r="K241" s="8">
        <f>IF(J241="","",J241*Configuracion!$G$2)</f>
        <v/>
      </c>
      <c r="L241" s="8">
        <f>IF(J241="","",J241+K241)</f>
        <v/>
      </c>
      <c r="M241" s="8" t="n"/>
      <c r="N241" s="8" t="n"/>
      <c r="O241" s="8">
        <f>IF(OR(J241="",M241=""),"",J241-M241)</f>
        <v/>
      </c>
      <c r="P241" s="8">
        <f>IF(OR(J241="",N241=""),"",J241-N241)</f>
        <v/>
      </c>
      <c r="Q241" s="11">
        <f>IFERROR(P241/J241,"")</f>
        <v/>
      </c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10" t="n"/>
      <c r="G242" s="10" t="n"/>
      <c r="H242" s="10" t="n"/>
      <c r="I242" s="2" t="n"/>
      <c r="J242" s="8" t="n"/>
      <c r="K242" s="8">
        <f>IF(J242="","",J242*Configuracion!$G$2)</f>
        <v/>
      </c>
      <c r="L242" s="8">
        <f>IF(J242="","",J242+K242)</f>
        <v/>
      </c>
      <c r="M242" s="8" t="n"/>
      <c r="N242" s="8" t="n"/>
      <c r="O242" s="8">
        <f>IF(OR(J242="",M242=""),"",J242-M242)</f>
        <v/>
      </c>
      <c r="P242" s="8">
        <f>IF(OR(J242="",N242=""),"",J242-N242)</f>
        <v/>
      </c>
      <c r="Q242" s="11">
        <f>IFERROR(P242/J242,"")</f>
        <v/>
      </c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10" t="n"/>
      <c r="G243" s="10" t="n"/>
      <c r="H243" s="10" t="n"/>
      <c r="I243" s="2" t="n"/>
      <c r="J243" s="8" t="n"/>
      <c r="K243" s="8">
        <f>IF(J243="","",J243*Configuracion!$G$2)</f>
        <v/>
      </c>
      <c r="L243" s="8">
        <f>IF(J243="","",J243+K243)</f>
        <v/>
      </c>
      <c r="M243" s="8" t="n"/>
      <c r="N243" s="8" t="n"/>
      <c r="O243" s="8">
        <f>IF(OR(J243="",M243=""),"",J243-M243)</f>
        <v/>
      </c>
      <c r="P243" s="8">
        <f>IF(OR(J243="",N243=""),"",J243-N243)</f>
        <v/>
      </c>
      <c r="Q243" s="11">
        <f>IFERROR(P243/J243,"")</f>
        <v/>
      </c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10" t="n"/>
      <c r="G244" s="10" t="n"/>
      <c r="H244" s="10" t="n"/>
      <c r="I244" s="2" t="n"/>
      <c r="J244" s="8" t="n"/>
      <c r="K244" s="8">
        <f>IF(J244="","",J244*Configuracion!$G$2)</f>
        <v/>
      </c>
      <c r="L244" s="8">
        <f>IF(J244="","",J244+K244)</f>
        <v/>
      </c>
      <c r="M244" s="8" t="n"/>
      <c r="N244" s="8" t="n"/>
      <c r="O244" s="8">
        <f>IF(OR(J244="",M244=""),"",J244-M244)</f>
        <v/>
      </c>
      <c r="P244" s="8">
        <f>IF(OR(J244="",N244=""),"",J244-N244)</f>
        <v/>
      </c>
      <c r="Q244" s="11">
        <f>IFERROR(P244/J244,"")</f>
        <v/>
      </c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10" t="n"/>
      <c r="G245" s="10" t="n"/>
      <c r="H245" s="10" t="n"/>
      <c r="I245" s="2" t="n"/>
      <c r="J245" s="8" t="n"/>
      <c r="K245" s="8">
        <f>IF(J245="","",J245*Configuracion!$G$2)</f>
        <v/>
      </c>
      <c r="L245" s="8">
        <f>IF(J245="","",J245+K245)</f>
        <v/>
      </c>
      <c r="M245" s="8" t="n"/>
      <c r="N245" s="8" t="n"/>
      <c r="O245" s="8">
        <f>IF(OR(J245="",M245=""),"",J245-M245)</f>
        <v/>
      </c>
      <c r="P245" s="8">
        <f>IF(OR(J245="",N245=""),"",J245-N245)</f>
        <v/>
      </c>
      <c r="Q245" s="11">
        <f>IFERROR(P245/J245,"")</f>
        <v/>
      </c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10" t="n"/>
      <c r="G246" s="10" t="n"/>
      <c r="H246" s="10" t="n"/>
      <c r="I246" s="2" t="n"/>
      <c r="J246" s="8" t="n"/>
      <c r="K246" s="8">
        <f>IF(J246="","",J246*Configuracion!$G$2)</f>
        <v/>
      </c>
      <c r="L246" s="8">
        <f>IF(J246="","",J246+K246)</f>
        <v/>
      </c>
      <c r="M246" s="8" t="n"/>
      <c r="N246" s="8" t="n"/>
      <c r="O246" s="8">
        <f>IF(OR(J246="",M246=""),"",J246-M246)</f>
        <v/>
      </c>
      <c r="P246" s="8">
        <f>IF(OR(J246="",N246=""),"",J246-N246)</f>
        <v/>
      </c>
      <c r="Q246" s="11">
        <f>IFERROR(P246/J246,"")</f>
        <v/>
      </c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10" t="n"/>
      <c r="G247" s="10" t="n"/>
      <c r="H247" s="10" t="n"/>
      <c r="I247" s="2" t="n"/>
      <c r="J247" s="8" t="n"/>
      <c r="K247" s="8">
        <f>IF(J247="","",J247*Configuracion!$G$2)</f>
        <v/>
      </c>
      <c r="L247" s="8">
        <f>IF(J247="","",J247+K247)</f>
        <v/>
      </c>
      <c r="M247" s="8" t="n"/>
      <c r="N247" s="8" t="n"/>
      <c r="O247" s="8">
        <f>IF(OR(J247="",M247=""),"",J247-M247)</f>
        <v/>
      </c>
      <c r="P247" s="8">
        <f>IF(OR(J247="",N247=""),"",J247-N247)</f>
        <v/>
      </c>
      <c r="Q247" s="11">
        <f>IFERROR(P247/J247,"")</f>
        <v/>
      </c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10" t="n"/>
      <c r="G248" s="10" t="n"/>
      <c r="H248" s="10" t="n"/>
      <c r="I248" s="2" t="n"/>
      <c r="J248" s="8" t="n"/>
      <c r="K248" s="8">
        <f>IF(J248="","",J248*Configuracion!$G$2)</f>
        <v/>
      </c>
      <c r="L248" s="8">
        <f>IF(J248="","",J248+K248)</f>
        <v/>
      </c>
      <c r="M248" s="8" t="n"/>
      <c r="N248" s="8" t="n"/>
      <c r="O248" s="8">
        <f>IF(OR(J248="",M248=""),"",J248-M248)</f>
        <v/>
      </c>
      <c r="P248" s="8">
        <f>IF(OR(J248="",N248=""),"",J248-N248)</f>
        <v/>
      </c>
      <c r="Q248" s="11">
        <f>IFERROR(P248/J248,"")</f>
        <v/>
      </c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10" t="n"/>
      <c r="G249" s="10" t="n"/>
      <c r="H249" s="10" t="n"/>
      <c r="I249" s="2" t="n"/>
      <c r="J249" s="8" t="n"/>
      <c r="K249" s="8">
        <f>IF(J249="","",J249*Configuracion!$G$2)</f>
        <v/>
      </c>
      <c r="L249" s="8">
        <f>IF(J249="","",J249+K249)</f>
        <v/>
      </c>
      <c r="M249" s="8" t="n"/>
      <c r="N249" s="8" t="n"/>
      <c r="O249" s="8">
        <f>IF(OR(J249="",M249=""),"",J249-M249)</f>
        <v/>
      </c>
      <c r="P249" s="8">
        <f>IF(OR(J249="",N249=""),"",J249-N249)</f>
        <v/>
      </c>
      <c r="Q249" s="11">
        <f>IFERROR(P249/J249,"")</f>
        <v/>
      </c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10" t="n"/>
      <c r="G250" s="10" t="n"/>
      <c r="H250" s="10" t="n"/>
      <c r="I250" s="2" t="n"/>
      <c r="J250" s="8" t="n"/>
      <c r="K250" s="8">
        <f>IF(J250="","",J250*Configuracion!$G$2)</f>
        <v/>
      </c>
      <c r="L250" s="8">
        <f>IF(J250="","",J250+K250)</f>
        <v/>
      </c>
      <c r="M250" s="8" t="n"/>
      <c r="N250" s="8" t="n"/>
      <c r="O250" s="8">
        <f>IF(OR(J250="",M250=""),"",J250-M250)</f>
        <v/>
      </c>
      <c r="P250" s="8">
        <f>IF(OR(J250="",N250=""),"",J250-N250)</f>
        <v/>
      </c>
      <c r="Q250" s="11">
        <f>IFERROR(P250/J250,"")</f>
        <v/>
      </c>
      <c r="R250" s="2" t="n"/>
      <c r="S250" s="2" t="n"/>
      <c r="T250" s="2" t="n"/>
      <c r="U250" s="2" t="n"/>
      <c r="V250" s="2" t="n"/>
    </row>
  </sheetData>
  <dataValidations count="1">
    <dataValidation sqref="I2:I250" showDropDown="0" showInputMessage="0" showErrorMessage="0" allowBlank="1" type="list">
      <formula1>"No iniciado,En ejecucion,Pausado,Terminado,Facturado,Cerrado"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6" customWidth="1" min="6" max="6"/>
    <col width="18" customWidth="1" min="7" max="7"/>
    <col width="12" customWidth="1" min="8" max="8"/>
    <col width="38" customWidth="1" min="9" max="9"/>
    <col width="24" customWidth="1" min="10" max="10"/>
    <col width="11" customWidth="1" min="11" max="11"/>
    <col width="38" customWidth="1" min="12" max="12"/>
    <col width="28" customWidth="1" min="13" max="13"/>
    <col width="14" customWidth="1" min="14" max="14"/>
    <col width="20" customWidth="1" min="15" max="15"/>
    <col width="15" customWidth="1" min="16" max="16"/>
  </cols>
  <sheetData>
    <row r="1">
      <c r="A1" s="4" t="inlineStr">
        <is>
          <t>ID_Ingreso</t>
        </is>
      </c>
      <c r="B1" s="4" t="inlineStr">
        <is>
          <t>ID_Proyecto</t>
        </is>
      </c>
      <c r="C1" s="4" t="inlineStr">
        <is>
          <t>ID_Cliente</t>
        </is>
      </c>
      <c r="D1" s="4" t="inlineStr">
        <is>
          <t>Fecha_Emision</t>
        </is>
      </c>
      <c r="E1" s="4" t="inlineStr">
        <is>
          <t>Fecha_Pago</t>
        </is>
      </c>
      <c r="F1" s="4" t="inlineStr">
        <is>
          <t>Tipo_Documento</t>
        </is>
      </c>
      <c r="G1" s="4" t="inlineStr">
        <is>
          <t>Numero_Documento</t>
        </is>
      </c>
      <c r="H1" s="4" t="inlineStr">
        <is>
          <t>Monto_Neto</t>
        </is>
      </c>
      <c r="I1" s="4" t="inlineStr">
        <is>
          <t>IVA</t>
        </is>
      </c>
      <c r="J1" s="4" t="inlineStr">
        <is>
          <t>Monto_Total</t>
        </is>
      </c>
      <c r="K1" s="4" t="inlineStr">
        <is>
          <t>Retencion</t>
        </is>
      </c>
      <c r="L1" s="4" t="inlineStr">
        <is>
          <t>PPM</t>
        </is>
      </c>
      <c r="M1" s="4" t="inlineStr">
        <is>
          <t>Monto_Liquido</t>
        </is>
      </c>
      <c r="N1" s="4" t="inlineStr">
        <is>
          <t>Estado_Cobro</t>
        </is>
      </c>
      <c r="O1" s="4" t="inlineStr">
        <is>
          <t>Documento_Respaldo</t>
        </is>
      </c>
      <c r="P1" s="4" t="inlineStr">
        <is>
          <t>Observaciones</t>
        </is>
      </c>
    </row>
    <row r="2">
      <c r="A2" s="2" t="n"/>
      <c r="B2" s="2" t="n"/>
      <c r="C2" s="2" t="n"/>
      <c r="D2" s="10" t="n"/>
      <c r="E2" s="10" t="n"/>
      <c r="F2" s="2" t="n"/>
      <c r="G2" s="2" t="n"/>
      <c r="H2" s="8" t="n"/>
      <c r="I2" s="8">
        <f>IF(H2="","",H2*Configuracion!$G$2)</f>
        <v/>
      </c>
      <c r="J2" s="8">
        <f>IF(H2="","",H2+I2)</f>
        <v/>
      </c>
      <c r="K2" s="8" t="n"/>
      <c r="L2" s="8">
        <f>IF(H2="","",H2*Configuracion!$H$2)</f>
        <v/>
      </c>
      <c r="M2" s="8">
        <f>IF(H2="","",J2-K2-L2)</f>
        <v/>
      </c>
      <c r="N2" s="2" t="n"/>
      <c r="O2" s="2" t="n"/>
      <c r="P2" s="2" t="n"/>
    </row>
    <row r="3">
      <c r="A3" s="2" t="n"/>
      <c r="B3" s="2" t="n"/>
      <c r="C3" s="2" t="n"/>
      <c r="D3" s="10" t="n"/>
      <c r="E3" s="10" t="n"/>
      <c r="F3" s="2" t="n"/>
      <c r="G3" s="2" t="n"/>
      <c r="H3" s="8" t="n"/>
      <c r="I3" s="8">
        <f>IF(H3="","",H3*Configuracion!$G$2)</f>
        <v/>
      </c>
      <c r="J3" s="8">
        <f>IF(H3="","",H3+I3)</f>
        <v/>
      </c>
      <c r="K3" s="8" t="n"/>
      <c r="L3" s="8">
        <f>IF(H3="","",H3*Configuracion!$H$2)</f>
        <v/>
      </c>
      <c r="M3" s="8">
        <f>IF(H3="","",J3-K3-L3)</f>
        <v/>
      </c>
      <c r="N3" s="2" t="n"/>
      <c r="O3" s="2" t="n"/>
      <c r="P3" s="2" t="n"/>
    </row>
    <row r="4">
      <c r="A4" s="2" t="n"/>
      <c r="B4" s="2" t="n"/>
      <c r="C4" s="2" t="n"/>
      <c r="D4" s="10" t="n"/>
      <c r="E4" s="10" t="n"/>
      <c r="F4" s="2" t="n"/>
      <c r="G4" s="2" t="n"/>
      <c r="H4" s="8" t="n"/>
      <c r="I4" s="8">
        <f>IF(H4="","",H4*Configuracion!$G$2)</f>
        <v/>
      </c>
      <c r="J4" s="8">
        <f>IF(H4="","",H4+I4)</f>
        <v/>
      </c>
      <c r="K4" s="8" t="n"/>
      <c r="L4" s="8">
        <f>IF(H4="","",H4*Configuracion!$H$2)</f>
        <v/>
      </c>
      <c r="M4" s="8">
        <f>IF(H4="","",J4-K4-L4)</f>
        <v/>
      </c>
      <c r="N4" s="2" t="n"/>
      <c r="O4" s="2" t="n"/>
      <c r="P4" s="2" t="n"/>
    </row>
    <row r="5">
      <c r="A5" s="2" t="n"/>
      <c r="B5" s="2" t="n"/>
      <c r="C5" s="2" t="n"/>
      <c r="D5" s="10" t="n"/>
      <c r="E5" s="10" t="n"/>
      <c r="F5" s="2" t="n"/>
      <c r="G5" s="2" t="n"/>
      <c r="H5" s="8" t="n"/>
      <c r="I5" s="8">
        <f>IF(H5="","",H5*Configuracion!$G$2)</f>
        <v/>
      </c>
      <c r="J5" s="8">
        <f>IF(H5="","",H5+I5)</f>
        <v/>
      </c>
      <c r="K5" s="8" t="n"/>
      <c r="L5" s="8">
        <f>IF(H5="","",H5*Configuracion!$H$2)</f>
        <v/>
      </c>
      <c r="M5" s="8">
        <f>IF(H5="","",J5-K5-L5)</f>
        <v/>
      </c>
      <c r="N5" s="2" t="n"/>
      <c r="O5" s="2" t="n"/>
      <c r="P5" s="2" t="n"/>
    </row>
    <row r="6">
      <c r="A6" s="2" t="n"/>
      <c r="B6" s="2" t="n"/>
      <c r="C6" s="2" t="n"/>
      <c r="D6" s="10" t="n"/>
      <c r="E6" s="10" t="n"/>
      <c r="F6" s="2" t="n"/>
      <c r="G6" s="2" t="n"/>
      <c r="H6" s="8" t="n"/>
      <c r="I6" s="8">
        <f>IF(H6="","",H6*Configuracion!$G$2)</f>
        <v/>
      </c>
      <c r="J6" s="8">
        <f>IF(H6="","",H6+I6)</f>
        <v/>
      </c>
      <c r="K6" s="8" t="n"/>
      <c r="L6" s="8">
        <f>IF(H6="","",H6*Configuracion!$H$2)</f>
        <v/>
      </c>
      <c r="M6" s="8">
        <f>IF(H6="","",J6-K6-L6)</f>
        <v/>
      </c>
      <c r="N6" s="2" t="n"/>
      <c r="O6" s="2" t="n"/>
      <c r="P6" s="2" t="n"/>
    </row>
    <row r="7">
      <c r="A7" s="2" t="n"/>
      <c r="B7" s="2" t="n"/>
      <c r="C7" s="2" t="n"/>
      <c r="D7" s="10" t="n"/>
      <c r="E7" s="10" t="n"/>
      <c r="F7" s="2" t="n"/>
      <c r="G7" s="2" t="n"/>
      <c r="H7" s="8" t="n"/>
      <c r="I7" s="8">
        <f>IF(H7="","",H7*Configuracion!$G$2)</f>
        <v/>
      </c>
      <c r="J7" s="8">
        <f>IF(H7="","",H7+I7)</f>
        <v/>
      </c>
      <c r="K7" s="8" t="n"/>
      <c r="L7" s="8">
        <f>IF(H7="","",H7*Configuracion!$H$2)</f>
        <v/>
      </c>
      <c r="M7" s="8">
        <f>IF(H7="","",J7-K7-L7)</f>
        <v/>
      </c>
      <c r="N7" s="2" t="n"/>
      <c r="O7" s="2" t="n"/>
      <c r="P7" s="2" t="n"/>
    </row>
    <row r="8">
      <c r="A8" s="2" t="n"/>
      <c r="B8" s="2" t="n"/>
      <c r="C8" s="2" t="n"/>
      <c r="D8" s="10" t="n"/>
      <c r="E8" s="10" t="n"/>
      <c r="F8" s="2" t="n"/>
      <c r="G8" s="2" t="n"/>
      <c r="H8" s="8" t="n"/>
      <c r="I8" s="8">
        <f>IF(H8="","",H8*Configuracion!$G$2)</f>
        <v/>
      </c>
      <c r="J8" s="8">
        <f>IF(H8="","",H8+I8)</f>
        <v/>
      </c>
      <c r="K8" s="8" t="n"/>
      <c r="L8" s="8">
        <f>IF(H8="","",H8*Configuracion!$H$2)</f>
        <v/>
      </c>
      <c r="M8" s="8">
        <f>IF(H8="","",J8-K8-L8)</f>
        <v/>
      </c>
      <c r="N8" s="2" t="n"/>
      <c r="O8" s="2" t="n"/>
      <c r="P8" s="2" t="n"/>
    </row>
    <row r="9">
      <c r="A9" s="2" t="n"/>
      <c r="B9" s="2" t="n"/>
      <c r="C9" s="2" t="n"/>
      <c r="D9" s="10" t="n"/>
      <c r="E9" s="10" t="n"/>
      <c r="F9" s="2" t="n"/>
      <c r="G9" s="2" t="n"/>
      <c r="H9" s="8" t="n"/>
      <c r="I9" s="8">
        <f>IF(H9="","",H9*Configuracion!$G$2)</f>
        <v/>
      </c>
      <c r="J9" s="8">
        <f>IF(H9="","",H9+I9)</f>
        <v/>
      </c>
      <c r="K9" s="8" t="n"/>
      <c r="L9" s="8">
        <f>IF(H9="","",H9*Configuracion!$H$2)</f>
        <v/>
      </c>
      <c r="M9" s="8">
        <f>IF(H9="","",J9-K9-L9)</f>
        <v/>
      </c>
      <c r="N9" s="2" t="n"/>
      <c r="O9" s="2" t="n"/>
      <c r="P9" s="2" t="n"/>
    </row>
    <row r="10">
      <c r="A10" s="2" t="n"/>
      <c r="B10" s="2" t="n"/>
      <c r="C10" s="2" t="n"/>
      <c r="D10" s="10" t="n"/>
      <c r="E10" s="10" t="n"/>
      <c r="F10" s="2" t="n"/>
      <c r="G10" s="2" t="n"/>
      <c r="H10" s="8" t="n"/>
      <c r="I10" s="8">
        <f>IF(H10="","",H10*Configuracion!$G$2)</f>
        <v/>
      </c>
      <c r="J10" s="8">
        <f>IF(H10="","",H10+I10)</f>
        <v/>
      </c>
      <c r="K10" s="8" t="n"/>
      <c r="L10" s="8">
        <f>IF(H10="","",H10*Configuracion!$H$2)</f>
        <v/>
      </c>
      <c r="M10" s="8">
        <f>IF(H10="","",J10-K10-L10)</f>
        <v/>
      </c>
      <c r="N10" s="2" t="n"/>
      <c r="O10" s="2" t="n"/>
      <c r="P10" s="2" t="n"/>
    </row>
    <row r="11">
      <c r="A11" s="2" t="n"/>
      <c r="B11" s="2" t="n"/>
      <c r="C11" s="2" t="n"/>
      <c r="D11" s="10" t="n"/>
      <c r="E11" s="10" t="n"/>
      <c r="F11" s="2" t="n"/>
      <c r="G11" s="2" t="n"/>
      <c r="H11" s="8" t="n"/>
      <c r="I11" s="8">
        <f>IF(H11="","",H11*Configuracion!$G$2)</f>
        <v/>
      </c>
      <c r="J11" s="8">
        <f>IF(H11="","",H11+I11)</f>
        <v/>
      </c>
      <c r="K11" s="8" t="n"/>
      <c r="L11" s="8">
        <f>IF(H11="","",H11*Configuracion!$H$2)</f>
        <v/>
      </c>
      <c r="M11" s="8">
        <f>IF(H11="","",J11-K11-L11)</f>
        <v/>
      </c>
      <c r="N11" s="2" t="n"/>
      <c r="O11" s="2" t="n"/>
      <c r="P11" s="2" t="n"/>
    </row>
    <row r="12">
      <c r="A12" s="2" t="n"/>
      <c r="B12" s="2" t="n"/>
      <c r="C12" s="2" t="n"/>
      <c r="D12" s="10" t="n"/>
      <c r="E12" s="10" t="n"/>
      <c r="F12" s="2" t="n"/>
      <c r="G12" s="2" t="n"/>
      <c r="H12" s="8" t="n"/>
      <c r="I12" s="8">
        <f>IF(H12="","",H12*Configuracion!$G$2)</f>
        <v/>
      </c>
      <c r="J12" s="8">
        <f>IF(H12="","",H12+I12)</f>
        <v/>
      </c>
      <c r="K12" s="8" t="n"/>
      <c r="L12" s="8">
        <f>IF(H12="","",H12*Configuracion!$H$2)</f>
        <v/>
      </c>
      <c r="M12" s="8">
        <f>IF(H12="","",J12-K12-L12)</f>
        <v/>
      </c>
      <c r="N12" s="2" t="n"/>
      <c r="O12" s="2" t="n"/>
      <c r="P12" s="2" t="n"/>
    </row>
    <row r="13">
      <c r="A13" s="2" t="n"/>
      <c r="B13" s="2" t="n"/>
      <c r="C13" s="2" t="n"/>
      <c r="D13" s="10" t="n"/>
      <c r="E13" s="10" t="n"/>
      <c r="F13" s="2" t="n"/>
      <c r="G13" s="2" t="n"/>
      <c r="H13" s="8" t="n"/>
      <c r="I13" s="8">
        <f>IF(H13="","",H13*Configuracion!$G$2)</f>
        <v/>
      </c>
      <c r="J13" s="8">
        <f>IF(H13="","",H13+I13)</f>
        <v/>
      </c>
      <c r="K13" s="8" t="n"/>
      <c r="L13" s="8">
        <f>IF(H13="","",H13*Configuracion!$H$2)</f>
        <v/>
      </c>
      <c r="M13" s="8">
        <f>IF(H13="","",J13-K13-L13)</f>
        <v/>
      </c>
      <c r="N13" s="2" t="n"/>
      <c r="O13" s="2" t="n"/>
      <c r="P13" s="2" t="n"/>
    </row>
    <row r="14">
      <c r="A14" s="2" t="n"/>
      <c r="B14" s="2" t="n"/>
      <c r="C14" s="2" t="n"/>
      <c r="D14" s="10" t="n"/>
      <c r="E14" s="10" t="n"/>
      <c r="F14" s="2" t="n"/>
      <c r="G14" s="2" t="n"/>
      <c r="H14" s="8" t="n"/>
      <c r="I14" s="8">
        <f>IF(H14="","",H14*Configuracion!$G$2)</f>
        <v/>
      </c>
      <c r="J14" s="8">
        <f>IF(H14="","",H14+I14)</f>
        <v/>
      </c>
      <c r="K14" s="8" t="n"/>
      <c r="L14" s="8">
        <f>IF(H14="","",H14*Configuracion!$H$2)</f>
        <v/>
      </c>
      <c r="M14" s="8">
        <f>IF(H14="","",J14-K14-L14)</f>
        <v/>
      </c>
      <c r="N14" s="2" t="n"/>
      <c r="O14" s="2" t="n"/>
      <c r="P14" s="2" t="n"/>
    </row>
    <row r="15">
      <c r="A15" s="2" t="n"/>
      <c r="B15" s="2" t="n"/>
      <c r="C15" s="2" t="n"/>
      <c r="D15" s="10" t="n"/>
      <c r="E15" s="10" t="n"/>
      <c r="F15" s="2" t="n"/>
      <c r="G15" s="2" t="n"/>
      <c r="H15" s="8" t="n"/>
      <c r="I15" s="8">
        <f>IF(H15="","",H15*Configuracion!$G$2)</f>
        <v/>
      </c>
      <c r="J15" s="8">
        <f>IF(H15="","",H15+I15)</f>
        <v/>
      </c>
      <c r="K15" s="8" t="n"/>
      <c r="L15" s="8">
        <f>IF(H15="","",H15*Configuracion!$H$2)</f>
        <v/>
      </c>
      <c r="M15" s="8">
        <f>IF(H15="","",J15-K15-L15)</f>
        <v/>
      </c>
      <c r="N15" s="2" t="n"/>
      <c r="O15" s="2" t="n"/>
      <c r="P15" s="2" t="n"/>
    </row>
    <row r="16">
      <c r="A16" s="2" t="n"/>
      <c r="B16" s="2" t="n"/>
      <c r="C16" s="2" t="n"/>
      <c r="D16" s="10" t="n"/>
      <c r="E16" s="10" t="n"/>
      <c r="F16" s="2" t="n"/>
      <c r="G16" s="2" t="n"/>
      <c r="H16" s="8" t="n"/>
      <c r="I16" s="8">
        <f>IF(H16="","",H16*Configuracion!$G$2)</f>
        <v/>
      </c>
      <c r="J16" s="8">
        <f>IF(H16="","",H16+I16)</f>
        <v/>
      </c>
      <c r="K16" s="8" t="n"/>
      <c r="L16" s="8">
        <f>IF(H16="","",H16*Configuracion!$H$2)</f>
        <v/>
      </c>
      <c r="M16" s="8">
        <f>IF(H16="","",J16-K16-L16)</f>
        <v/>
      </c>
      <c r="N16" s="2" t="n"/>
      <c r="O16" s="2" t="n"/>
      <c r="P16" s="2" t="n"/>
    </row>
    <row r="17">
      <c r="A17" s="2" t="n"/>
      <c r="B17" s="2" t="n"/>
      <c r="C17" s="2" t="n"/>
      <c r="D17" s="10" t="n"/>
      <c r="E17" s="10" t="n"/>
      <c r="F17" s="2" t="n"/>
      <c r="G17" s="2" t="n"/>
      <c r="H17" s="8" t="n"/>
      <c r="I17" s="8">
        <f>IF(H17="","",H17*Configuracion!$G$2)</f>
        <v/>
      </c>
      <c r="J17" s="8">
        <f>IF(H17="","",H17+I17)</f>
        <v/>
      </c>
      <c r="K17" s="8" t="n"/>
      <c r="L17" s="8">
        <f>IF(H17="","",H17*Configuracion!$H$2)</f>
        <v/>
      </c>
      <c r="M17" s="8">
        <f>IF(H17="","",J17-K17-L17)</f>
        <v/>
      </c>
      <c r="N17" s="2" t="n"/>
      <c r="O17" s="2" t="n"/>
      <c r="P17" s="2" t="n"/>
    </row>
    <row r="18">
      <c r="A18" s="2" t="n"/>
      <c r="B18" s="2" t="n"/>
      <c r="C18" s="2" t="n"/>
      <c r="D18" s="10" t="n"/>
      <c r="E18" s="10" t="n"/>
      <c r="F18" s="2" t="n"/>
      <c r="G18" s="2" t="n"/>
      <c r="H18" s="8" t="n"/>
      <c r="I18" s="8">
        <f>IF(H18="","",H18*Configuracion!$G$2)</f>
        <v/>
      </c>
      <c r="J18" s="8">
        <f>IF(H18="","",H18+I18)</f>
        <v/>
      </c>
      <c r="K18" s="8" t="n"/>
      <c r="L18" s="8">
        <f>IF(H18="","",H18*Configuracion!$H$2)</f>
        <v/>
      </c>
      <c r="M18" s="8">
        <f>IF(H18="","",J18-K18-L18)</f>
        <v/>
      </c>
      <c r="N18" s="2" t="n"/>
      <c r="O18" s="2" t="n"/>
      <c r="P18" s="2" t="n"/>
    </row>
    <row r="19">
      <c r="A19" s="2" t="n"/>
      <c r="B19" s="2" t="n"/>
      <c r="C19" s="2" t="n"/>
      <c r="D19" s="10" t="n"/>
      <c r="E19" s="10" t="n"/>
      <c r="F19" s="2" t="n"/>
      <c r="G19" s="2" t="n"/>
      <c r="H19" s="8" t="n"/>
      <c r="I19" s="8">
        <f>IF(H19="","",H19*Configuracion!$G$2)</f>
        <v/>
      </c>
      <c r="J19" s="8">
        <f>IF(H19="","",H19+I19)</f>
        <v/>
      </c>
      <c r="K19" s="8" t="n"/>
      <c r="L19" s="8">
        <f>IF(H19="","",H19*Configuracion!$H$2)</f>
        <v/>
      </c>
      <c r="M19" s="8">
        <f>IF(H19="","",J19-K19-L19)</f>
        <v/>
      </c>
      <c r="N19" s="2" t="n"/>
      <c r="O19" s="2" t="n"/>
      <c r="P19" s="2" t="n"/>
    </row>
    <row r="20">
      <c r="A20" s="2" t="n"/>
      <c r="B20" s="2" t="n"/>
      <c r="C20" s="2" t="n"/>
      <c r="D20" s="10" t="n"/>
      <c r="E20" s="10" t="n"/>
      <c r="F20" s="2" t="n"/>
      <c r="G20" s="2" t="n"/>
      <c r="H20" s="8" t="n"/>
      <c r="I20" s="8">
        <f>IF(H20="","",H20*Configuracion!$G$2)</f>
        <v/>
      </c>
      <c r="J20" s="8">
        <f>IF(H20="","",H20+I20)</f>
        <v/>
      </c>
      <c r="K20" s="8" t="n"/>
      <c r="L20" s="8">
        <f>IF(H20="","",H20*Configuracion!$H$2)</f>
        <v/>
      </c>
      <c r="M20" s="8">
        <f>IF(H20="","",J20-K20-L20)</f>
        <v/>
      </c>
      <c r="N20" s="2" t="n"/>
      <c r="O20" s="2" t="n"/>
      <c r="P20" s="2" t="n"/>
    </row>
    <row r="21">
      <c r="A21" s="2" t="n"/>
      <c r="B21" s="2" t="n"/>
      <c r="C21" s="2" t="n"/>
      <c r="D21" s="10" t="n"/>
      <c r="E21" s="10" t="n"/>
      <c r="F21" s="2" t="n"/>
      <c r="G21" s="2" t="n"/>
      <c r="H21" s="8" t="n"/>
      <c r="I21" s="8">
        <f>IF(H21="","",H21*Configuracion!$G$2)</f>
        <v/>
      </c>
      <c r="J21" s="8">
        <f>IF(H21="","",H21+I21)</f>
        <v/>
      </c>
      <c r="K21" s="8" t="n"/>
      <c r="L21" s="8">
        <f>IF(H21="","",H21*Configuracion!$H$2)</f>
        <v/>
      </c>
      <c r="M21" s="8">
        <f>IF(H21="","",J21-K21-L21)</f>
        <v/>
      </c>
      <c r="N21" s="2" t="n"/>
      <c r="O21" s="2" t="n"/>
      <c r="P21" s="2" t="n"/>
    </row>
    <row r="22">
      <c r="A22" s="2" t="n"/>
      <c r="B22" s="2" t="n"/>
      <c r="C22" s="2" t="n"/>
      <c r="D22" s="10" t="n"/>
      <c r="E22" s="10" t="n"/>
      <c r="F22" s="2" t="n"/>
      <c r="G22" s="2" t="n"/>
      <c r="H22" s="8" t="n"/>
      <c r="I22" s="8">
        <f>IF(H22="","",H22*Configuracion!$G$2)</f>
        <v/>
      </c>
      <c r="J22" s="8">
        <f>IF(H22="","",H22+I22)</f>
        <v/>
      </c>
      <c r="K22" s="8" t="n"/>
      <c r="L22" s="8">
        <f>IF(H22="","",H22*Configuracion!$H$2)</f>
        <v/>
      </c>
      <c r="M22" s="8">
        <f>IF(H22="","",J22-K22-L22)</f>
        <v/>
      </c>
      <c r="N22" s="2" t="n"/>
      <c r="O22" s="2" t="n"/>
      <c r="P22" s="2" t="n"/>
    </row>
    <row r="23">
      <c r="A23" s="2" t="n"/>
      <c r="B23" s="2" t="n"/>
      <c r="C23" s="2" t="n"/>
      <c r="D23" s="10" t="n"/>
      <c r="E23" s="10" t="n"/>
      <c r="F23" s="2" t="n"/>
      <c r="G23" s="2" t="n"/>
      <c r="H23" s="8" t="n"/>
      <c r="I23" s="8">
        <f>IF(H23="","",H23*Configuracion!$G$2)</f>
        <v/>
      </c>
      <c r="J23" s="8">
        <f>IF(H23="","",H23+I23)</f>
        <v/>
      </c>
      <c r="K23" s="8" t="n"/>
      <c r="L23" s="8">
        <f>IF(H23="","",H23*Configuracion!$H$2)</f>
        <v/>
      </c>
      <c r="M23" s="8">
        <f>IF(H23="","",J23-K23-L23)</f>
        <v/>
      </c>
      <c r="N23" s="2" t="n"/>
      <c r="O23" s="2" t="n"/>
      <c r="P23" s="2" t="n"/>
    </row>
    <row r="24">
      <c r="A24" s="2" t="n"/>
      <c r="B24" s="2" t="n"/>
      <c r="C24" s="2" t="n"/>
      <c r="D24" s="10" t="n"/>
      <c r="E24" s="10" t="n"/>
      <c r="F24" s="2" t="n"/>
      <c r="G24" s="2" t="n"/>
      <c r="H24" s="8" t="n"/>
      <c r="I24" s="8">
        <f>IF(H24="","",H24*Configuracion!$G$2)</f>
        <v/>
      </c>
      <c r="J24" s="8">
        <f>IF(H24="","",H24+I24)</f>
        <v/>
      </c>
      <c r="K24" s="8" t="n"/>
      <c r="L24" s="8">
        <f>IF(H24="","",H24*Configuracion!$H$2)</f>
        <v/>
      </c>
      <c r="M24" s="8">
        <f>IF(H24="","",J24-K24-L24)</f>
        <v/>
      </c>
      <c r="N24" s="2" t="n"/>
      <c r="O24" s="2" t="n"/>
      <c r="P24" s="2" t="n"/>
    </row>
    <row r="25">
      <c r="A25" s="2" t="n"/>
      <c r="B25" s="2" t="n"/>
      <c r="C25" s="2" t="n"/>
      <c r="D25" s="10" t="n"/>
      <c r="E25" s="10" t="n"/>
      <c r="F25" s="2" t="n"/>
      <c r="G25" s="2" t="n"/>
      <c r="H25" s="8" t="n"/>
      <c r="I25" s="8">
        <f>IF(H25="","",H25*Configuracion!$G$2)</f>
        <v/>
      </c>
      <c r="J25" s="8">
        <f>IF(H25="","",H25+I25)</f>
        <v/>
      </c>
      <c r="K25" s="8" t="n"/>
      <c r="L25" s="8">
        <f>IF(H25="","",H25*Configuracion!$H$2)</f>
        <v/>
      </c>
      <c r="M25" s="8">
        <f>IF(H25="","",J25-K25-L25)</f>
        <v/>
      </c>
      <c r="N25" s="2" t="n"/>
      <c r="O25" s="2" t="n"/>
      <c r="P25" s="2" t="n"/>
    </row>
    <row r="26">
      <c r="A26" s="2" t="n"/>
      <c r="B26" s="2" t="n"/>
      <c r="C26" s="2" t="n"/>
      <c r="D26" s="10" t="n"/>
      <c r="E26" s="10" t="n"/>
      <c r="F26" s="2" t="n"/>
      <c r="G26" s="2" t="n"/>
      <c r="H26" s="8" t="n"/>
      <c r="I26" s="8">
        <f>IF(H26="","",H26*Configuracion!$G$2)</f>
        <v/>
      </c>
      <c r="J26" s="8">
        <f>IF(H26="","",H26+I26)</f>
        <v/>
      </c>
      <c r="K26" s="8" t="n"/>
      <c r="L26" s="8">
        <f>IF(H26="","",H26*Configuracion!$H$2)</f>
        <v/>
      </c>
      <c r="M26" s="8">
        <f>IF(H26="","",J26-K26-L26)</f>
        <v/>
      </c>
      <c r="N26" s="2" t="n"/>
      <c r="O26" s="2" t="n"/>
      <c r="P26" s="2" t="n"/>
    </row>
    <row r="27">
      <c r="A27" s="2" t="n"/>
      <c r="B27" s="2" t="n"/>
      <c r="C27" s="2" t="n"/>
      <c r="D27" s="10" t="n"/>
      <c r="E27" s="10" t="n"/>
      <c r="F27" s="2" t="n"/>
      <c r="G27" s="2" t="n"/>
      <c r="H27" s="8" t="n"/>
      <c r="I27" s="8">
        <f>IF(H27="","",H27*Configuracion!$G$2)</f>
        <v/>
      </c>
      <c r="J27" s="8">
        <f>IF(H27="","",H27+I27)</f>
        <v/>
      </c>
      <c r="K27" s="8" t="n"/>
      <c r="L27" s="8">
        <f>IF(H27="","",H27*Configuracion!$H$2)</f>
        <v/>
      </c>
      <c r="M27" s="8">
        <f>IF(H27="","",J27-K27-L27)</f>
        <v/>
      </c>
      <c r="N27" s="2" t="n"/>
      <c r="O27" s="2" t="n"/>
      <c r="P27" s="2" t="n"/>
    </row>
    <row r="28">
      <c r="A28" s="2" t="n"/>
      <c r="B28" s="2" t="n"/>
      <c r="C28" s="2" t="n"/>
      <c r="D28" s="10" t="n"/>
      <c r="E28" s="10" t="n"/>
      <c r="F28" s="2" t="n"/>
      <c r="G28" s="2" t="n"/>
      <c r="H28" s="8" t="n"/>
      <c r="I28" s="8">
        <f>IF(H28="","",H28*Configuracion!$G$2)</f>
        <v/>
      </c>
      <c r="J28" s="8">
        <f>IF(H28="","",H28+I28)</f>
        <v/>
      </c>
      <c r="K28" s="8" t="n"/>
      <c r="L28" s="8">
        <f>IF(H28="","",H28*Configuracion!$H$2)</f>
        <v/>
      </c>
      <c r="M28" s="8">
        <f>IF(H28="","",J28-K28-L28)</f>
        <v/>
      </c>
      <c r="N28" s="2" t="n"/>
      <c r="O28" s="2" t="n"/>
      <c r="P28" s="2" t="n"/>
    </row>
    <row r="29">
      <c r="A29" s="2" t="n"/>
      <c r="B29" s="2" t="n"/>
      <c r="C29" s="2" t="n"/>
      <c r="D29" s="10" t="n"/>
      <c r="E29" s="10" t="n"/>
      <c r="F29" s="2" t="n"/>
      <c r="G29" s="2" t="n"/>
      <c r="H29" s="8" t="n"/>
      <c r="I29" s="8">
        <f>IF(H29="","",H29*Configuracion!$G$2)</f>
        <v/>
      </c>
      <c r="J29" s="8">
        <f>IF(H29="","",H29+I29)</f>
        <v/>
      </c>
      <c r="K29" s="8" t="n"/>
      <c r="L29" s="8">
        <f>IF(H29="","",H29*Configuracion!$H$2)</f>
        <v/>
      </c>
      <c r="M29" s="8">
        <f>IF(H29="","",J29-K29-L29)</f>
        <v/>
      </c>
      <c r="N29" s="2" t="n"/>
      <c r="O29" s="2" t="n"/>
      <c r="P29" s="2" t="n"/>
    </row>
    <row r="30">
      <c r="A30" s="2" t="n"/>
      <c r="B30" s="2" t="n"/>
      <c r="C30" s="2" t="n"/>
      <c r="D30" s="10" t="n"/>
      <c r="E30" s="10" t="n"/>
      <c r="F30" s="2" t="n"/>
      <c r="G30" s="2" t="n"/>
      <c r="H30" s="8" t="n"/>
      <c r="I30" s="8">
        <f>IF(H30="","",H30*Configuracion!$G$2)</f>
        <v/>
      </c>
      <c r="J30" s="8">
        <f>IF(H30="","",H30+I30)</f>
        <v/>
      </c>
      <c r="K30" s="8" t="n"/>
      <c r="L30" s="8">
        <f>IF(H30="","",H30*Configuracion!$H$2)</f>
        <v/>
      </c>
      <c r="M30" s="8">
        <f>IF(H30="","",J30-K30-L30)</f>
        <v/>
      </c>
      <c r="N30" s="2" t="n"/>
      <c r="O30" s="2" t="n"/>
      <c r="P30" s="2" t="n"/>
    </row>
    <row r="31">
      <c r="A31" s="2" t="n"/>
      <c r="B31" s="2" t="n"/>
      <c r="C31" s="2" t="n"/>
      <c r="D31" s="10" t="n"/>
      <c r="E31" s="10" t="n"/>
      <c r="F31" s="2" t="n"/>
      <c r="G31" s="2" t="n"/>
      <c r="H31" s="8" t="n"/>
      <c r="I31" s="8">
        <f>IF(H31="","",H31*Configuracion!$G$2)</f>
        <v/>
      </c>
      <c r="J31" s="8">
        <f>IF(H31="","",H31+I31)</f>
        <v/>
      </c>
      <c r="K31" s="8" t="n"/>
      <c r="L31" s="8">
        <f>IF(H31="","",H31*Configuracion!$H$2)</f>
        <v/>
      </c>
      <c r="M31" s="8">
        <f>IF(H31="","",J31-K31-L31)</f>
        <v/>
      </c>
      <c r="N31" s="2" t="n"/>
      <c r="O31" s="2" t="n"/>
      <c r="P31" s="2" t="n"/>
    </row>
    <row r="32">
      <c r="A32" s="2" t="n"/>
      <c r="B32" s="2" t="n"/>
      <c r="C32" s="2" t="n"/>
      <c r="D32" s="10" t="n"/>
      <c r="E32" s="10" t="n"/>
      <c r="F32" s="2" t="n"/>
      <c r="G32" s="2" t="n"/>
      <c r="H32" s="8" t="n"/>
      <c r="I32" s="8">
        <f>IF(H32="","",H32*Configuracion!$G$2)</f>
        <v/>
      </c>
      <c r="J32" s="8">
        <f>IF(H32="","",H32+I32)</f>
        <v/>
      </c>
      <c r="K32" s="8" t="n"/>
      <c r="L32" s="8">
        <f>IF(H32="","",H32*Configuracion!$H$2)</f>
        <v/>
      </c>
      <c r="M32" s="8">
        <f>IF(H32="","",J32-K32-L32)</f>
        <v/>
      </c>
      <c r="N32" s="2" t="n"/>
      <c r="O32" s="2" t="n"/>
      <c r="P32" s="2" t="n"/>
    </row>
    <row r="33">
      <c r="A33" s="2" t="n"/>
      <c r="B33" s="2" t="n"/>
      <c r="C33" s="2" t="n"/>
      <c r="D33" s="10" t="n"/>
      <c r="E33" s="10" t="n"/>
      <c r="F33" s="2" t="n"/>
      <c r="G33" s="2" t="n"/>
      <c r="H33" s="8" t="n"/>
      <c r="I33" s="8">
        <f>IF(H33="","",H33*Configuracion!$G$2)</f>
        <v/>
      </c>
      <c r="J33" s="8">
        <f>IF(H33="","",H33+I33)</f>
        <v/>
      </c>
      <c r="K33" s="8" t="n"/>
      <c r="L33" s="8">
        <f>IF(H33="","",H33*Configuracion!$H$2)</f>
        <v/>
      </c>
      <c r="M33" s="8">
        <f>IF(H33="","",J33-K33-L33)</f>
        <v/>
      </c>
      <c r="N33" s="2" t="n"/>
      <c r="O33" s="2" t="n"/>
      <c r="P33" s="2" t="n"/>
    </row>
    <row r="34">
      <c r="A34" s="2" t="n"/>
      <c r="B34" s="2" t="n"/>
      <c r="C34" s="2" t="n"/>
      <c r="D34" s="10" t="n"/>
      <c r="E34" s="10" t="n"/>
      <c r="F34" s="2" t="n"/>
      <c r="G34" s="2" t="n"/>
      <c r="H34" s="8" t="n"/>
      <c r="I34" s="8">
        <f>IF(H34="","",H34*Configuracion!$G$2)</f>
        <v/>
      </c>
      <c r="J34" s="8">
        <f>IF(H34="","",H34+I34)</f>
        <v/>
      </c>
      <c r="K34" s="8" t="n"/>
      <c r="L34" s="8">
        <f>IF(H34="","",H34*Configuracion!$H$2)</f>
        <v/>
      </c>
      <c r="M34" s="8">
        <f>IF(H34="","",J34-K34-L34)</f>
        <v/>
      </c>
      <c r="N34" s="2" t="n"/>
      <c r="O34" s="2" t="n"/>
      <c r="P34" s="2" t="n"/>
    </row>
    <row r="35">
      <c r="A35" s="2" t="n"/>
      <c r="B35" s="2" t="n"/>
      <c r="C35" s="2" t="n"/>
      <c r="D35" s="10" t="n"/>
      <c r="E35" s="10" t="n"/>
      <c r="F35" s="2" t="n"/>
      <c r="G35" s="2" t="n"/>
      <c r="H35" s="8" t="n"/>
      <c r="I35" s="8">
        <f>IF(H35="","",H35*Configuracion!$G$2)</f>
        <v/>
      </c>
      <c r="J35" s="8">
        <f>IF(H35="","",H35+I35)</f>
        <v/>
      </c>
      <c r="K35" s="8" t="n"/>
      <c r="L35" s="8">
        <f>IF(H35="","",H35*Configuracion!$H$2)</f>
        <v/>
      </c>
      <c r="M35" s="8">
        <f>IF(H35="","",J35-K35-L35)</f>
        <v/>
      </c>
      <c r="N35" s="2" t="n"/>
      <c r="O35" s="2" t="n"/>
      <c r="P35" s="2" t="n"/>
    </row>
    <row r="36">
      <c r="A36" s="2" t="n"/>
      <c r="B36" s="2" t="n"/>
      <c r="C36" s="2" t="n"/>
      <c r="D36" s="10" t="n"/>
      <c r="E36" s="10" t="n"/>
      <c r="F36" s="2" t="n"/>
      <c r="G36" s="2" t="n"/>
      <c r="H36" s="8" t="n"/>
      <c r="I36" s="8">
        <f>IF(H36="","",H36*Configuracion!$G$2)</f>
        <v/>
      </c>
      <c r="J36" s="8">
        <f>IF(H36="","",H36+I36)</f>
        <v/>
      </c>
      <c r="K36" s="8" t="n"/>
      <c r="L36" s="8">
        <f>IF(H36="","",H36*Configuracion!$H$2)</f>
        <v/>
      </c>
      <c r="M36" s="8">
        <f>IF(H36="","",J36-K36-L36)</f>
        <v/>
      </c>
      <c r="N36" s="2" t="n"/>
      <c r="O36" s="2" t="n"/>
      <c r="P36" s="2" t="n"/>
    </row>
    <row r="37">
      <c r="A37" s="2" t="n"/>
      <c r="B37" s="2" t="n"/>
      <c r="C37" s="2" t="n"/>
      <c r="D37" s="10" t="n"/>
      <c r="E37" s="10" t="n"/>
      <c r="F37" s="2" t="n"/>
      <c r="G37" s="2" t="n"/>
      <c r="H37" s="8" t="n"/>
      <c r="I37" s="8">
        <f>IF(H37="","",H37*Configuracion!$G$2)</f>
        <v/>
      </c>
      <c r="J37" s="8">
        <f>IF(H37="","",H37+I37)</f>
        <v/>
      </c>
      <c r="K37" s="8" t="n"/>
      <c r="L37" s="8">
        <f>IF(H37="","",H37*Configuracion!$H$2)</f>
        <v/>
      </c>
      <c r="M37" s="8">
        <f>IF(H37="","",J37-K37-L37)</f>
        <v/>
      </c>
      <c r="N37" s="2" t="n"/>
      <c r="O37" s="2" t="n"/>
      <c r="P37" s="2" t="n"/>
    </row>
    <row r="38">
      <c r="A38" s="2" t="n"/>
      <c r="B38" s="2" t="n"/>
      <c r="C38" s="2" t="n"/>
      <c r="D38" s="10" t="n"/>
      <c r="E38" s="10" t="n"/>
      <c r="F38" s="2" t="n"/>
      <c r="G38" s="2" t="n"/>
      <c r="H38" s="8" t="n"/>
      <c r="I38" s="8">
        <f>IF(H38="","",H38*Configuracion!$G$2)</f>
        <v/>
      </c>
      <c r="J38" s="8">
        <f>IF(H38="","",H38+I38)</f>
        <v/>
      </c>
      <c r="K38" s="8" t="n"/>
      <c r="L38" s="8">
        <f>IF(H38="","",H38*Configuracion!$H$2)</f>
        <v/>
      </c>
      <c r="M38" s="8">
        <f>IF(H38="","",J38-K38-L38)</f>
        <v/>
      </c>
      <c r="N38" s="2" t="n"/>
      <c r="O38" s="2" t="n"/>
      <c r="P38" s="2" t="n"/>
    </row>
    <row r="39">
      <c r="A39" s="2" t="n"/>
      <c r="B39" s="2" t="n"/>
      <c r="C39" s="2" t="n"/>
      <c r="D39" s="10" t="n"/>
      <c r="E39" s="10" t="n"/>
      <c r="F39" s="2" t="n"/>
      <c r="G39" s="2" t="n"/>
      <c r="H39" s="8" t="n"/>
      <c r="I39" s="8">
        <f>IF(H39="","",H39*Configuracion!$G$2)</f>
        <v/>
      </c>
      <c r="J39" s="8">
        <f>IF(H39="","",H39+I39)</f>
        <v/>
      </c>
      <c r="K39" s="8" t="n"/>
      <c r="L39" s="8">
        <f>IF(H39="","",H39*Configuracion!$H$2)</f>
        <v/>
      </c>
      <c r="M39" s="8">
        <f>IF(H39="","",J39-K39-L39)</f>
        <v/>
      </c>
      <c r="N39" s="2" t="n"/>
      <c r="O39" s="2" t="n"/>
      <c r="P39" s="2" t="n"/>
    </row>
    <row r="40">
      <c r="A40" s="2" t="n"/>
      <c r="B40" s="2" t="n"/>
      <c r="C40" s="2" t="n"/>
      <c r="D40" s="10" t="n"/>
      <c r="E40" s="10" t="n"/>
      <c r="F40" s="2" t="n"/>
      <c r="G40" s="2" t="n"/>
      <c r="H40" s="8" t="n"/>
      <c r="I40" s="8">
        <f>IF(H40="","",H40*Configuracion!$G$2)</f>
        <v/>
      </c>
      <c r="J40" s="8">
        <f>IF(H40="","",H40+I40)</f>
        <v/>
      </c>
      <c r="K40" s="8" t="n"/>
      <c r="L40" s="8">
        <f>IF(H40="","",H40*Configuracion!$H$2)</f>
        <v/>
      </c>
      <c r="M40" s="8">
        <f>IF(H40="","",J40-K40-L40)</f>
        <v/>
      </c>
      <c r="N40" s="2" t="n"/>
      <c r="O40" s="2" t="n"/>
      <c r="P40" s="2" t="n"/>
    </row>
    <row r="41">
      <c r="A41" s="2" t="n"/>
      <c r="B41" s="2" t="n"/>
      <c r="C41" s="2" t="n"/>
      <c r="D41" s="10" t="n"/>
      <c r="E41" s="10" t="n"/>
      <c r="F41" s="2" t="n"/>
      <c r="G41" s="2" t="n"/>
      <c r="H41" s="8" t="n"/>
      <c r="I41" s="8">
        <f>IF(H41="","",H41*Configuracion!$G$2)</f>
        <v/>
      </c>
      <c r="J41" s="8">
        <f>IF(H41="","",H41+I41)</f>
        <v/>
      </c>
      <c r="K41" s="8" t="n"/>
      <c r="L41" s="8">
        <f>IF(H41="","",H41*Configuracion!$H$2)</f>
        <v/>
      </c>
      <c r="M41" s="8">
        <f>IF(H41="","",J41-K41-L41)</f>
        <v/>
      </c>
      <c r="N41" s="2" t="n"/>
      <c r="O41" s="2" t="n"/>
      <c r="P41" s="2" t="n"/>
    </row>
    <row r="42">
      <c r="A42" s="2" t="n"/>
      <c r="B42" s="2" t="n"/>
      <c r="C42" s="2" t="n"/>
      <c r="D42" s="10" t="n"/>
      <c r="E42" s="10" t="n"/>
      <c r="F42" s="2" t="n"/>
      <c r="G42" s="2" t="n"/>
      <c r="H42" s="8" t="n"/>
      <c r="I42" s="8">
        <f>IF(H42="","",H42*Configuracion!$G$2)</f>
        <v/>
      </c>
      <c r="J42" s="8">
        <f>IF(H42="","",H42+I42)</f>
        <v/>
      </c>
      <c r="K42" s="8" t="n"/>
      <c r="L42" s="8">
        <f>IF(H42="","",H42*Configuracion!$H$2)</f>
        <v/>
      </c>
      <c r="M42" s="8">
        <f>IF(H42="","",J42-K42-L42)</f>
        <v/>
      </c>
      <c r="N42" s="2" t="n"/>
      <c r="O42" s="2" t="n"/>
      <c r="P42" s="2" t="n"/>
    </row>
    <row r="43">
      <c r="A43" s="2" t="n"/>
      <c r="B43" s="2" t="n"/>
      <c r="C43" s="2" t="n"/>
      <c r="D43" s="10" t="n"/>
      <c r="E43" s="10" t="n"/>
      <c r="F43" s="2" t="n"/>
      <c r="G43" s="2" t="n"/>
      <c r="H43" s="8" t="n"/>
      <c r="I43" s="8">
        <f>IF(H43="","",H43*Configuracion!$G$2)</f>
        <v/>
      </c>
      <c r="J43" s="8">
        <f>IF(H43="","",H43+I43)</f>
        <v/>
      </c>
      <c r="K43" s="8" t="n"/>
      <c r="L43" s="8">
        <f>IF(H43="","",H43*Configuracion!$H$2)</f>
        <v/>
      </c>
      <c r="M43" s="8">
        <f>IF(H43="","",J43-K43-L43)</f>
        <v/>
      </c>
      <c r="N43" s="2" t="n"/>
      <c r="O43" s="2" t="n"/>
      <c r="P43" s="2" t="n"/>
    </row>
    <row r="44">
      <c r="A44" s="2" t="n"/>
      <c r="B44" s="2" t="n"/>
      <c r="C44" s="2" t="n"/>
      <c r="D44" s="10" t="n"/>
      <c r="E44" s="10" t="n"/>
      <c r="F44" s="2" t="n"/>
      <c r="G44" s="2" t="n"/>
      <c r="H44" s="8" t="n"/>
      <c r="I44" s="8">
        <f>IF(H44="","",H44*Configuracion!$G$2)</f>
        <v/>
      </c>
      <c r="J44" s="8">
        <f>IF(H44="","",H44+I44)</f>
        <v/>
      </c>
      <c r="K44" s="8" t="n"/>
      <c r="L44" s="8">
        <f>IF(H44="","",H44*Configuracion!$H$2)</f>
        <v/>
      </c>
      <c r="M44" s="8">
        <f>IF(H44="","",J44-K44-L44)</f>
        <v/>
      </c>
      <c r="N44" s="2" t="n"/>
      <c r="O44" s="2" t="n"/>
      <c r="P44" s="2" t="n"/>
    </row>
    <row r="45">
      <c r="A45" s="2" t="n"/>
      <c r="B45" s="2" t="n"/>
      <c r="C45" s="2" t="n"/>
      <c r="D45" s="10" t="n"/>
      <c r="E45" s="10" t="n"/>
      <c r="F45" s="2" t="n"/>
      <c r="G45" s="2" t="n"/>
      <c r="H45" s="8" t="n"/>
      <c r="I45" s="8">
        <f>IF(H45="","",H45*Configuracion!$G$2)</f>
        <v/>
      </c>
      <c r="J45" s="8">
        <f>IF(H45="","",H45+I45)</f>
        <v/>
      </c>
      <c r="K45" s="8" t="n"/>
      <c r="L45" s="8">
        <f>IF(H45="","",H45*Configuracion!$H$2)</f>
        <v/>
      </c>
      <c r="M45" s="8">
        <f>IF(H45="","",J45-K45-L45)</f>
        <v/>
      </c>
      <c r="N45" s="2" t="n"/>
      <c r="O45" s="2" t="n"/>
      <c r="P45" s="2" t="n"/>
    </row>
    <row r="46">
      <c r="A46" s="2" t="n"/>
      <c r="B46" s="2" t="n"/>
      <c r="C46" s="2" t="n"/>
      <c r="D46" s="10" t="n"/>
      <c r="E46" s="10" t="n"/>
      <c r="F46" s="2" t="n"/>
      <c r="G46" s="2" t="n"/>
      <c r="H46" s="8" t="n"/>
      <c r="I46" s="8">
        <f>IF(H46="","",H46*Configuracion!$G$2)</f>
        <v/>
      </c>
      <c r="J46" s="8">
        <f>IF(H46="","",H46+I46)</f>
        <v/>
      </c>
      <c r="K46" s="8" t="n"/>
      <c r="L46" s="8">
        <f>IF(H46="","",H46*Configuracion!$H$2)</f>
        <v/>
      </c>
      <c r="M46" s="8">
        <f>IF(H46="","",J46-K46-L46)</f>
        <v/>
      </c>
      <c r="N46" s="2" t="n"/>
      <c r="O46" s="2" t="n"/>
      <c r="P46" s="2" t="n"/>
    </row>
    <row r="47">
      <c r="A47" s="2" t="n"/>
      <c r="B47" s="2" t="n"/>
      <c r="C47" s="2" t="n"/>
      <c r="D47" s="10" t="n"/>
      <c r="E47" s="10" t="n"/>
      <c r="F47" s="2" t="n"/>
      <c r="G47" s="2" t="n"/>
      <c r="H47" s="8" t="n"/>
      <c r="I47" s="8">
        <f>IF(H47="","",H47*Configuracion!$G$2)</f>
        <v/>
      </c>
      <c r="J47" s="8">
        <f>IF(H47="","",H47+I47)</f>
        <v/>
      </c>
      <c r="K47" s="8" t="n"/>
      <c r="L47" s="8">
        <f>IF(H47="","",H47*Configuracion!$H$2)</f>
        <v/>
      </c>
      <c r="M47" s="8">
        <f>IF(H47="","",J47-K47-L47)</f>
        <v/>
      </c>
      <c r="N47" s="2" t="n"/>
      <c r="O47" s="2" t="n"/>
      <c r="P47" s="2" t="n"/>
    </row>
    <row r="48">
      <c r="A48" s="2" t="n"/>
      <c r="B48" s="2" t="n"/>
      <c r="C48" s="2" t="n"/>
      <c r="D48" s="10" t="n"/>
      <c r="E48" s="10" t="n"/>
      <c r="F48" s="2" t="n"/>
      <c r="G48" s="2" t="n"/>
      <c r="H48" s="8" t="n"/>
      <c r="I48" s="8">
        <f>IF(H48="","",H48*Configuracion!$G$2)</f>
        <v/>
      </c>
      <c r="J48" s="8">
        <f>IF(H48="","",H48+I48)</f>
        <v/>
      </c>
      <c r="K48" s="8" t="n"/>
      <c r="L48" s="8">
        <f>IF(H48="","",H48*Configuracion!$H$2)</f>
        <v/>
      </c>
      <c r="M48" s="8">
        <f>IF(H48="","",J48-K48-L48)</f>
        <v/>
      </c>
      <c r="N48" s="2" t="n"/>
      <c r="O48" s="2" t="n"/>
      <c r="P48" s="2" t="n"/>
    </row>
    <row r="49">
      <c r="A49" s="2" t="n"/>
      <c r="B49" s="2" t="n"/>
      <c r="C49" s="2" t="n"/>
      <c r="D49" s="10" t="n"/>
      <c r="E49" s="10" t="n"/>
      <c r="F49" s="2" t="n"/>
      <c r="G49" s="2" t="n"/>
      <c r="H49" s="8" t="n"/>
      <c r="I49" s="8">
        <f>IF(H49="","",H49*Configuracion!$G$2)</f>
        <v/>
      </c>
      <c r="J49" s="8">
        <f>IF(H49="","",H49+I49)</f>
        <v/>
      </c>
      <c r="K49" s="8" t="n"/>
      <c r="L49" s="8">
        <f>IF(H49="","",H49*Configuracion!$H$2)</f>
        <v/>
      </c>
      <c r="M49" s="8">
        <f>IF(H49="","",J49-K49-L49)</f>
        <v/>
      </c>
      <c r="N49" s="2" t="n"/>
      <c r="O49" s="2" t="n"/>
      <c r="P49" s="2" t="n"/>
    </row>
    <row r="50">
      <c r="A50" s="2" t="n"/>
      <c r="B50" s="2" t="n"/>
      <c r="C50" s="2" t="n"/>
      <c r="D50" s="10" t="n"/>
      <c r="E50" s="10" t="n"/>
      <c r="F50" s="2" t="n"/>
      <c r="G50" s="2" t="n"/>
      <c r="H50" s="8" t="n"/>
      <c r="I50" s="8">
        <f>IF(H50="","",H50*Configuracion!$G$2)</f>
        <v/>
      </c>
      <c r="J50" s="8">
        <f>IF(H50="","",H50+I50)</f>
        <v/>
      </c>
      <c r="K50" s="8" t="n"/>
      <c r="L50" s="8">
        <f>IF(H50="","",H50*Configuracion!$H$2)</f>
        <v/>
      </c>
      <c r="M50" s="8">
        <f>IF(H50="","",J50-K50-L50)</f>
        <v/>
      </c>
      <c r="N50" s="2" t="n"/>
      <c r="O50" s="2" t="n"/>
      <c r="P50" s="2" t="n"/>
    </row>
    <row r="51">
      <c r="A51" s="2" t="n"/>
      <c r="B51" s="2" t="n"/>
      <c r="C51" s="2" t="n"/>
      <c r="D51" s="10" t="n"/>
      <c r="E51" s="10" t="n"/>
      <c r="F51" s="2" t="n"/>
      <c r="G51" s="2" t="n"/>
      <c r="H51" s="8" t="n"/>
      <c r="I51" s="8">
        <f>IF(H51="","",H51*Configuracion!$G$2)</f>
        <v/>
      </c>
      <c r="J51" s="8">
        <f>IF(H51="","",H51+I51)</f>
        <v/>
      </c>
      <c r="K51" s="8" t="n"/>
      <c r="L51" s="8">
        <f>IF(H51="","",H51*Configuracion!$H$2)</f>
        <v/>
      </c>
      <c r="M51" s="8">
        <f>IF(H51="","",J51-K51-L51)</f>
        <v/>
      </c>
      <c r="N51" s="2" t="n"/>
      <c r="O51" s="2" t="n"/>
      <c r="P51" s="2" t="n"/>
    </row>
    <row r="52">
      <c r="A52" s="2" t="n"/>
      <c r="B52" s="2" t="n"/>
      <c r="C52" s="2" t="n"/>
      <c r="D52" s="10" t="n"/>
      <c r="E52" s="10" t="n"/>
      <c r="F52" s="2" t="n"/>
      <c r="G52" s="2" t="n"/>
      <c r="H52" s="8" t="n"/>
      <c r="I52" s="8">
        <f>IF(H52="","",H52*Configuracion!$G$2)</f>
        <v/>
      </c>
      <c r="J52" s="8">
        <f>IF(H52="","",H52+I52)</f>
        <v/>
      </c>
      <c r="K52" s="8" t="n"/>
      <c r="L52" s="8">
        <f>IF(H52="","",H52*Configuracion!$H$2)</f>
        <v/>
      </c>
      <c r="M52" s="8">
        <f>IF(H52="","",J52-K52-L52)</f>
        <v/>
      </c>
      <c r="N52" s="2" t="n"/>
      <c r="O52" s="2" t="n"/>
      <c r="P52" s="2" t="n"/>
    </row>
    <row r="53">
      <c r="A53" s="2" t="n"/>
      <c r="B53" s="2" t="n"/>
      <c r="C53" s="2" t="n"/>
      <c r="D53" s="10" t="n"/>
      <c r="E53" s="10" t="n"/>
      <c r="F53" s="2" t="n"/>
      <c r="G53" s="2" t="n"/>
      <c r="H53" s="8" t="n"/>
      <c r="I53" s="8">
        <f>IF(H53="","",H53*Configuracion!$G$2)</f>
        <v/>
      </c>
      <c r="J53" s="8">
        <f>IF(H53="","",H53+I53)</f>
        <v/>
      </c>
      <c r="K53" s="8" t="n"/>
      <c r="L53" s="8">
        <f>IF(H53="","",H53*Configuracion!$H$2)</f>
        <v/>
      </c>
      <c r="M53" s="8">
        <f>IF(H53="","",J53-K53-L53)</f>
        <v/>
      </c>
      <c r="N53" s="2" t="n"/>
      <c r="O53" s="2" t="n"/>
      <c r="P53" s="2" t="n"/>
    </row>
    <row r="54">
      <c r="A54" s="2" t="n"/>
      <c r="B54" s="2" t="n"/>
      <c r="C54" s="2" t="n"/>
      <c r="D54" s="10" t="n"/>
      <c r="E54" s="10" t="n"/>
      <c r="F54" s="2" t="n"/>
      <c r="G54" s="2" t="n"/>
      <c r="H54" s="8" t="n"/>
      <c r="I54" s="8">
        <f>IF(H54="","",H54*Configuracion!$G$2)</f>
        <v/>
      </c>
      <c r="J54" s="8">
        <f>IF(H54="","",H54+I54)</f>
        <v/>
      </c>
      <c r="K54" s="8" t="n"/>
      <c r="L54" s="8">
        <f>IF(H54="","",H54*Configuracion!$H$2)</f>
        <v/>
      </c>
      <c r="M54" s="8">
        <f>IF(H54="","",J54-K54-L54)</f>
        <v/>
      </c>
      <c r="N54" s="2" t="n"/>
      <c r="O54" s="2" t="n"/>
      <c r="P54" s="2" t="n"/>
    </row>
    <row r="55">
      <c r="A55" s="2" t="n"/>
      <c r="B55" s="2" t="n"/>
      <c r="C55" s="2" t="n"/>
      <c r="D55" s="10" t="n"/>
      <c r="E55" s="10" t="n"/>
      <c r="F55" s="2" t="n"/>
      <c r="G55" s="2" t="n"/>
      <c r="H55" s="8" t="n"/>
      <c r="I55" s="8">
        <f>IF(H55="","",H55*Configuracion!$G$2)</f>
        <v/>
      </c>
      <c r="J55" s="8">
        <f>IF(H55="","",H55+I55)</f>
        <v/>
      </c>
      <c r="K55" s="8" t="n"/>
      <c r="L55" s="8">
        <f>IF(H55="","",H55*Configuracion!$H$2)</f>
        <v/>
      </c>
      <c r="M55" s="8">
        <f>IF(H55="","",J55-K55-L55)</f>
        <v/>
      </c>
      <c r="N55" s="2" t="n"/>
      <c r="O55" s="2" t="n"/>
      <c r="P55" s="2" t="n"/>
    </row>
    <row r="56">
      <c r="A56" s="2" t="n"/>
      <c r="B56" s="2" t="n"/>
      <c r="C56" s="2" t="n"/>
      <c r="D56" s="10" t="n"/>
      <c r="E56" s="10" t="n"/>
      <c r="F56" s="2" t="n"/>
      <c r="G56" s="2" t="n"/>
      <c r="H56" s="8" t="n"/>
      <c r="I56" s="8">
        <f>IF(H56="","",H56*Configuracion!$G$2)</f>
        <v/>
      </c>
      <c r="J56" s="8">
        <f>IF(H56="","",H56+I56)</f>
        <v/>
      </c>
      <c r="K56" s="8" t="n"/>
      <c r="L56" s="8">
        <f>IF(H56="","",H56*Configuracion!$H$2)</f>
        <v/>
      </c>
      <c r="M56" s="8">
        <f>IF(H56="","",J56-K56-L56)</f>
        <v/>
      </c>
      <c r="N56" s="2" t="n"/>
      <c r="O56" s="2" t="n"/>
      <c r="P56" s="2" t="n"/>
    </row>
    <row r="57">
      <c r="A57" s="2" t="n"/>
      <c r="B57" s="2" t="n"/>
      <c r="C57" s="2" t="n"/>
      <c r="D57" s="10" t="n"/>
      <c r="E57" s="10" t="n"/>
      <c r="F57" s="2" t="n"/>
      <c r="G57" s="2" t="n"/>
      <c r="H57" s="8" t="n"/>
      <c r="I57" s="8">
        <f>IF(H57="","",H57*Configuracion!$G$2)</f>
        <v/>
      </c>
      <c r="J57" s="8">
        <f>IF(H57="","",H57+I57)</f>
        <v/>
      </c>
      <c r="K57" s="8" t="n"/>
      <c r="L57" s="8">
        <f>IF(H57="","",H57*Configuracion!$H$2)</f>
        <v/>
      </c>
      <c r="M57" s="8">
        <f>IF(H57="","",J57-K57-L57)</f>
        <v/>
      </c>
      <c r="N57" s="2" t="n"/>
      <c r="O57" s="2" t="n"/>
      <c r="P57" s="2" t="n"/>
    </row>
    <row r="58">
      <c r="A58" s="2" t="n"/>
      <c r="B58" s="2" t="n"/>
      <c r="C58" s="2" t="n"/>
      <c r="D58" s="10" t="n"/>
      <c r="E58" s="10" t="n"/>
      <c r="F58" s="2" t="n"/>
      <c r="G58" s="2" t="n"/>
      <c r="H58" s="8" t="n"/>
      <c r="I58" s="8">
        <f>IF(H58="","",H58*Configuracion!$G$2)</f>
        <v/>
      </c>
      <c r="J58" s="8">
        <f>IF(H58="","",H58+I58)</f>
        <v/>
      </c>
      <c r="K58" s="8" t="n"/>
      <c r="L58" s="8">
        <f>IF(H58="","",H58*Configuracion!$H$2)</f>
        <v/>
      </c>
      <c r="M58" s="8">
        <f>IF(H58="","",J58-K58-L58)</f>
        <v/>
      </c>
      <c r="N58" s="2" t="n"/>
      <c r="O58" s="2" t="n"/>
      <c r="P58" s="2" t="n"/>
    </row>
    <row r="59">
      <c r="A59" s="2" t="n"/>
      <c r="B59" s="2" t="n"/>
      <c r="C59" s="2" t="n"/>
      <c r="D59" s="10" t="n"/>
      <c r="E59" s="10" t="n"/>
      <c r="F59" s="2" t="n"/>
      <c r="G59" s="2" t="n"/>
      <c r="H59" s="8" t="n"/>
      <c r="I59" s="8">
        <f>IF(H59="","",H59*Configuracion!$G$2)</f>
        <v/>
      </c>
      <c r="J59" s="8">
        <f>IF(H59="","",H59+I59)</f>
        <v/>
      </c>
      <c r="K59" s="8" t="n"/>
      <c r="L59" s="8">
        <f>IF(H59="","",H59*Configuracion!$H$2)</f>
        <v/>
      </c>
      <c r="M59" s="8">
        <f>IF(H59="","",J59-K59-L59)</f>
        <v/>
      </c>
      <c r="N59" s="2" t="n"/>
      <c r="O59" s="2" t="n"/>
      <c r="P59" s="2" t="n"/>
    </row>
    <row r="60">
      <c r="A60" s="2" t="n"/>
      <c r="B60" s="2" t="n"/>
      <c r="C60" s="2" t="n"/>
      <c r="D60" s="10" t="n"/>
      <c r="E60" s="10" t="n"/>
      <c r="F60" s="2" t="n"/>
      <c r="G60" s="2" t="n"/>
      <c r="H60" s="8" t="n"/>
      <c r="I60" s="8">
        <f>IF(H60="","",H60*Configuracion!$G$2)</f>
        <v/>
      </c>
      <c r="J60" s="8">
        <f>IF(H60="","",H60+I60)</f>
        <v/>
      </c>
      <c r="K60" s="8" t="n"/>
      <c r="L60" s="8">
        <f>IF(H60="","",H60*Configuracion!$H$2)</f>
        <v/>
      </c>
      <c r="M60" s="8">
        <f>IF(H60="","",J60-K60-L60)</f>
        <v/>
      </c>
      <c r="N60" s="2" t="n"/>
      <c r="O60" s="2" t="n"/>
      <c r="P60" s="2" t="n"/>
    </row>
    <row r="61">
      <c r="A61" s="2" t="n"/>
      <c r="B61" s="2" t="n"/>
      <c r="C61" s="2" t="n"/>
      <c r="D61" s="10" t="n"/>
      <c r="E61" s="10" t="n"/>
      <c r="F61" s="2" t="n"/>
      <c r="G61" s="2" t="n"/>
      <c r="H61" s="8" t="n"/>
      <c r="I61" s="8">
        <f>IF(H61="","",H61*Configuracion!$G$2)</f>
        <v/>
      </c>
      <c r="J61" s="8">
        <f>IF(H61="","",H61+I61)</f>
        <v/>
      </c>
      <c r="K61" s="8" t="n"/>
      <c r="L61" s="8">
        <f>IF(H61="","",H61*Configuracion!$H$2)</f>
        <v/>
      </c>
      <c r="M61" s="8">
        <f>IF(H61="","",J61-K61-L61)</f>
        <v/>
      </c>
      <c r="N61" s="2" t="n"/>
      <c r="O61" s="2" t="n"/>
      <c r="P61" s="2" t="n"/>
    </row>
    <row r="62">
      <c r="A62" s="2" t="n"/>
      <c r="B62" s="2" t="n"/>
      <c r="C62" s="2" t="n"/>
      <c r="D62" s="10" t="n"/>
      <c r="E62" s="10" t="n"/>
      <c r="F62" s="2" t="n"/>
      <c r="G62" s="2" t="n"/>
      <c r="H62" s="8" t="n"/>
      <c r="I62" s="8">
        <f>IF(H62="","",H62*Configuracion!$G$2)</f>
        <v/>
      </c>
      <c r="J62" s="8">
        <f>IF(H62="","",H62+I62)</f>
        <v/>
      </c>
      <c r="K62" s="8" t="n"/>
      <c r="L62" s="8">
        <f>IF(H62="","",H62*Configuracion!$H$2)</f>
        <v/>
      </c>
      <c r="M62" s="8">
        <f>IF(H62="","",J62-K62-L62)</f>
        <v/>
      </c>
      <c r="N62" s="2" t="n"/>
      <c r="O62" s="2" t="n"/>
      <c r="P62" s="2" t="n"/>
    </row>
    <row r="63">
      <c r="A63" s="2" t="n"/>
      <c r="B63" s="2" t="n"/>
      <c r="C63" s="2" t="n"/>
      <c r="D63" s="10" t="n"/>
      <c r="E63" s="10" t="n"/>
      <c r="F63" s="2" t="n"/>
      <c r="G63" s="2" t="n"/>
      <c r="H63" s="8" t="n"/>
      <c r="I63" s="8">
        <f>IF(H63="","",H63*Configuracion!$G$2)</f>
        <v/>
      </c>
      <c r="J63" s="8">
        <f>IF(H63="","",H63+I63)</f>
        <v/>
      </c>
      <c r="K63" s="8" t="n"/>
      <c r="L63" s="8">
        <f>IF(H63="","",H63*Configuracion!$H$2)</f>
        <v/>
      </c>
      <c r="M63" s="8">
        <f>IF(H63="","",J63-K63-L63)</f>
        <v/>
      </c>
      <c r="N63" s="2" t="n"/>
      <c r="O63" s="2" t="n"/>
      <c r="P63" s="2" t="n"/>
    </row>
    <row r="64">
      <c r="A64" s="2" t="n"/>
      <c r="B64" s="2" t="n"/>
      <c r="C64" s="2" t="n"/>
      <c r="D64" s="10" t="n"/>
      <c r="E64" s="10" t="n"/>
      <c r="F64" s="2" t="n"/>
      <c r="G64" s="2" t="n"/>
      <c r="H64" s="8" t="n"/>
      <c r="I64" s="8">
        <f>IF(H64="","",H64*Configuracion!$G$2)</f>
        <v/>
      </c>
      <c r="J64" s="8">
        <f>IF(H64="","",H64+I64)</f>
        <v/>
      </c>
      <c r="K64" s="8" t="n"/>
      <c r="L64" s="8">
        <f>IF(H64="","",H64*Configuracion!$H$2)</f>
        <v/>
      </c>
      <c r="M64" s="8">
        <f>IF(H64="","",J64-K64-L64)</f>
        <v/>
      </c>
      <c r="N64" s="2" t="n"/>
      <c r="O64" s="2" t="n"/>
      <c r="P64" s="2" t="n"/>
    </row>
    <row r="65">
      <c r="A65" s="2" t="n"/>
      <c r="B65" s="2" t="n"/>
      <c r="C65" s="2" t="n"/>
      <c r="D65" s="10" t="n"/>
      <c r="E65" s="10" t="n"/>
      <c r="F65" s="2" t="n"/>
      <c r="G65" s="2" t="n"/>
      <c r="H65" s="8" t="n"/>
      <c r="I65" s="8">
        <f>IF(H65="","",H65*Configuracion!$G$2)</f>
        <v/>
      </c>
      <c r="J65" s="8">
        <f>IF(H65="","",H65+I65)</f>
        <v/>
      </c>
      <c r="K65" s="8" t="n"/>
      <c r="L65" s="8">
        <f>IF(H65="","",H65*Configuracion!$H$2)</f>
        <v/>
      </c>
      <c r="M65" s="8">
        <f>IF(H65="","",J65-K65-L65)</f>
        <v/>
      </c>
      <c r="N65" s="2" t="n"/>
      <c r="O65" s="2" t="n"/>
      <c r="P65" s="2" t="n"/>
    </row>
    <row r="66">
      <c r="A66" s="2" t="n"/>
      <c r="B66" s="2" t="n"/>
      <c r="C66" s="2" t="n"/>
      <c r="D66" s="10" t="n"/>
      <c r="E66" s="10" t="n"/>
      <c r="F66" s="2" t="n"/>
      <c r="G66" s="2" t="n"/>
      <c r="H66" s="8" t="n"/>
      <c r="I66" s="8">
        <f>IF(H66="","",H66*Configuracion!$G$2)</f>
        <v/>
      </c>
      <c r="J66" s="8">
        <f>IF(H66="","",H66+I66)</f>
        <v/>
      </c>
      <c r="K66" s="8" t="n"/>
      <c r="L66" s="8">
        <f>IF(H66="","",H66*Configuracion!$H$2)</f>
        <v/>
      </c>
      <c r="M66" s="8">
        <f>IF(H66="","",J66-K66-L66)</f>
        <v/>
      </c>
      <c r="N66" s="2" t="n"/>
      <c r="O66" s="2" t="n"/>
      <c r="P66" s="2" t="n"/>
    </row>
    <row r="67">
      <c r="A67" s="2" t="n"/>
      <c r="B67" s="2" t="n"/>
      <c r="C67" s="2" t="n"/>
      <c r="D67" s="10" t="n"/>
      <c r="E67" s="10" t="n"/>
      <c r="F67" s="2" t="n"/>
      <c r="G67" s="2" t="n"/>
      <c r="H67" s="8" t="n"/>
      <c r="I67" s="8">
        <f>IF(H67="","",H67*Configuracion!$G$2)</f>
        <v/>
      </c>
      <c r="J67" s="8">
        <f>IF(H67="","",H67+I67)</f>
        <v/>
      </c>
      <c r="K67" s="8" t="n"/>
      <c r="L67" s="8">
        <f>IF(H67="","",H67*Configuracion!$H$2)</f>
        <v/>
      </c>
      <c r="M67" s="8">
        <f>IF(H67="","",J67-K67-L67)</f>
        <v/>
      </c>
      <c r="N67" s="2" t="n"/>
      <c r="O67" s="2" t="n"/>
      <c r="P67" s="2" t="n"/>
    </row>
    <row r="68">
      <c r="A68" s="2" t="n"/>
      <c r="B68" s="2" t="n"/>
      <c r="C68" s="2" t="n"/>
      <c r="D68" s="10" t="n"/>
      <c r="E68" s="10" t="n"/>
      <c r="F68" s="2" t="n"/>
      <c r="G68" s="2" t="n"/>
      <c r="H68" s="8" t="n"/>
      <c r="I68" s="8">
        <f>IF(H68="","",H68*Configuracion!$G$2)</f>
        <v/>
      </c>
      <c r="J68" s="8">
        <f>IF(H68="","",H68+I68)</f>
        <v/>
      </c>
      <c r="K68" s="8" t="n"/>
      <c r="L68" s="8">
        <f>IF(H68="","",H68*Configuracion!$H$2)</f>
        <v/>
      </c>
      <c r="M68" s="8">
        <f>IF(H68="","",J68-K68-L68)</f>
        <v/>
      </c>
      <c r="N68" s="2" t="n"/>
      <c r="O68" s="2" t="n"/>
      <c r="P68" s="2" t="n"/>
    </row>
    <row r="69">
      <c r="A69" s="2" t="n"/>
      <c r="B69" s="2" t="n"/>
      <c r="C69" s="2" t="n"/>
      <c r="D69" s="10" t="n"/>
      <c r="E69" s="10" t="n"/>
      <c r="F69" s="2" t="n"/>
      <c r="G69" s="2" t="n"/>
      <c r="H69" s="8" t="n"/>
      <c r="I69" s="8">
        <f>IF(H69="","",H69*Configuracion!$G$2)</f>
        <v/>
      </c>
      <c r="J69" s="8">
        <f>IF(H69="","",H69+I69)</f>
        <v/>
      </c>
      <c r="K69" s="8" t="n"/>
      <c r="L69" s="8">
        <f>IF(H69="","",H69*Configuracion!$H$2)</f>
        <v/>
      </c>
      <c r="M69" s="8">
        <f>IF(H69="","",J69-K69-L69)</f>
        <v/>
      </c>
      <c r="N69" s="2" t="n"/>
      <c r="O69" s="2" t="n"/>
      <c r="P69" s="2" t="n"/>
    </row>
    <row r="70">
      <c r="A70" s="2" t="n"/>
      <c r="B70" s="2" t="n"/>
      <c r="C70" s="2" t="n"/>
      <c r="D70" s="10" t="n"/>
      <c r="E70" s="10" t="n"/>
      <c r="F70" s="2" t="n"/>
      <c r="G70" s="2" t="n"/>
      <c r="H70" s="8" t="n"/>
      <c r="I70" s="8">
        <f>IF(H70="","",H70*Configuracion!$G$2)</f>
        <v/>
      </c>
      <c r="J70" s="8">
        <f>IF(H70="","",H70+I70)</f>
        <v/>
      </c>
      <c r="K70" s="8" t="n"/>
      <c r="L70" s="8">
        <f>IF(H70="","",H70*Configuracion!$H$2)</f>
        <v/>
      </c>
      <c r="M70" s="8">
        <f>IF(H70="","",J70-K70-L70)</f>
        <v/>
      </c>
      <c r="N70" s="2" t="n"/>
      <c r="O70" s="2" t="n"/>
      <c r="P70" s="2" t="n"/>
    </row>
    <row r="71">
      <c r="A71" s="2" t="n"/>
      <c r="B71" s="2" t="n"/>
      <c r="C71" s="2" t="n"/>
      <c r="D71" s="10" t="n"/>
      <c r="E71" s="10" t="n"/>
      <c r="F71" s="2" t="n"/>
      <c r="G71" s="2" t="n"/>
      <c r="H71" s="8" t="n"/>
      <c r="I71" s="8">
        <f>IF(H71="","",H71*Configuracion!$G$2)</f>
        <v/>
      </c>
      <c r="J71" s="8">
        <f>IF(H71="","",H71+I71)</f>
        <v/>
      </c>
      <c r="K71" s="8" t="n"/>
      <c r="L71" s="8">
        <f>IF(H71="","",H71*Configuracion!$H$2)</f>
        <v/>
      </c>
      <c r="M71" s="8">
        <f>IF(H71="","",J71-K71-L71)</f>
        <v/>
      </c>
      <c r="N71" s="2" t="n"/>
      <c r="O71" s="2" t="n"/>
      <c r="P71" s="2" t="n"/>
    </row>
    <row r="72">
      <c r="A72" s="2" t="n"/>
      <c r="B72" s="2" t="n"/>
      <c r="C72" s="2" t="n"/>
      <c r="D72" s="10" t="n"/>
      <c r="E72" s="10" t="n"/>
      <c r="F72" s="2" t="n"/>
      <c r="G72" s="2" t="n"/>
      <c r="H72" s="8" t="n"/>
      <c r="I72" s="8">
        <f>IF(H72="","",H72*Configuracion!$G$2)</f>
        <v/>
      </c>
      <c r="J72" s="8">
        <f>IF(H72="","",H72+I72)</f>
        <v/>
      </c>
      <c r="K72" s="8" t="n"/>
      <c r="L72" s="8">
        <f>IF(H72="","",H72*Configuracion!$H$2)</f>
        <v/>
      </c>
      <c r="M72" s="8">
        <f>IF(H72="","",J72-K72-L72)</f>
        <v/>
      </c>
      <c r="N72" s="2" t="n"/>
      <c r="O72" s="2" t="n"/>
      <c r="P72" s="2" t="n"/>
    </row>
    <row r="73">
      <c r="A73" s="2" t="n"/>
      <c r="B73" s="2" t="n"/>
      <c r="C73" s="2" t="n"/>
      <c r="D73" s="10" t="n"/>
      <c r="E73" s="10" t="n"/>
      <c r="F73" s="2" t="n"/>
      <c r="G73" s="2" t="n"/>
      <c r="H73" s="8" t="n"/>
      <c r="I73" s="8">
        <f>IF(H73="","",H73*Configuracion!$G$2)</f>
        <v/>
      </c>
      <c r="J73" s="8">
        <f>IF(H73="","",H73+I73)</f>
        <v/>
      </c>
      <c r="K73" s="8" t="n"/>
      <c r="L73" s="8">
        <f>IF(H73="","",H73*Configuracion!$H$2)</f>
        <v/>
      </c>
      <c r="M73" s="8">
        <f>IF(H73="","",J73-K73-L73)</f>
        <v/>
      </c>
      <c r="N73" s="2" t="n"/>
      <c r="O73" s="2" t="n"/>
      <c r="P73" s="2" t="n"/>
    </row>
    <row r="74">
      <c r="A74" s="2" t="n"/>
      <c r="B74" s="2" t="n"/>
      <c r="C74" s="2" t="n"/>
      <c r="D74" s="10" t="n"/>
      <c r="E74" s="10" t="n"/>
      <c r="F74" s="2" t="n"/>
      <c r="G74" s="2" t="n"/>
      <c r="H74" s="8" t="n"/>
      <c r="I74" s="8">
        <f>IF(H74="","",H74*Configuracion!$G$2)</f>
        <v/>
      </c>
      <c r="J74" s="8">
        <f>IF(H74="","",H74+I74)</f>
        <v/>
      </c>
      <c r="K74" s="8" t="n"/>
      <c r="L74" s="8">
        <f>IF(H74="","",H74*Configuracion!$H$2)</f>
        <v/>
      </c>
      <c r="M74" s="8">
        <f>IF(H74="","",J74-K74-L74)</f>
        <v/>
      </c>
      <c r="N74" s="2" t="n"/>
      <c r="O74" s="2" t="n"/>
      <c r="P74" s="2" t="n"/>
    </row>
    <row r="75">
      <c r="A75" s="2" t="n"/>
      <c r="B75" s="2" t="n"/>
      <c r="C75" s="2" t="n"/>
      <c r="D75" s="10" t="n"/>
      <c r="E75" s="10" t="n"/>
      <c r="F75" s="2" t="n"/>
      <c r="G75" s="2" t="n"/>
      <c r="H75" s="8" t="n"/>
      <c r="I75" s="8">
        <f>IF(H75="","",H75*Configuracion!$G$2)</f>
        <v/>
      </c>
      <c r="J75" s="8">
        <f>IF(H75="","",H75+I75)</f>
        <v/>
      </c>
      <c r="K75" s="8" t="n"/>
      <c r="L75" s="8">
        <f>IF(H75="","",H75*Configuracion!$H$2)</f>
        <v/>
      </c>
      <c r="M75" s="8">
        <f>IF(H75="","",J75-K75-L75)</f>
        <v/>
      </c>
      <c r="N75" s="2" t="n"/>
      <c r="O75" s="2" t="n"/>
      <c r="P75" s="2" t="n"/>
    </row>
    <row r="76">
      <c r="A76" s="2" t="n"/>
      <c r="B76" s="2" t="n"/>
      <c r="C76" s="2" t="n"/>
      <c r="D76" s="10" t="n"/>
      <c r="E76" s="10" t="n"/>
      <c r="F76" s="2" t="n"/>
      <c r="G76" s="2" t="n"/>
      <c r="H76" s="8" t="n"/>
      <c r="I76" s="8">
        <f>IF(H76="","",H76*Configuracion!$G$2)</f>
        <v/>
      </c>
      <c r="J76" s="8">
        <f>IF(H76="","",H76+I76)</f>
        <v/>
      </c>
      <c r="K76" s="8" t="n"/>
      <c r="L76" s="8">
        <f>IF(H76="","",H76*Configuracion!$H$2)</f>
        <v/>
      </c>
      <c r="M76" s="8">
        <f>IF(H76="","",J76-K76-L76)</f>
        <v/>
      </c>
      <c r="N76" s="2" t="n"/>
      <c r="O76" s="2" t="n"/>
      <c r="P76" s="2" t="n"/>
    </row>
    <row r="77">
      <c r="A77" s="2" t="n"/>
      <c r="B77" s="2" t="n"/>
      <c r="C77" s="2" t="n"/>
      <c r="D77" s="10" t="n"/>
      <c r="E77" s="10" t="n"/>
      <c r="F77" s="2" t="n"/>
      <c r="G77" s="2" t="n"/>
      <c r="H77" s="8" t="n"/>
      <c r="I77" s="8">
        <f>IF(H77="","",H77*Configuracion!$G$2)</f>
        <v/>
      </c>
      <c r="J77" s="8">
        <f>IF(H77="","",H77+I77)</f>
        <v/>
      </c>
      <c r="K77" s="8" t="n"/>
      <c r="L77" s="8">
        <f>IF(H77="","",H77*Configuracion!$H$2)</f>
        <v/>
      </c>
      <c r="M77" s="8">
        <f>IF(H77="","",J77-K77-L77)</f>
        <v/>
      </c>
      <c r="N77" s="2" t="n"/>
      <c r="O77" s="2" t="n"/>
      <c r="P77" s="2" t="n"/>
    </row>
    <row r="78">
      <c r="A78" s="2" t="n"/>
      <c r="B78" s="2" t="n"/>
      <c r="C78" s="2" t="n"/>
      <c r="D78" s="10" t="n"/>
      <c r="E78" s="10" t="n"/>
      <c r="F78" s="2" t="n"/>
      <c r="G78" s="2" t="n"/>
      <c r="H78" s="8" t="n"/>
      <c r="I78" s="8">
        <f>IF(H78="","",H78*Configuracion!$G$2)</f>
        <v/>
      </c>
      <c r="J78" s="8">
        <f>IF(H78="","",H78+I78)</f>
        <v/>
      </c>
      <c r="K78" s="8" t="n"/>
      <c r="L78" s="8">
        <f>IF(H78="","",H78*Configuracion!$H$2)</f>
        <v/>
      </c>
      <c r="M78" s="8">
        <f>IF(H78="","",J78-K78-L78)</f>
        <v/>
      </c>
      <c r="N78" s="2" t="n"/>
      <c r="O78" s="2" t="n"/>
      <c r="P78" s="2" t="n"/>
    </row>
    <row r="79">
      <c r="A79" s="2" t="n"/>
      <c r="B79" s="2" t="n"/>
      <c r="C79" s="2" t="n"/>
      <c r="D79" s="10" t="n"/>
      <c r="E79" s="10" t="n"/>
      <c r="F79" s="2" t="n"/>
      <c r="G79" s="2" t="n"/>
      <c r="H79" s="8" t="n"/>
      <c r="I79" s="8">
        <f>IF(H79="","",H79*Configuracion!$G$2)</f>
        <v/>
      </c>
      <c r="J79" s="8">
        <f>IF(H79="","",H79+I79)</f>
        <v/>
      </c>
      <c r="K79" s="8" t="n"/>
      <c r="L79" s="8">
        <f>IF(H79="","",H79*Configuracion!$H$2)</f>
        <v/>
      </c>
      <c r="M79" s="8">
        <f>IF(H79="","",J79-K79-L79)</f>
        <v/>
      </c>
      <c r="N79" s="2" t="n"/>
      <c r="O79" s="2" t="n"/>
      <c r="P79" s="2" t="n"/>
    </row>
    <row r="80">
      <c r="A80" s="2" t="n"/>
      <c r="B80" s="2" t="n"/>
      <c r="C80" s="2" t="n"/>
      <c r="D80" s="10" t="n"/>
      <c r="E80" s="10" t="n"/>
      <c r="F80" s="2" t="n"/>
      <c r="G80" s="2" t="n"/>
      <c r="H80" s="8" t="n"/>
      <c r="I80" s="8">
        <f>IF(H80="","",H80*Configuracion!$G$2)</f>
        <v/>
      </c>
      <c r="J80" s="8">
        <f>IF(H80="","",H80+I80)</f>
        <v/>
      </c>
      <c r="K80" s="8" t="n"/>
      <c r="L80" s="8">
        <f>IF(H80="","",H80*Configuracion!$H$2)</f>
        <v/>
      </c>
      <c r="M80" s="8">
        <f>IF(H80="","",J80-K80-L80)</f>
        <v/>
      </c>
      <c r="N80" s="2" t="n"/>
      <c r="O80" s="2" t="n"/>
      <c r="P80" s="2" t="n"/>
    </row>
    <row r="81">
      <c r="A81" s="2" t="n"/>
      <c r="B81" s="2" t="n"/>
      <c r="C81" s="2" t="n"/>
      <c r="D81" s="10" t="n"/>
      <c r="E81" s="10" t="n"/>
      <c r="F81" s="2" t="n"/>
      <c r="G81" s="2" t="n"/>
      <c r="H81" s="8" t="n"/>
      <c r="I81" s="8">
        <f>IF(H81="","",H81*Configuracion!$G$2)</f>
        <v/>
      </c>
      <c r="J81" s="8">
        <f>IF(H81="","",H81+I81)</f>
        <v/>
      </c>
      <c r="K81" s="8" t="n"/>
      <c r="L81" s="8">
        <f>IF(H81="","",H81*Configuracion!$H$2)</f>
        <v/>
      </c>
      <c r="M81" s="8">
        <f>IF(H81="","",J81-K81-L81)</f>
        <v/>
      </c>
      <c r="N81" s="2" t="n"/>
      <c r="O81" s="2" t="n"/>
      <c r="P81" s="2" t="n"/>
    </row>
    <row r="82">
      <c r="A82" s="2" t="n"/>
      <c r="B82" s="2" t="n"/>
      <c r="C82" s="2" t="n"/>
      <c r="D82" s="10" t="n"/>
      <c r="E82" s="10" t="n"/>
      <c r="F82" s="2" t="n"/>
      <c r="G82" s="2" t="n"/>
      <c r="H82" s="8" t="n"/>
      <c r="I82" s="8">
        <f>IF(H82="","",H82*Configuracion!$G$2)</f>
        <v/>
      </c>
      <c r="J82" s="8">
        <f>IF(H82="","",H82+I82)</f>
        <v/>
      </c>
      <c r="K82" s="8" t="n"/>
      <c r="L82" s="8">
        <f>IF(H82="","",H82*Configuracion!$H$2)</f>
        <v/>
      </c>
      <c r="M82" s="8">
        <f>IF(H82="","",J82-K82-L82)</f>
        <v/>
      </c>
      <c r="N82" s="2" t="n"/>
      <c r="O82" s="2" t="n"/>
      <c r="P82" s="2" t="n"/>
    </row>
    <row r="83">
      <c r="A83" s="2" t="n"/>
      <c r="B83" s="2" t="n"/>
      <c r="C83" s="2" t="n"/>
      <c r="D83" s="10" t="n"/>
      <c r="E83" s="10" t="n"/>
      <c r="F83" s="2" t="n"/>
      <c r="G83" s="2" t="n"/>
      <c r="H83" s="8" t="n"/>
      <c r="I83" s="8">
        <f>IF(H83="","",H83*Configuracion!$G$2)</f>
        <v/>
      </c>
      <c r="J83" s="8">
        <f>IF(H83="","",H83+I83)</f>
        <v/>
      </c>
      <c r="K83" s="8" t="n"/>
      <c r="L83" s="8">
        <f>IF(H83="","",H83*Configuracion!$H$2)</f>
        <v/>
      </c>
      <c r="M83" s="8">
        <f>IF(H83="","",J83-K83-L83)</f>
        <v/>
      </c>
      <c r="N83" s="2" t="n"/>
      <c r="O83" s="2" t="n"/>
      <c r="P83" s="2" t="n"/>
    </row>
    <row r="84">
      <c r="A84" s="2" t="n"/>
      <c r="B84" s="2" t="n"/>
      <c r="C84" s="2" t="n"/>
      <c r="D84" s="10" t="n"/>
      <c r="E84" s="10" t="n"/>
      <c r="F84" s="2" t="n"/>
      <c r="G84" s="2" t="n"/>
      <c r="H84" s="8" t="n"/>
      <c r="I84" s="8">
        <f>IF(H84="","",H84*Configuracion!$G$2)</f>
        <v/>
      </c>
      <c r="J84" s="8">
        <f>IF(H84="","",H84+I84)</f>
        <v/>
      </c>
      <c r="K84" s="8" t="n"/>
      <c r="L84" s="8">
        <f>IF(H84="","",H84*Configuracion!$H$2)</f>
        <v/>
      </c>
      <c r="M84" s="8">
        <f>IF(H84="","",J84-K84-L84)</f>
        <v/>
      </c>
      <c r="N84" s="2" t="n"/>
      <c r="O84" s="2" t="n"/>
      <c r="P84" s="2" t="n"/>
    </row>
    <row r="85">
      <c r="A85" s="2" t="n"/>
      <c r="B85" s="2" t="n"/>
      <c r="C85" s="2" t="n"/>
      <c r="D85" s="10" t="n"/>
      <c r="E85" s="10" t="n"/>
      <c r="F85" s="2" t="n"/>
      <c r="G85" s="2" t="n"/>
      <c r="H85" s="8" t="n"/>
      <c r="I85" s="8">
        <f>IF(H85="","",H85*Configuracion!$G$2)</f>
        <v/>
      </c>
      <c r="J85" s="8">
        <f>IF(H85="","",H85+I85)</f>
        <v/>
      </c>
      <c r="K85" s="8" t="n"/>
      <c r="L85" s="8">
        <f>IF(H85="","",H85*Configuracion!$H$2)</f>
        <v/>
      </c>
      <c r="M85" s="8">
        <f>IF(H85="","",J85-K85-L85)</f>
        <v/>
      </c>
      <c r="N85" s="2" t="n"/>
      <c r="O85" s="2" t="n"/>
      <c r="P85" s="2" t="n"/>
    </row>
    <row r="86">
      <c r="A86" s="2" t="n"/>
      <c r="B86" s="2" t="n"/>
      <c r="C86" s="2" t="n"/>
      <c r="D86" s="10" t="n"/>
      <c r="E86" s="10" t="n"/>
      <c r="F86" s="2" t="n"/>
      <c r="G86" s="2" t="n"/>
      <c r="H86" s="8" t="n"/>
      <c r="I86" s="8">
        <f>IF(H86="","",H86*Configuracion!$G$2)</f>
        <v/>
      </c>
      <c r="J86" s="8">
        <f>IF(H86="","",H86+I86)</f>
        <v/>
      </c>
      <c r="K86" s="8" t="n"/>
      <c r="L86" s="8">
        <f>IF(H86="","",H86*Configuracion!$H$2)</f>
        <v/>
      </c>
      <c r="M86" s="8">
        <f>IF(H86="","",J86-K86-L86)</f>
        <v/>
      </c>
      <c r="N86" s="2" t="n"/>
      <c r="O86" s="2" t="n"/>
      <c r="P86" s="2" t="n"/>
    </row>
    <row r="87">
      <c r="A87" s="2" t="n"/>
      <c r="B87" s="2" t="n"/>
      <c r="C87" s="2" t="n"/>
      <c r="D87" s="10" t="n"/>
      <c r="E87" s="10" t="n"/>
      <c r="F87" s="2" t="n"/>
      <c r="G87" s="2" t="n"/>
      <c r="H87" s="8" t="n"/>
      <c r="I87" s="8">
        <f>IF(H87="","",H87*Configuracion!$G$2)</f>
        <v/>
      </c>
      <c r="J87" s="8">
        <f>IF(H87="","",H87+I87)</f>
        <v/>
      </c>
      <c r="K87" s="8" t="n"/>
      <c r="L87" s="8">
        <f>IF(H87="","",H87*Configuracion!$H$2)</f>
        <v/>
      </c>
      <c r="M87" s="8">
        <f>IF(H87="","",J87-K87-L87)</f>
        <v/>
      </c>
      <c r="N87" s="2" t="n"/>
      <c r="O87" s="2" t="n"/>
      <c r="P87" s="2" t="n"/>
    </row>
    <row r="88">
      <c r="A88" s="2" t="n"/>
      <c r="B88" s="2" t="n"/>
      <c r="C88" s="2" t="n"/>
      <c r="D88" s="10" t="n"/>
      <c r="E88" s="10" t="n"/>
      <c r="F88" s="2" t="n"/>
      <c r="G88" s="2" t="n"/>
      <c r="H88" s="8" t="n"/>
      <c r="I88" s="8">
        <f>IF(H88="","",H88*Configuracion!$G$2)</f>
        <v/>
      </c>
      <c r="J88" s="8">
        <f>IF(H88="","",H88+I88)</f>
        <v/>
      </c>
      <c r="K88" s="8" t="n"/>
      <c r="L88" s="8">
        <f>IF(H88="","",H88*Configuracion!$H$2)</f>
        <v/>
      </c>
      <c r="M88" s="8">
        <f>IF(H88="","",J88-K88-L88)</f>
        <v/>
      </c>
      <c r="N88" s="2" t="n"/>
      <c r="O88" s="2" t="n"/>
      <c r="P88" s="2" t="n"/>
    </row>
    <row r="89">
      <c r="A89" s="2" t="n"/>
      <c r="B89" s="2" t="n"/>
      <c r="C89" s="2" t="n"/>
      <c r="D89" s="10" t="n"/>
      <c r="E89" s="10" t="n"/>
      <c r="F89" s="2" t="n"/>
      <c r="G89" s="2" t="n"/>
      <c r="H89" s="8" t="n"/>
      <c r="I89" s="8">
        <f>IF(H89="","",H89*Configuracion!$G$2)</f>
        <v/>
      </c>
      <c r="J89" s="8">
        <f>IF(H89="","",H89+I89)</f>
        <v/>
      </c>
      <c r="K89" s="8" t="n"/>
      <c r="L89" s="8">
        <f>IF(H89="","",H89*Configuracion!$H$2)</f>
        <v/>
      </c>
      <c r="M89" s="8">
        <f>IF(H89="","",J89-K89-L89)</f>
        <v/>
      </c>
      <c r="N89" s="2" t="n"/>
      <c r="O89" s="2" t="n"/>
      <c r="P89" s="2" t="n"/>
    </row>
    <row r="90">
      <c r="A90" s="2" t="n"/>
      <c r="B90" s="2" t="n"/>
      <c r="C90" s="2" t="n"/>
      <c r="D90" s="10" t="n"/>
      <c r="E90" s="10" t="n"/>
      <c r="F90" s="2" t="n"/>
      <c r="G90" s="2" t="n"/>
      <c r="H90" s="8" t="n"/>
      <c r="I90" s="8">
        <f>IF(H90="","",H90*Configuracion!$G$2)</f>
        <v/>
      </c>
      <c r="J90" s="8">
        <f>IF(H90="","",H90+I90)</f>
        <v/>
      </c>
      <c r="K90" s="8" t="n"/>
      <c r="L90" s="8">
        <f>IF(H90="","",H90*Configuracion!$H$2)</f>
        <v/>
      </c>
      <c r="M90" s="8">
        <f>IF(H90="","",J90-K90-L90)</f>
        <v/>
      </c>
      <c r="N90" s="2" t="n"/>
      <c r="O90" s="2" t="n"/>
      <c r="P90" s="2" t="n"/>
    </row>
    <row r="91">
      <c r="A91" s="2" t="n"/>
      <c r="B91" s="2" t="n"/>
      <c r="C91" s="2" t="n"/>
      <c r="D91" s="10" t="n"/>
      <c r="E91" s="10" t="n"/>
      <c r="F91" s="2" t="n"/>
      <c r="G91" s="2" t="n"/>
      <c r="H91" s="8" t="n"/>
      <c r="I91" s="8">
        <f>IF(H91="","",H91*Configuracion!$G$2)</f>
        <v/>
      </c>
      <c r="J91" s="8">
        <f>IF(H91="","",H91+I91)</f>
        <v/>
      </c>
      <c r="K91" s="8" t="n"/>
      <c r="L91" s="8">
        <f>IF(H91="","",H91*Configuracion!$H$2)</f>
        <v/>
      </c>
      <c r="M91" s="8">
        <f>IF(H91="","",J91-K91-L91)</f>
        <v/>
      </c>
      <c r="N91" s="2" t="n"/>
      <c r="O91" s="2" t="n"/>
      <c r="P91" s="2" t="n"/>
    </row>
    <row r="92">
      <c r="A92" s="2" t="n"/>
      <c r="B92" s="2" t="n"/>
      <c r="C92" s="2" t="n"/>
      <c r="D92" s="10" t="n"/>
      <c r="E92" s="10" t="n"/>
      <c r="F92" s="2" t="n"/>
      <c r="G92" s="2" t="n"/>
      <c r="H92" s="8" t="n"/>
      <c r="I92" s="8">
        <f>IF(H92="","",H92*Configuracion!$G$2)</f>
        <v/>
      </c>
      <c r="J92" s="8">
        <f>IF(H92="","",H92+I92)</f>
        <v/>
      </c>
      <c r="K92" s="8" t="n"/>
      <c r="L92" s="8">
        <f>IF(H92="","",H92*Configuracion!$H$2)</f>
        <v/>
      </c>
      <c r="M92" s="8">
        <f>IF(H92="","",J92-K92-L92)</f>
        <v/>
      </c>
      <c r="N92" s="2" t="n"/>
      <c r="O92" s="2" t="n"/>
      <c r="P92" s="2" t="n"/>
    </row>
    <row r="93">
      <c r="A93" s="2" t="n"/>
      <c r="B93" s="2" t="n"/>
      <c r="C93" s="2" t="n"/>
      <c r="D93" s="10" t="n"/>
      <c r="E93" s="10" t="n"/>
      <c r="F93" s="2" t="n"/>
      <c r="G93" s="2" t="n"/>
      <c r="H93" s="8" t="n"/>
      <c r="I93" s="8">
        <f>IF(H93="","",H93*Configuracion!$G$2)</f>
        <v/>
      </c>
      <c r="J93" s="8">
        <f>IF(H93="","",H93+I93)</f>
        <v/>
      </c>
      <c r="K93" s="8" t="n"/>
      <c r="L93" s="8">
        <f>IF(H93="","",H93*Configuracion!$H$2)</f>
        <v/>
      </c>
      <c r="M93" s="8">
        <f>IF(H93="","",J93-K93-L93)</f>
        <v/>
      </c>
      <c r="N93" s="2" t="n"/>
      <c r="O93" s="2" t="n"/>
      <c r="P93" s="2" t="n"/>
    </row>
    <row r="94">
      <c r="A94" s="2" t="n"/>
      <c r="B94" s="2" t="n"/>
      <c r="C94" s="2" t="n"/>
      <c r="D94" s="10" t="n"/>
      <c r="E94" s="10" t="n"/>
      <c r="F94" s="2" t="n"/>
      <c r="G94" s="2" t="n"/>
      <c r="H94" s="8" t="n"/>
      <c r="I94" s="8">
        <f>IF(H94="","",H94*Configuracion!$G$2)</f>
        <v/>
      </c>
      <c r="J94" s="8">
        <f>IF(H94="","",H94+I94)</f>
        <v/>
      </c>
      <c r="K94" s="8" t="n"/>
      <c r="L94" s="8">
        <f>IF(H94="","",H94*Configuracion!$H$2)</f>
        <v/>
      </c>
      <c r="M94" s="8">
        <f>IF(H94="","",J94-K94-L94)</f>
        <v/>
      </c>
      <c r="N94" s="2" t="n"/>
      <c r="O94" s="2" t="n"/>
      <c r="P94" s="2" t="n"/>
    </row>
    <row r="95">
      <c r="A95" s="2" t="n"/>
      <c r="B95" s="2" t="n"/>
      <c r="C95" s="2" t="n"/>
      <c r="D95" s="10" t="n"/>
      <c r="E95" s="10" t="n"/>
      <c r="F95" s="2" t="n"/>
      <c r="G95" s="2" t="n"/>
      <c r="H95" s="8" t="n"/>
      <c r="I95" s="8">
        <f>IF(H95="","",H95*Configuracion!$G$2)</f>
        <v/>
      </c>
      <c r="J95" s="8">
        <f>IF(H95="","",H95+I95)</f>
        <v/>
      </c>
      <c r="K95" s="8" t="n"/>
      <c r="L95" s="8">
        <f>IF(H95="","",H95*Configuracion!$H$2)</f>
        <v/>
      </c>
      <c r="M95" s="8">
        <f>IF(H95="","",J95-K95-L95)</f>
        <v/>
      </c>
      <c r="N95" s="2" t="n"/>
      <c r="O95" s="2" t="n"/>
      <c r="P95" s="2" t="n"/>
    </row>
    <row r="96">
      <c r="A96" s="2" t="n"/>
      <c r="B96" s="2" t="n"/>
      <c r="C96" s="2" t="n"/>
      <c r="D96" s="10" t="n"/>
      <c r="E96" s="10" t="n"/>
      <c r="F96" s="2" t="n"/>
      <c r="G96" s="2" t="n"/>
      <c r="H96" s="8" t="n"/>
      <c r="I96" s="8">
        <f>IF(H96="","",H96*Configuracion!$G$2)</f>
        <v/>
      </c>
      <c r="J96" s="8">
        <f>IF(H96="","",H96+I96)</f>
        <v/>
      </c>
      <c r="K96" s="8" t="n"/>
      <c r="L96" s="8">
        <f>IF(H96="","",H96*Configuracion!$H$2)</f>
        <v/>
      </c>
      <c r="M96" s="8">
        <f>IF(H96="","",J96-K96-L96)</f>
        <v/>
      </c>
      <c r="N96" s="2" t="n"/>
      <c r="O96" s="2" t="n"/>
      <c r="P96" s="2" t="n"/>
    </row>
    <row r="97">
      <c r="A97" s="2" t="n"/>
      <c r="B97" s="2" t="n"/>
      <c r="C97" s="2" t="n"/>
      <c r="D97" s="10" t="n"/>
      <c r="E97" s="10" t="n"/>
      <c r="F97" s="2" t="n"/>
      <c r="G97" s="2" t="n"/>
      <c r="H97" s="8" t="n"/>
      <c r="I97" s="8">
        <f>IF(H97="","",H97*Configuracion!$G$2)</f>
        <v/>
      </c>
      <c r="J97" s="8">
        <f>IF(H97="","",H97+I97)</f>
        <v/>
      </c>
      <c r="K97" s="8" t="n"/>
      <c r="L97" s="8">
        <f>IF(H97="","",H97*Configuracion!$H$2)</f>
        <v/>
      </c>
      <c r="M97" s="8">
        <f>IF(H97="","",J97-K97-L97)</f>
        <v/>
      </c>
      <c r="N97" s="2" t="n"/>
      <c r="O97" s="2" t="n"/>
      <c r="P97" s="2" t="n"/>
    </row>
    <row r="98">
      <c r="A98" s="2" t="n"/>
      <c r="B98" s="2" t="n"/>
      <c r="C98" s="2" t="n"/>
      <c r="D98" s="10" t="n"/>
      <c r="E98" s="10" t="n"/>
      <c r="F98" s="2" t="n"/>
      <c r="G98" s="2" t="n"/>
      <c r="H98" s="8" t="n"/>
      <c r="I98" s="8">
        <f>IF(H98="","",H98*Configuracion!$G$2)</f>
        <v/>
      </c>
      <c r="J98" s="8">
        <f>IF(H98="","",H98+I98)</f>
        <v/>
      </c>
      <c r="K98" s="8" t="n"/>
      <c r="L98" s="8">
        <f>IF(H98="","",H98*Configuracion!$H$2)</f>
        <v/>
      </c>
      <c r="M98" s="8">
        <f>IF(H98="","",J98-K98-L98)</f>
        <v/>
      </c>
      <c r="N98" s="2" t="n"/>
      <c r="O98" s="2" t="n"/>
      <c r="P98" s="2" t="n"/>
    </row>
    <row r="99">
      <c r="A99" s="2" t="n"/>
      <c r="B99" s="2" t="n"/>
      <c r="C99" s="2" t="n"/>
      <c r="D99" s="10" t="n"/>
      <c r="E99" s="10" t="n"/>
      <c r="F99" s="2" t="n"/>
      <c r="G99" s="2" t="n"/>
      <c r="H99" s="8" t="n"/>
      <c r="I99" s="8">
        <f>IF(H99="","",H99*Configuracion!$G$2)</f>
        <v/>
      </c>
      <c r="J99" s="8">
        <f>IF(H99="","",H99+I99)</f>
        <v/>
      </c>
      <c r="K99" s="8" t="n"/>
      <c r="L99" s="8">
        <f>IF(H99="","",H99*Configuracion!$H$2)</f>
        <v/>
      </c>
      <c r="M99" s="8">
        <f>IF(H99="","",J99-K99-L99)</f>
        <v/>
      </c>
      <c r="N99" s="2" t="n"/>
      <c r="O99" s="2" t="n"/>
      <c r="P99" s="2" t="n"/>
    </row>
    <row r="100">
      <c r="A100" s="2" t="n"/>
      <c r="B100" s="2" t="n"/>
      <c r="C100" s="2" t="n"/>
      <c r="D100" s="10" t="n"/>
      <c r="E100" s="10" t="n"/>
      <c r="F100" s="2" t="n"/>
      <c r="G100" s="2" t="n"/>
      <c r="H100" s="8" t="n"/>
      <c r="I100" s="8">
        <f>IF(H100="","",H100*Configuracion!$G$2)</f>
        <v/>
      </c>
      <c r="J100" s="8">
        <f>IF(H100="","",H100+I100)</f>
        <v/>
      </c>
      <c r="K100" s="8" t="n"/>
      <c r="L100" s="8">
        <f>IF(H100="","",H100*Configuracion!$H$2)</f>
        <v/>
      </c>
      <c r="M100" s="8">
        <f>IF(H100="","",J100-K100-L100)</f>
        <v/>
      </c>
      <c r="N100" s="2" t="n"/>
      <c r="O100" s="2" t="n"/>
      <c r="P100" s="2" t="n"/>
    </row>
    <row r="101">
      <c r="A101" s="2" t="n"/>
      <c r="B101" s="2" t="n"/>
      <c r="C101" s="2" t="n"/>
      <c r="D101" s="10" t="n"/>
      <c r="E101" s="10" t="n"/>
      <c r="F101" s="2" t="n"/>
      <c r="G101" s="2" t="n"/>
      <c r="H101" s="8" t="n"/>
      <c r="I101" s="8">
        <f>IF(H101="","",H101*Configuracion!$G$2)</f>
        <v/>
      </c>
      <c r="J101" s="8">
        <f>IF(H101="","",H101+I101)</f>
        <v/>
      </c>
      <c r="K101" s="8" t="n"/>
      <c r="L101" s="8">
        <f>IF(H101="","",H101*Configuracion!$H$2)</f>
        <v/>
      </c>
      <c r="M101" s="8">
        <f>IF(H101="","",J101-K101-L101)</f>
        <v/>
      </c>
      <c r="N101" s="2" t="n"/>
      <c r="O101" s="2" t="n"/>
      <c r="P101" s="2" t="n"/>
    </row>
    <row r="102">
      <c r="A102" s="2" t="n"/>
      <c r="B102" s="2" t="n"/>
      <c r="C102" s="2" t="n"/>
      <c r="D102" s="10" t="n"/>
      <c r="E102" s="10" t="n"/>
      <c r="F102" s="2" t="n"/>
      <c r="G102" s="2" t="n"/>
      <c r="H102" s="8" t="n"/>
      <c r="I102" s="8">
        <f>IF(H102="","",H102*Configuracion!$G$2)</f>
        <v/>
      </c>
      <c r="J102" s="8">
        <f>IF(H102="","",H102+I102)</f>
        <v/>
      </c>
      <c r="K102" s="8" t="n"/>
      <c r="L102" s="8">
        <f>IF(H102="","",H102*Configuracion!$H$2)</f>
        <v/>
      </c>
      <c r="M102" s="8">
        <f>IF(H102="","",J102-K102-L102)</f>
        <v/>
      </c>
      <c r="N102" s="2" t="n"/>
      <c r="O102" s="2" t="n"/>
      <c r="P102" s="2" t="n"/>
    </row>
    <row r="103">
      <c r="A103" s="2" t="n"/>
      <c r="B103" s="2" t="n"/>
      <c r="C103" s="2" t="n"/>
      <c r="D103" s="10" t="n"/>
      <c r="E103" s="10" t="n"/>
      <c r="F103" s="2" t="n"/>
      <c r="G103" s="2" t="n"/>
      <c r="H103" s="8" t="n"/>
      <c r="I103" s="8">
        <f>IF(H103="","",H103*Configuracion!$G$2)</f>
        <v/>
      </c>
      <c r="J103" s="8">
        <f>IF(H103="","",H103+I103)</f>
        <v/>
      </c>
      <c r="K103" s="8" t="n"/>
      <c r="L103" s="8">
        <f>IF(H103="","",H103*Configuracion!$H$2)</f>
        <v/>
      </c>
      <c r="M103" s="8">
        <f>IF(H103="","",J103-K103-L103)</f>
        <v/>
      </c>
      <c r="N103" s="2" t="n"/>
      <c r="O103" s="2" t="n"/>
      <c r="P103" s="2" t="n"/>
    </row>
    <row r="104">
      <c r="A104" s="2" t="n"/>
      <c r="B104" s="2" t="n"/>
      <c r="C104" s="2" t="n"/>
      <c r="D104" s="10" t="n"/>
      <c r="E104" s="10" t="n"/>
      <c r="F104" s="2" t="n"/>
      <c r="G104" s="2" t="n"/>
      <c r="H104" s="8" t="n"/>
      <c r="I104" s="8">
        <f>IF(H104="","",H104*Configuracion!$G$2)</f>
        <v/>
      </c>
      <c r="J104" s="8">
        <f>IF(H104="","",H104+I104)</f>
        <v/>
      </c>
      <c r="K104" s="8" t="n"/>
      <c r="L104" s="8">
        <f>IF(H104="","",H104*Configuracion!$H$2)</f>
        <v/>
      </c>
      <c r="M104" s="8">
        <f>IF(H104="","",J104-K104-L104)</f>
        <v/>
      </c>
      <c r="N104" s="2" t="n"/>
      <c r="O104" s="2" t="n"/>
      <c r="P104" s="2" t="n"/>
    </row>
    <row r="105">
      <c r="A105" s="2" t="n"/>
      <c r="B105" s="2" t="n"/>
      <c r="C105" s="2" t="n"/>
      <c r="D105" s="10" t="n"/>
      <c r="E105" s="10" t="n"/>
      <c r="F105" s="2" t="n"/>
      <c r="G105" s="2" t="n"/>
      <c r="H105" s="8" t="n"/>
      <c r="I105" s="8">
        <f>IF(H105="","",H105*Configuracion!$G$2)</f>
        <v/>
      </c>
      <c r="J105" s="8">
        <f>IF(H105="","",H105+I105)</f>
        <v/>
      </c>
      <c r="K105" s="8" t="n"/>
      <c r="L105" s="8">
        <f>IF(H105="","",H105*Configuracion!$H$2)</f>
        <v/>
      </c>
      <c r="M105" s="8">
        <f>IF(H105="","",J105-K105-L105)</f>
        <v/>
      </c>
      <c r="N105" s="2" t="n"/>
      <c r="O105" s="2" t="n"/>
      <c r="P105" s="2" t="n"/>
    </row>
    <row r="106">
      <c r="A106" s="2" t="n"/>
      <c r="B106" s="2" t="n"/>
      <c r="C106" s="2" t="n"/>
      <c r="D106" s="10" t="n"/>
      <c r="E106" s="10" t="n"/>
      <c r="F106" s="2" t="n"/>
      <c r="G106" s="2" t="n"/>
      <c r="H106" s="8" t="n"/>
      <c r="I106" s="8">
        <f>IF(H106="","",H106*Configuracion!$G$2)</f>
        <v/>
      </c>
      <c r="J106" s="8">
        <f>IF(H106="","",H106+I106)</f>
        <v/>
      </c>
      <c r="K106" s="8" t="n"/>
      <c r="L106" s="8">
        <f>IF(H106="","",H106*Configuracion!$H$2)</f>
        <v/>
      </c>
      <c r="M106" s="8">
        <f>IF(H106="","",J106-K106-L106)</f>
        <v/>
      </c>
      <c r="N106" s="2" t="n"/>
      <c r="O106" s="2" t="n"/>
      <c r="P106" s="2" t="n"/>
    </row>
    <row r="107">
      <c r="A107" s="2" t="n"/>
      <c r="B107" s="2" t="n"/>
      <c r="C107" s="2" t="n"/>
      <c r="D107" s="10" t="n"/>
      <c r="E107" s="10" t="n"/>
      <c r="F107" s="2" t="n"/>
      <c r="G107" s="2" t="n"/>
      <c r="H107" s="8" t="n"/>
      <c r="I107" s="8">
        <f>IF(H107="","",H107*Configuracion!$G$2)</f>
        <v/>
      </c>
      <c r="J107" s="8">
        <f>IF(H107="","",H107+I107)</f>
        <v/>
      </c>
      <c r="K107" s="8" t="n"/>
      <c r="L107" s="8">
        <f>IF(H107="","",H107*Configuracion!$H$2)</f>
        <v/>
      </c>
      <c r="M107" s="8">
        <f>IF(H107="","",J107-K107-L107)</f>
        <v/>
      </c>
      <c r="N107" s="2" t="n"/>
      <c r="O107" s="2" t="n"/>
      <c r="P107" s="2" t="n"/>
    </row>
    <row r="108">
      <c r="A108" s="2" t="n"/>
      <c r="B108" s="2" t="n"/>
      <c r="C108" s="2" t="n"/>
      <c r="D108" s="10" t="n"/>
      <c r="E108" s="10" t="n"/>
      <c r="F108" s="2" t="n"/>
      <c r="G108" s="2" t="n"/>
      <c r="H108" s="8" t="n"/>
      <c r="I108" s="8">
        <f>IF(H108="","",H108*Configuracion!$G$2)</f>
        <v/>
      </c>
      <c r="J108" s="8">
        <f>IF(H108="","",H108+I108)</f>
        <v/>
      </c>
      <c r="K108" s="8" t="n"/>
      <c r="L108" s="8">
        <f>IF(H108="","",H108*Configuracion!$H$2)</f>
        <v/>
      </c>
      <c r="M108" s="8">
        <f>IF(H108="","",J108-K108-L108)</f>
        <v/>
      </c>
      <c r="N108" s="2" t="n"/>
      <c r="O108" s="2" t="n"/>
      <c r="P108" s="2" t="n"/>
    </row>
    <row r="109">
      <c r="A109" s="2" t="n"/>
      <c r="B109" s="2" t="n"/>
      <c r="C109" s="2" t="n"/>
      <c r="D109" s="10" t="n"/>
      <c r="E109" s="10" t="n"/>
      <c r="F109" s="2" t="n"/>
      <c r="G109" s="2" t="n"/>
      <c r="H109" s="8" t="n"/>
      <c r="I109" s="8">
        <f>IF(H109="","",H109*Configuracion!$G$2)</f>
        <v/>
      </c>
      <c r="J109" s="8">
        <f>IF(H109="","",H109+I109)</f>
        <v/>
      </c>
      <c r="K109" s="8" t="n"/>
      <c r="L109" s="8">
        <f>IF(H109="","",H109*Configuracion!$H$2)</f>
        <v/>
      </c>
      <c r="M109" s="8">
        <f>IF(H109="","",J109-K109-L109)</f>
        <v/>
      </c>
      <c r="N109" s="2" t="n"/>
      <c r="O109" s="2" t="n"/>
      <c r="P109" s="2" t="n"/>
    </row>
    <row r="110">
      <c r="A110" s="2" t="n"/>
      <c r="B110" s="2" t="n"/>
      <c r="C110" s="2" t="n"/>
      <c r="D110" s="10" t="n"/>
      <c r="E110" s="10" t="n"/>
      <c r="F110" s="2" t="n"/>
      <c r="G110" s="2" t="n"/>
      <c r="H110" s="8" t="n"/>
      <c r="I110" s="8">
        <f>IF(H110="","",H110*Configuracion!$G$2)</f>
        <v/>
      </c>
      <c r="J110" s="8">
        <f>IF(H110="","",H110+I110)</f>
        <v/>
      </c>
      <c r="K110" s="8" t="n"/>
      <c r="L110" s="8">
        <f>IF(H110="","",H110*Configuracion!$H$2)</f>
        <v/>
      </c>
      <c r="M110" s="8">
        <f>IF(H110="","",J110-K110-L110)</f>
        <v/>
      </c>
      <c r="N110" s="2" t="n"/>
      <c r="O110" s="2" t="n"/>
      <c r="P110" s="2" t="n"/>
    </row>
    <row r="111">
      <c r="A111" s="2" t="n"/>
      <c r="B111" s="2" t="n"/>
      <c r="C111" s="2" t="n"/>
      <c r="D111" s="10" t="n"/>
      <c r="E111" s="10" t="n"/>
      <c r="F111" s="2" t="n"/>
      <c r="G111" s="2" t="n"/>
      <c r="H111" s="8" t="n"/>
      <c r="I111" s="8">
        <f>IF(H111="","",H111*Configuracion!$G$2)</f>
        <v/>
      </c>
      <c r="J111" s="8">
        <f>IF(H111="","",H111+I111)</f>
        <v/>
      </c>
      <c r="K111" s="8" t="n"/>
      <c r="L111" s="8">
        <f>IF(H111="","",H111*Configuracion!$H$2)</f>
        <v/>
      </c>
      <c r="M111" s="8">
        <f>IF(H111="","",J111-K111-L111)</f>
        <v/>
      </c>
      <c r="N111" s="2" t="n"/>
      <c r="O111" s="2" t="n"/>
      <c r="P111" s="2" t="n"/>
    </row>
    <row r="112">
      <c r="A112" s="2" t="n"/>
      <c r="B112" s="2" t="n"/>
      <c r="C112" s="2" t="n"/>
      <c r="D112" s="10" t="n"/>
      <c r="E112" s="10" t="n"/>
      <c r="F112" s="2" t="n"/>
      <c r="G112" s="2" t="n"/>
      <c r="H112" s="8" t="n"/>
      <c r="I112" s="8">
        <f>IF(H112="","",H112*Configuracion!$G$2)</f>
        <v/>
      </c>
      <c r="J112" s="8">
        <f>IF(H112="","",H112+I112)</f>
        <v/>
      </c>
      <c r="K112" s="8" t="n"/>
      <c r="L112" s="8">
        <f>IF(H112="","",H112*Configuracion!$H$2)</f>
        <v/>
      </c>
      <c r="M112" s="8">
        <f>IF(H112="","",J112-K112-L112)</f>
        <v/>
      </c>
      <c r="N112" s="2" t="n"/>
      <c r="O112" s="2" t="n"/>
      <c r="P112" s="2" t="n"/>
    </row>
    <row r="113">
      <c r="A113" s="2" t="n"/>
      <c r="B113" s="2" t="n"/>
      <c r="C113" s="2" t="n"/>
      <c r="D113" s="10" t="n"/>
      <c r="E113" s="10" t="n"/>
      <c r="F113" s="2" t="n"/>
      <c r="G113" s="2" t="n"/>
      <c r="H113" s="8" t="n"/>
      <c r="I113" s="8">
        <f>IF(H113="","",H113*Configuracion!$G$2)</f>
        <v/>
      </c>
      <c r="J113" s="8">
        <f>IF(H113="","",H113+I113)</f>
        <v/>
      </c>
      <c r="K113" s="8" t="n"/>
      <c r="L113" s="8">
        <f>IF(H113="","",H113*Configuracion!$H$2)</f>
        <v/>
      </c>
      <c r="M113" s="8">
        <f>IF(H113="","",J113-K113-L113)</f>
        <v/>
      </c>
      <c r="N113" s="2" t="n"/>
      <c r="O113" s="2" t="n"/>
      <c r="P113" s="2" t="n"/>
    </row>
    <row r="114">
      <c r="A114" s="2" t="n"/>
      <c r="B114" s="2" t="n"/>
      <c r="C114" s="2" t="n"/>
      <c r="D114" s="10" t="n"/>
      <c r="E114" s="10" t="n"/>
      <c r="F114" s="2" t="n"/>
      <c r="G114" s="2" t="n"/>
      <c r="H114" s="8" t="n"/>
      <c r="I114" s="8">
        <f>IF(H114="","",H114*Configuracion!$G$2)</f>
        <v/>
      </c>
      <c r="J114" s="8">
        <f>IF(H114="","",H114+I114)</f>
        <v/>
      </c>
      <c r="K114" s="8" t="n"/>
      <c r="L114" s="8">
        <f>IF(H114="","",H114*Configuracion!$H$2)</f>
        <v/>
      </c>
      <c r="M114" s="8">
        <f>IF(H114="","",J114-K114-L114)</f>
        <v/>
      </c>
      <c r="N114" s="2" t="n"/>
      <c r="O114" s="2" t="n"/>
      <c r="P114" s="2" t="n"/>
    </row>
    <row r="115">
      <c r="A115" s="2" t="n"/>
      <c r="B115" s="2" t="n"/>
      <c r="C115" s="2" t="n"/>
      <c r="D115" s="10" t="n"/>
      <c r="E115" s="10" t="n"/>
      <c r="F115" s="2" t="n"/>
      <c r="G115" s="2" t="n"/>
      <c r="H115" s="8" t="n"/>
      <c r="I115" s="8">
        <f>IF(H115="","",H115*Configuracion!$G$2)</f>
        <v/>
      </c>
      <c r="J115" s="8">
        <f>IF(H115="","",H115+I115)</f>
        <v/>
      </c>
      <c r="K115" s="8" t="n"/>
      <c r="L115" s="8">
        <f>IF(H115="","",H115*Configuracion!$H$2)</f>
        <v/>
      </c>
      <c r="M115" s="8">
        <f>IF(H115="","",J115-K115-L115)</f>
        <v/>
      </c>
      <c r="N115" s="2" t="n"/>
      <c r="O115" s="2" t="n"/>
      <c r="P115" s="2" t="n"/>
    </row>
    <row r="116">
      <c r="A116" s="2" t="n"/>
      <c r="B116" s="2" t="n"/>
      <c r="C116" s="2" t="n"/>
      <c r="D116" s="10" t="n"/>
      <c r="E116" s="10" t="n"/>
      <c r="F116" s="2" t="n"/>
      <c r="G116" s="2" t="n"/>
      <c r="H116" s="8" t="n"/>
      <c r="I116" s="8">
        <f>IF(H116="","",H116*Configuracion!$G$2)</f>
        <v/>
      </c>
      <c r="J116" s="8">
        <f>IF(H116="","",H116+I116)</f>
        <v/>
      </c>
      <c r="K116" s="8" t="n"/>
      <c r="L116" s="8">
        <f>IF(H116="","",H116*Configuracion!$H$2)</f>
        <v/>
      </c>
      <c r="M116" s="8">
        <f>IF(H116="","",J116-K116-L116)</f>
        <v/>
      </c>
      <c r="N116" s="2" t="n"/>
      <c r="O116" s="2" t="n"/>
      <c r="P116" s="2" t="n"/>
    </row>
    <row r="117">
      <c r="A117" s="2" t="n"/>
      <c r="B117" s="2" t="n"/>
      <c r="C117" s="2" t="n"/>
      <c r="D117" s="10" t="n"/>
      <c r="E117" s="10" t="n"/>
      <c r="F117" s="2" t="n"/>
      <c r="G117" s="2" t="n"/>
      <c r="H117" s="8" t="n"/>
      <c r="I117" s="8">
        <f>IF(H117="","",H117*Configuracion!$G$2)</f>
        <v/>
      </c>
      <c r="J117" s="8">
        <f>IF(H117="","",H117+I117)</f>
        <v/>
      </c>
      <c r="K117" s="8" t="n"/>
      <c r="L117" s="8">
        <f>IF(H117="","",H117*Configuracion!$H$2)</f>
        <v/>
      </c>
      <c r="M117" s="8">
        <f>IF(H117="","",J117-K117-L117)</f>
        <v/>
      </c>
      <c r="N117" s="2" t="n"/>
      <c r="O117" s="2" t="n"/>
      <c r="P117" s="2" t="n"/>
    </row>
    <row r="118">
      <c r="A118" s="2" t="n"/>
      <c r="B118" s="2" t="n"/>
      <c r="C118" s="2" t="n"/>
      <c r="D118" s="10" t="n"/>
      <c r="E118" s="10" t="n"/>
      <c r="F118" s="2" t="n"/>
      <c r="G118" s="2" t="n"/>
      <c r="H118" s="8" t="n"/>
      <c r="I118" s="8">
        <f>IF(H118="","",H118*Configuracion!$G$2)</f>
        <v/>
      </c>
      <c r="J118" s="8">
        <f>IF(H118="","",H118+I118)</f>
        <v/>
      </c>
      <c r="K118" s="8" t="n"/>
      <c r="L118" s="8">
        <f>IF(H118="","",H118*Configuracion!$H$2)</f>
        <v/>
      </c>
      <c r="M118" s="8">
        <f>IF(H118="","",J118-K118-L118)</f>
        <v/>
      </c>
      <c r="N118" s="2" t="n"/>
      <c r="O118" s="2" t="n"/>
      <c r="P118" s="2" t="n"/>
    </row>
    <row r="119">
      <c r="A119" s="2" t="n"/>
      <c r="B119" s="2" t="n"/>
      <c r="C119" s="2" t="n"/>
      <c r="D119" s="10" t="n"/>
      <c r="E119" s="10" t="n"/>
      <c r="F119" s="2" t="n"/>
      <c r="G119" s="2" t="n"/>
      <c r="H119" s="8" t="n"/>
      <c r="I119" s="8">
        <f>IF(H119="","",H119*Configuracion!$G$2)</f>
        <v/>
      </c>
      <c r="J119" s="8">
        <f>IF(H119="","",H119+I119)</f>
        <v/>
      </c>
      <c r="K119" s="8" t="n"/>
      <c r="L119" s="8">
        <f>IF(H119="","",H119*Configuracion!$H$2)</f>
        <v/>
      </c>
      <c r="M119" s="8">
        <f>IF(H119="","",J119-K119-L119)</f>
        <v/>
      </c>
      <c r="N119" s="2" t="n"/>
      <c r="O119" s="2" t="n"/>
      <c r="P119" s="2" t="n"/>
    </row>
    <row r="120">
      <c r="A120" s="2" t="n"/>
      <c r="B120" s="2" t="n"/>
      <c r="C120" s="2" t="n"/>
      <c r="D120" s="10" t="n"/>
      <c r="E120" s="10" t="n"/>
      <c r="F120" s="2" t="n"/>
      <c r="G120" s="2" t="n"/>
      <c r="H120" s="8" t="n"/>
      <c r="I120" s="8">
        <f>IF(H120="","",H120*Configuracion!$G$2)</f>
        <v/>
      </c>
      <c r="J120" s="8">
        <f>IF(H120="","",H120+I120)</f>
        <v/>
      </c>
      <c r="K120" s="8" t="n"/>
      <c r="L120" s="8">
        <f>IF(H120="","",H120*Configuracion!$H$2)</f>
        <v/>
      </c>
      <c r="M120" s="8">
        <f>IF(H120="","",J120-K120-L120)</f>
        <v/>
      </c>
      <c r="N120" s="2" t="n"/>
      <c r="O120" s="2" t="n"/>
      <c r="P120" s="2" t="n"/>
    </row>
    <row r="121">
      <c r="A121" s="2" t="n"/>
      <c r="B121" s="2" t="n"/>
      <c r="C121" s="2" t="n"/>
      <c r="D121" s="10" t="n"/>
      <c r="E121" s="10" t="n"/>
      <c r="F121" s="2" t="n"/>
      <c r="G121" s="2" t="n"/>
      <c r="H121" s="8" t="n"/>
      <c r="I121" s="8">
        <f>IF(H121="","",H121*Configuracion!$G$2)</f>
        <v/>
      </c>
      <c r="J121" s="8">
        <f>IF(H121="","",H121+I121)</f>
        <v/>
      </c>
      <c r="K121" s="8" t="n"/>
      <c r="L121" s="8">
        <f>IF(H121="","",H121*Configuracion!$H$2)</f>
        <v/>
      </c>
      <c r="M121" s="8">
        <f>IF(H121="","",J121-K121-L121)</f>
        <v/>
      </c>
      <c r="N121" s="2" t="n"/>
      <c r="O121" s="2" t="n"/>
      <c r="P121" s="2" t="n"/>
    </row>
    <row r="122">
      <c r="A122" s="2" t="n"/>
      <c r="B122" s="2" t="n"/>
      <c r="C122" s="2" t="n"/>
      <c r="D122" s="10" t="n"/>
      <c r="E122" s="10" t="n"/>
      <c r="F122" s="2" t="n"/>
      <c r="G122" s="2" t="n"/>
      <c r="H122" s="8" t="n"/>
      <c r="I122" s="8">
        <f>IF(H122="","",H122*Configuracion!$G$2)</f>
        <v/>
      </c>
      <c r="J122" s="8">
        <f>IF(H122="","",H122+I122)</f>
        <v/>
      </c>
      <c r="K122" s="8" t="n"/>
      <c r="L122" s="8">
        <f>IF(H122="","",H122*Configuracion!$H$2)</f>
        <v/>
      </c>
      <c r="M122" s="8">
        <f>IF(H122="","",J122-K122-L122)</f>
        <v/>
      </c>
      <c r="N122" s="2" t="n"/>
      <c r="O122" s="2" t="n"/>
      <c r="P122" s="2" t="n"/>
    </row>
    <row r="123">
      <c r="A123" s="2" t="n"/>
      <c r="B123" s="2" t="n"/>
      <c r="C123" s="2" t="n"/>
      <c r="D123" s="10" t="n"/>
      <c r="E123" s="10" t="n"/>
      <c r="F123" s="2" t="n"/>
      <c r="G123" s="2" t="n"/>
      <c r="H123" s="8" t="n"/>
      <c r="I123" s="8">
        <f>IF(H123="","",H123*Configuracion!$G$2)</f>
        <v/>
      </c>
      <c r="J123" s="8">
        <f>IF(H123="","",H123+I123)</f>
        <v/>
      </c>
      <c r="K123" s="8" t="n"/>
      <c r="L123" s="8">
        <f>IF(H123="","",H123*Configuracion!$H$2)</f>
        <v/>
      </c>
      <c r="M123" s="8">
        <f>IF(H123="","",J123-K123-L123)</f>
        <v/>
      </c>
      <c r="N123" s="2" t="n"/>
      <c r="O123" s="2" t="n"/>
      <c r="P123" s="2" t="n"/>
    </row>
    <row r="124">
      <c r="A124" s="2" t="n"/>
      <c r="B124" s="2" t="n"/>
      <c r="C124" s="2" t="n"/>
      <c r="D124" s="10" t="n"/>
      <c r="E124" s="10" t="n"/>
      <c r="F124" s="2" t="n"/>
      <c r="G124" s="2" t="n"/>
      <c r="H124" s="8" t="n"/>
      <c r="I124" s="8">
        <f>IF(H124="","",H124*Configuracion!$G$2)</f>
        <v/>
      </c>
      <c r="J124" s="8">
        <f>IF(H124="","",H124+I124)</f>
        <v/>
      </c>
      <c r="K124" s="8" t="n"/>
      <c r="L124" s="8">
        <f>IF(H124="","",H124*Configuracion!$H$2)</f>
        <v/>
      </c>
      <c r="M124" s="8">
        <f>IF(H124="","",J124-K124-L124)</f>
        <v/>
      </c>
      <c r="N124" s="2" t="n"/>
      <c r="O124" s="2" t="n"/>
      <c r="P124" s="2" t="n"/>
    </row>
    <row r="125">
      <c r="A125" s="2" t="n"/>
      <c r="B125" s="2" t="n"/>
      <c r="C125" s="2" t="n"/>
      <c r="D125" s="10" t="n"/>
      <c r="E125" s="10" t="n"/>
      <c r="F125" s="2" t="n"/>
      <c r="G125" s="2" t="n"/>
      <c r="H125" s="8" t="n"/>
      <c r="I125" s="8">
        <f>IF(H125="","",H125*Configuracion!$G$2)</f>
        <v/>
      </c>
      <c r="J125" s="8">
        <f>IF(H125="","",H125+I125)</f>
        <v/>
      </c>
      <c r="K125" s="8" t="n"/>
      <c r="L125" s="8">
        <f>IF(H125="","",H125*Configuracion!$H$2)</f>
        <v/>
      </c>
      <c r="M125" s="8">
        <f>IF(H125="","",J125-K125-L125)</f>
        <v/>
      </c>
      <c r="N125" s="2" t="n"/>
      <c r="O125" s="2" t="n"/>
      <c r="P125" s="2" t="n"/>
    </row>
    <row r="126">
      <c r="A126" s="2" t="n"/>
      <c r="B126" s="2" t="n"/>
      <c r="C126" s="2" t="n"/>
      <c r="D126" s="10" t="n"/>
      <c r="E126" s="10" t="n"/>
      <c r="F126" s="2" t="n"/>
      <c r="G126" s="2" t="n"/>
      <c r="H126" s="8" t="n"/>
      <c r="I126" s="8">
        <f>IF(H126="","",H126*Configuracion!$G$2)</f>
        <v/>
      </c>
      <c r="J126" s="8">
        <f>IF(H126="","",H126+I126)</f>
        <v/>
      </c>
      <c r="K126" s="8" t="n"/>
      <c r="L126" s="8">
        <f>IF(H126="","",H126*Configuracion!$H$2)</f>
        <v/>
      </c>
      <c r="M126" s="8">
        <f>IF(H126="","",J126-K126-L126)</f>
        <v/>
      </c>
      <c r="N126" s="2" t="n"/>
      <c r="O126" s="2" t="n"/>
      <c r="P126" s="2" t="n"/>
    </row>
    <row r="127">
      <c r="A127" s="2" t="n"/>
      <c r="B127" s="2" t="n"/>
      <c r="C127" s="2" t="n"/>
      <c r="D127" s="10" t="n"/>
      <c r="E127" s="10" t="n"/>
      <c r="F127" s="2" t="n"/>
      <c r="G127" s="2" t="n"/>
      <c r="H127" s="8" t="n"/>
      <c r="I127" s="8">
        <f>IF(H127="","",H127*Configuracion!$G$2)</f>
        <v/>
      </c>
      <c r="J127" s="8">
        <f>IF(H127="","",H127+I127)</f>
        <v/>
      </c>
      <c r="K127" s="8" t="n"/>
      <c r="L127" s="8">
        <f>IF(H127="","",H127*Configuracion!$H$2)</f>
        <v/>
      </c>
      <c r="M127" s="8">
        <f>IF(H127="","",J127-K127-L127)</f>
        <v/>
      </c>
      <c r="N127" s="2" t="n"/>
      <c r="O127" s="2" t="n"/>
      <c r="P127" s="2" t="n"/>
    </row>
    <row r="128">
      <c r="A128" s="2" t="n"/>
      <c r="B128" s="2" t="n"/>
      <c r="C128" s="2" t="n"/>
      <c r="D128" s="10" t="n"/>
      <c r="E128" s="10" t="n"/>
      <c r="F128" s="2" t="n"/>
      <c r="G128" s="2" t="n"/>
      <c r="H128" s="8" t="n"/>
      <c r="I128" s="8">
        <f>IF(H128="","",H128*Configuracion!$G$2)</f>
        <v/>
      </c>
      <c r="J128" s="8">
        <f>IF(H128="","",H128+I128)</f>
        <v/>
      </c>
      <c r="K128" s="8" t="n"/>
      <c r="L128" s="8">
        <f>IF(H128="","",H128*Configuracion!$H$2)</f>
        <v/>
      </c>
      <c r="M128" s="8">
        <f>IF(H128="","",J128-K128-L128)</f>
        <v/>
      </c>
      <c r="N128" s="2" t="n"/>
      <c r="O128" s="2" t="n"/>
      <c r="P128" s="2" t="n"/>
    </row>
    <row r="129">
      <c r="A129" s="2" t="n"/>
      <c r="B129" s="2" t="n"/>
      <c r="C129" s="2" t="n"/>
      <c r="D129" s="10" t="n"/>
      <c r="E129" s="10" t="n"/>
      <c r="F129" s="2" t="n"/>
      <c r="G129" s="2" t="n"/>
      <c r="H129" s="8" t="n"/>
      <c r="I129" s="8">
        <f>IF(H129="","",H129*Configuracion!$G$2)</f>
        <v/>
      </c>
      <c r="J129" s="8">
        <f>IF(H129="","",H129+I129)</f>
        <v/>
      </c>
      <c r="K129" s="8" t="n"/>
      <c r="L129" s="8">
        <f>IF(H129="","",H129*Configuracion!$H$2)</f>
        <v/>
      </c>
      <c r="M129" s="8">
        <f>IF(H129="","",J129-K129-L129)</f>
        <v/>
      </c>
      <c r="N129" s="2" t="n"/>
      <c r="O129" s="2" t="n"/>
      <c r="P129" s="2" t="n"/>
    </row>
    <row r="130">
      <c r="A130" s="2" t="n"/>
      <c r="B130" s="2" t="n"/>
      <c r="C130" s="2" t="n"/>
      <c r="D130" s="10" t="n"/>
      <c r="E130" s="10" t="n"/>
      <c r="F130" s="2" t="n"/>
      <c r="G130" s="2" t="n"/>
      <c r="H130" s="8" t="n"/>
      <c r="I130" s="8">
        <f>IF(H130="","",H130*Configuracion!$G$2)</f>
        <v/>
      </c>
      <c r="J130" s="8">
        <f>IF(H130="","",H130+I130)</f>
        <v/>
      </c>
      <c r="K130" s="8" t="n"/>
      <c r="L130" s="8">
        <f>IF(H130="","",H130*Configuracion!$H$2)</f>
        <v/>
      </c>
      <c r="M130" s="8">
        <f>IF(H130="","",J130-K130-L130)</f>
        <v/>
      </c>
      <c r="N130" s="2" t="n"/>
      <c r="O130" s="2" t="n"/>
      <c r="P130" s="2" t="n"/>
    </row>
    <row r="131">
      <c r="A131" s="2" t="n"/>
      <c r="B131" s="2" t="n"/>
      <c r="C131" s="2" t="n"/>
      <c r="D131" s="10" t="n"/>
      <c r="E131" s="10" t="n"/>
      <c r="F131" s="2" t="n"/>
      <c r="G131" s="2" t="n"/>
      <c r="H131" s="8" t="n"/>
      <c r="I131" s="8">
        <f>IF(H131="","",H131*Configuracion!$G$2)</f>
        <v/>
      </c>
      <c r="J131" s="8">
        <f>IF(H131="","",H131+I131)</f>
        <v/>
      </c>
      <c r="K131" s="8" t="n"/>
      <c r="L131" s="8">
        <f>IF(H131="","",H131*Configuracion!$H$2)</f>
        <v/>
      </c>
      <c r="M131" s="8">
        <f>IF(H131="","",J131-K131-L131)</f>
        <v/>
      </c>
      <c r="N131" s="2" t="n"/>
      <c r="O131" s="2" t="n"/>
      <c r="P131" s="2" t="n"/>
    </row>
    <row r="132">
      <c r="A132" s="2" t="n"/>
      <c r="B132" s="2" t="n"/>
      <c r="C132" s="2" t="n"/>
      <c r="D132" s="10" t="n"/>
      <c r="E132" s="10" t="n"/>
      <c r="F132" s="2" t="n"/>
      <c r="G132" s="2" t="n"/>
      <c r="H132" s="8" t="n"/>
      <c r="I132" s="8">
        <f>IF(H132="","",H132*Configuracion!$G$2)</f>
        <v/>
      </c>
      <c r="J132" s="8">
        <f>IF(H132="","",H132+I132)</f>
        <v/>
      </c>
      <c r="K132" s="8" t="n"/>
      <c r="L132" s="8">
        <f>IF(H132="","",H132*Configuracion!$H$2)</f>
        <v/>
      </c>
      <c r="M132" s="8">
        <f>IF(H132="","",J132-K132-L132)</f>
        <v/>
      </c>
      <c r="N132" s="2" t="n"/>
      <c r="O132" s="2" t="n"/>
      <c r="P132" s="2" t="n"/>
    </row>
    <row r="133">
      <c r="A133" s="2" t="n"/>
      <c r="B133" s="2" t="n"/>
      <c r="C133" s="2" t="n"/>
      <c r="D133" s="10" t="n"/>
      <c r="E133" s="10" t="n"/>
      <c r="F133" s="2" t="n"/>
      <c r="G133" s="2" t="n"/>
      <c r="H133" s="8" t="n"/>
      <c r="I133" s="8">
        <f>IF(H133="","",H133*Configuracion!$G$2)</f>
        <v/>
      </c>
      <c r="J133" s="8">
        <f>IF(H133="","",H133+I133)</f>
        <v/>
      </c>
      <c r="K133" s="8" t="n"/>
      <c r="L133" s="8">
        <f>IF(H133="","",H133*Configuracion!$H$2)</f>
        <v/>
      </c>
      <c r="M133" s="8">
        <f>IF(H133="","",J133-K133-L133)</f>
        <v/>
      </c>
      <c r="N133" s="2" t="n"/>
      <c r="O133" s="2" t="n"/>
      <c r="P133" s="2" t="n"/>
    </row>
    <row r="134">
      <c r="A134" s="2" t="n"/>
      <c r="B134" s="2" t="n"/>
      <c r="C134" s="2" t="n"/>
      <c r="D134" s="10" t="n"/>
      <c r="E134" s="10" t="n"/>
      <c r="F134" s="2" t="n"/>
      <c r="G134" s="2" t="n"/>
      <c r="H134" s="8" t="n"/>
      <c r="I134" s="8">
        <f>IF(H134="","",H134*Configuracion!$G$2)</f>
        <v/>
      </c>
      <c r="J134" s="8">
        <f>IF(H134="","",H134+I134)</f>
        <v/>
      </c>
      <c r="K134" s="8" t="n"/>
      <c r="L134" s="8">
        <f>IF(H134="","",H134*Configuracion!$H$2)</f>
        <v/>
      </c>
      <c r="M134" s="8">
        <f>IF(H134="","",J134-K134-L134)</f>
        <v/>
      </c>
      <c r="N134" s="2" t="n"/>
      <c r="O134" s="2" t="n"/>
      <c r="P134" s="2" t="n"/>
    </row>
    <row r="135">
      <c r="A135" s="2" t="n"/>
      <c r="B135" s="2" t="n"/>
      <c r="C135" s="2" t="n"/>
      <c r="D135" s="10" t="n"/>
      <c r="E135" s="10" t="n"/>
      <c r="F135" s="2" t="n"/>
      <c r="G135" s="2" t="n"/>
      <c r="H135" s="8" t="n"/>
      <c r="I135" s="8">
        <f>IF(H135="","",H135*Configuracion!$G$2)</f>
        <v/>
      </c>
      <c r="J135" s="8">
        <f>IF(H135="","",H135+I135)</f>
        <v/>
      </c>
      <c r="K135" s="8" t="n"/>
      <c r="L135" s="8">
        <f>IF(H135="","",H135*Configuracion!$H$2)</f>
        <v/>
      </c>
      <c r="M135" s="8">
        <f>IF(H135="","",J135-K135-L135)</f>
        <v/>
      </c>
      <c r="N135" s="2" t="n"/>
      <c r="O135" s="2" t="n"/>
      <c r="P135" s="2" t="n"/>
    </row>
    <row r="136">
      <c r="A136" s="2" t="n"/>
      <c r="B136" s="2" t="n"/>
      <c r="C136" s="2" t="n"/>
      <c r="D136" s="10" t="n"/>
      <c r="E136" s="10" t="n"/>
      <c r="F136" s="2" t="n"/>
      <c r="G136" s="2" t="n"/>
      <c r="H136" s="8" t="n"/>
      <c r="I136" s="8">
        <f>IF(H136="","",H136*Configuracion!$G$2)</f>
        <v/>
      </c>
      <c r="J136" s="8">
        <f>IF(H136="","",H136+I136)</f>
        <v/>
      </c>
      <c r="K136" s="8" t="n"/>
      <c r="L136" s="8">
        <f>IF(H136="","",H136*Configuracion!$H$2)</f>
        <v/>
      </c>
      <c r="M136" s="8">
        <f>IF(H136="","",J136-K136-L136)</f>
        <v/>
      </c>
      <c r="N136" s="2" t="n"/>
      <c r="O136" s="2" t="n"/>
      <c r="P136" s="2" t="n"/>
    </row>
    <row r="137">
      <c r="A137" s="2" t="n"/>
      <c r="B137" s="2" t="n"/>
      <c r="C137" s="2" t="n"/>
      <c r="D137" s="10" t="n"/>
      <c r="E137" s="10" t="n"/>
      <c r="F137" s="2" t="n"/>
      <c r="G137" s="2" t="n"/>
      <c r="H137" s="8" t="n"/>
      <c r="I137" s="8">
        <f>IF(H137="","",H137*Configuracion!$G$2)</f>
        <v/>
      </c>
      <c r="J137" s="8">
        <f>IF(H137="","",H137+I137)</f>
        <v/>
      </c>
      <c r="K137" s="8" t="n"/>
      <c r="L137" s="8">
        <f>IF(H137="","",H137*Configuracion!$H$2)</f>
        <v/>
      </c>
      <c r="M137" s="8">
        <f>IF(H137="","",J137-K137-L137)</f>
        <v/>
      </c>
      <c r="N137" s="2" t="n"/>
      <c r="O137" s="2" t="n"/>
      <c r="P137" s="2" t="n"/>
    </row>
    <row r="138">
      <c r="A138" s="2" t="n"/>
      <c r="B138" s="2" t="n"/>
      <c r="C138" s="2" t="n"/>
      <c r="D138" s="10" t="n"/>
      <c r="E138" s="10" t="n"/>
      <c r="F138" s="2" t="n"/>
      <c r="G138" s="2" t="n"/>
      <c r="H138" s="8" t="n"/>
      <c r="I138" s="8">
        <f>IF(H138="","",H138*Configuracion!$G$2)</f>
        <v/>
      </c>
      <c r="J138" s="8">
        <f>IF(H138="","",H138+I138)</f>
        <v/>
      </c>
      <c r="K138" s="8" t="n"/>
      <c r="L138" s="8">
        <f>IF(H138="","",H138*Configuracion!$H$2)</f>
        <v/>
      </c>
      <c r="M138" s="8">
        <f>IF(H138="","",J138-K138-L138)</f>
        <v/>
      </c>
      <c r="N138" s="2" t="n"/>
      <c r="O138" s="2" t="n"/>
      <c r="P138" s="2" t="n"/>
    </row>
    <row r="139">
      <c r="A139" s="2" t="n"/>
      <c r="B139" s="2" t="n"/>
      <c r="C139" s="2" t="n"/>
      <c r="D139" s="10" t="n"/>
      <c r="E139" s="10" t="n"/>
      <c r="F139" s="2" t="n"/>
      <c r="G139" s="2" t="n"/>
      <c r="H139" s="8" t="n"/>
      <c r="I139" s="8">
        <f>IF(H139="","",H139*Configuracion!$G$2)</f>
        <v/>
      </c>
      <c r="J139" s="8">
        <f>IF(H139="","",H139+I139)</f>
        <v/>
      </c>
      <c r="K139" s="8" t="n"/>
      <c r="L139" s="8">
        <f>IF(H139="","",H139*Configuracion!$H$2)</f>
        <v/>
      </c>
      <c r="M139" s="8">
        <f>IF(H139="","",J139-K139-L139)</f>
        <v/>
      </c>
      <c r="N139" s="2" t="n"/>
      <c r="O139" s="2" t="n"/>
      <c r="P139" s="2" t="n"/>
    </row>
    <row r="140">
      <c r="A140" s="2" t="n"/>
      <c r="B140" s="2" t="n"/>
      <c r="C140" s="2" t="n"/>
      <c r="D140" s="10" t="n"/>
      <c r="E140" s="10" t="n"/>
      <c r="F140" s="2" t="n"/>
      <c r="G140" s="2" t="n"/>
      <c r="H140" s="8" t="n"/>
      <c r="I140" s="8">
        <f>IF(H140="","",H140*Configuracion!$G$2)</f>
        <v/>
      </c>
      <c r="J140" s="8">
        <f>IF(H140="","",H140+I140)</f>
        <v/>
      </c>
      <c r="K140" s="8" t="n"/>
      <c r="L140" s="8">
        <f>IF(H140="","",H140*Configuracion!$H$2)</f>
        <v/>
      </c>
      <c r="M140" s="8">
        <f>IF(H140="","",J140-K140-L140)</f>
        <v/>
      </c>
      <c r="N140" s="2" t="n"/>
      <c r="O140" s="2" t="n"/>
      <c r="P140" s="2" t="n"/>
    </row>
    <row r="141">
      <c r="A141" s="2" t="n"/>
      <c r="B141" s="2" t="n"/>
      <c r="C141" s="2" t="n"/>
      <c r="D141" s="10" t="n"/>
      <c r="E141" s="10" t="n"/>
      <c r="F141" s="2" t="n"/>
      <c r="G141" s="2" t="n"/>
      <c r="H141" s="8" t="n"/>
      <c r="I141" s="8">
        <f>IF(H141="","",H141*Configuracion!$G$2)</f>
        <v/>
      </c>
      <c r="J141" s="8">
        <f>IF(H141="","",H141+I141)</f>
        <v/>
      </c>
      <c r="K141" s="8" t="n"/>
      <c r="L141" s="8">
        <f>IF(H141="","",H141*Configuracion!$H$2)</f>
        <v/>
      </c>
      <c r="M141" s="8">
        <f>IF(H141="","",J141-K141-L141)</f>
        <v/>
      </c>
      <c r="N141" s="2" t="n"/>
      <c r="O141" s="2" t="n"/>
      <c r="P141" s="2" t="n"/>
    </row>
    <row r="142">
      <c r="A142" s="2" t="n"/>
      <c r="B142" s="2" t="n"/>
      <c r="C142" s="2" t="n"/>
      <c r="D142" s="10" t="n"/>
      <c r="E142" s="10" t="n"/>
      <c r="F142" s="2" t="n"/>
      <c r="G142" s="2" t="n"/>
      <c r="H142" s="8" t="n"/>
      <c r="I142" s="8">
        <f>IF(H142="","",H142*Configuracion!$G$2)</f>
        <v/>
      </c>
      <c r="J142" s="8">
        <f>IF(H142="","",H142+I142)</f>
        <v/>
      </c>
      <c r="K142" s="8" t="n"/>
      <c r="L142" s="8">
        <f>IF(H142="","",H142*Configuracion!$H$2)</f>
        <v/>
      </c>
      <c r="M142" s="8">
        <f>IF(H142="","",J142-K142-L142)</f>
        <v/>
      </c>
      <c r="N142" s="2" t="n"/>
      <c r="O142" s="2" t="n"/>
      <c r="P142" s="2" t="n"/>
    </row>
    <row r="143">
      <c r="A143" s="2" t="n"/>
      <c r="B143" s="2" t="n"/>
      <c r="C143" s="2" t="n"/>
      <c r="D143" s="10" t="n"/>
      <c r="E143" s="10" t="n"/>
      <c r="F143" s="2" t="n"/>
      <c r="G143" s="2" t="n"/>
      <c r="H143" s="8" t="n"/>
      <c r="I143" s="8">
        <f>IF(H143="","",H143*Configuracion!$G$2)</f>
        <v/>
      </c>
      <c r="J143" s="8">
        <f>IF(H143="","",H143+I143)</f>
        <v/>
      </c>
      <c r="K143" s="8" t="n"/>
      <c r="L143" s="8">
        <f>IF(H143="","",H143*Configuracion!$H$2)</f>
        <v/>
      </c>
      <c r="M143" s="8">
        <f>IF(H143="","",J143-K143-L143)</f>
        <v/>
      </c>
      <c r="N143" s="2" t="n"/>
      <c r="O143" s="2" t="n"/>
      <c r="P143" s="2" t="n"/>
    </row>
    <row r="144">
      <c r="A144" s="2" t="n"/>
      <c r="B144" s="2" t="n"/>
      <c r="C144" s="2" t="n"/>
      <c r="D144" s="10" t="n"/>
      <c r="E144" s="10" t="n"/>
      <c r="F144" s="2" t="n"/>
      <c r="G144" s="2" t="n"/>
      <c r="H144" s="8" t="n"/>
      <c r="I144" s="8">
        <f>IF(H144="","",H144*Configuracion!$G$2)</f>
        <v/>
      </c>
      <c r="J144" s="8">
        <f>IF(H144="","",H144+I144)</f>
        <v/>
      </c>
      <c r="K144" s="8" t="n"/>
      <c r="L144" s="8">
        <f>IF(H144="","",H144*Configuracion!$H$2)</f>
        <v/>
      </c>
      <c r="M144" s="8">
        <f>IF(H144="","",J144-K144-L144)</f>
        <v/>
      </c>
      <c r="N144" s="2" t="n"/>
      <c r="O144" s="2" t="n"/>
      <c r="P144" s="2" t="n"/>
    </row>
    <row r="145">
      <c r="A145" s="2" t="n"/>
      <c r="B145" s="2" t="n"/>
      <c r="C145" s="2" t="n"/>
      <c r="D145" s="10" t="n"/>
      <c r="E145" s="10" t="n"/>
      <c r="F145" s="2" t="n"/>
      <c r="G145" s="2" t="n"/>
      <c r="H145" s="8" t="n"/>
      <c r="I145" s="8">
        <f>IF(H145="","",H145*Configuracion!$G$2)</f>
        <v/>
      </c>
      <c r="J145" s="8">
        <f>IF(H145="","",H145+I145)</f>
        <v/>
      </c>
      <c r="K145" s="8" t="n"/>
      <c r="L145" s="8">
        <f>IF(H145="","",H145*Configuracion!$H$2)</f>
        <v/>
      </c>
      <c r="M145" s="8">
        <f>IF(H145="","",J145-K145-L145)</f>
        <v/>
      </c>
      <c r="N145" s="2" t="n"/>
      <c r="O145" s="2" t="n"/>
      <c r="P145" s="2" t="n"/>
    </row>
    <row r="146">
      <c r="A146" s="2" t="n"/>
      <c r="B146" s="2" t="n"/>
      <c r="C146" s="2" t="n"/>
      <c r="D146" s="10" t="n"/>
      <c r="E146" s="10" t="n"/>
      <c r="F146" s="2" t="n"/>
      <c r="G146" s="2" t="n"/>
      <c r="H146" s="8" t="n"/>
      <c r="I146" s="8">
        <f>IF(H146="","",H146*Configuracion!$G$2)</f>
        <v/>
      </c>
      <c r="J146" s="8">
        <f>IF(H146="","",H146+I146)</f>
        <v/>
      </c>
      <c r="K146" s="8" t="n"/>
      <c r="L146" s="8">
        <f>IF(H146="","",H146*Configuracion!$H$2)</f>
        <v/>
      </c>
      <c r="M146" s="8">
        <f>IF(H146="","",J146-K146-L146)</f>
        <v/>
      </c>
      <c r="N146" s="2" t="n"/>
      <c r="O146" s="2" t="n"/>
      <c r="P146" s="2" t="n"/>
    </row>
    <row r="147">
      <c r="A147" s="2" t="n"/>
      <c r="B147" s="2" t="n"/>
      <c r="C147" s="2" t="n"/>
      <c r="D147" s="10" t="n"/>
      <c r="E147" s="10" t="n"/>
      <c r="F147" s="2" t="n"/>
      <c r="G147" s="2" t="n"/>
      <c r="H147" s="8" t="n"/>
      <c r="I147" s="8">
        <f>IF(H147="","",H147*Configuracion!$G$2)</f>
        <v/>
      </c>
      <c r="J147" s="8">
        <f>IF(H147="","",H147+I147)</f>
        <v/>
      </c>
      <c r="K147" s="8" t="n"/>
      <c r="L147" s="8">
        <f>IF(H147="","",H147*Configuracion!$H$2)</f>
        <v/>
      </c>
      <c r="M147" s="8">
        <f>IF(H147="","",J147-K147-L147)</f>
        <v/>
      </c>
      <c r="N147" s="2" t="n"/>
      <c r="O147" s="2" t="n"/>
      <c r="P147" s="2" t="n"/>
    </row>
    <row r="148">
      <c r="A148" s="2" t="n"/>
      <c r="B148" s="2" t="n"/>
      <c r="C148" s="2" t="n"/>
      <c r="D148" s="10" t="n"/>
      <c r="E148" s="10" t="n"/>
      <c r="F148" s="2" t="n"/>
      <c r="G148" s="2" t="n"/>
      <c r="H148" s="8" t="n"/>
      <c r="I148" s="8">
        <f>IF(H148="","",H148*Configuracion!$G$2)</f>
        <v/>
      </c>
      <c r="J148" s="8">
        <f>IF(H148="","",H148+I148)</f>
        <v/>
      </c>
      <c r="K148" s="8" t="n"/>
      <c r="L148" s="8">
        <f>IF(H148="","",H148*Configuracion!$H$2)</f>
        <v/>
      </c>
      <c r="M148" s="8">
        <f>IF(H148="","",J148-K148-L148)</f>
        <v/>
      </c>
      <c r="N148" s="2" t="n"/>
      <c r="O148" s="2" t="n"/>
      <c r="P148" s="2" t="n"/>
    </row>
    <row r="149">
      <c r="A149" s="2" t="n"/>
      <c r="B149" s="2" t="n"/>
      <c r="C149" s="2" t="n"/>
      <c r="D149" s="10" t="n"/>
      <c r="E149" s="10" t="n"/>
      <c r="F149" s="2" t="n"/>
      <c r="G149" s="2" t="n"/>
      <c r="H149" s="8" t="n"/>
      <c r="I149" s="8">
        <f>IF(H149="","",H149*Configuracion!$G$2)</f>
        <v/>
      </c>
      <c r="J149" s="8">
        <f>IF(H149="","",H149+I149)</f>
        <v/>
      </c>
      <c r="K149" s="8" t="n"/>
      <c r="L149" s="8">
        <f>IF(H149="","",H149*Configuracion!$H$2)</f>
        <v/>
      </c>
      <c r="M149" s="8">
        <f>IF(H149="","",J149-K149-L149)</f>
        <v/>
      </c>
      <c r="N149" s="2" t="n"/>
      <c r="O149" s="2" t="n"/>
      <c r="P149" s="2" t="n"/>
    </row>
    <row r="150">
      <c r="A150" s="2" t="n"/>
      <c r="B150" s="2" t="n"/>
      <c r="C150" s="2" t="n"/>
      <c r="D150" s="10" t="n"/>
      <c r="E150" s="10" t="n"/>
      <c r="F150" s="2" t="n"/>
      <c r="G150" s="2" t="n"/>
      <c r="H150" s="8" t="n"/>
      <c r="I150" s="8">
        <f>IF(H150="","",H150*Configuracion!$G$2)</f>
        <v/>
      </c>
      <c r="J150" s="8">
        <f>IF(H150="","",H150+I150)</f>
        <v/>
      </c>
      <c r="K150" s="8" t="n"/>
      <c r="L150" s="8">
        <f>IF(H150="","",H150*Configuracion!$H$2)</f>
        <v/>
      </c>
      <c r="M150" s="8">
        <f>IF(H150="","",J150-K150-L150)</f>
        <v/>
      </c>
      <c r="N150" s="2" t="n"/>
      <c r="O150" s="2" t="n"/>
      <c r="P150" s="2" t="n"/>
    </row>
    <row r="151">
      <c r="A151" s="2" t="n"/>
      <c r="B151" s="2" t="n"/>
      <c r="C151" s="2" t="n"/>
      <c r="D151" s="10" t="n"/>
      <c r="E151" s="10" t="n"/>
      <c r="F151" s="2" t="n"/>
      <c r="G151" s="2" t="n"/>
      <c r="H151" s="8" t="n"/>
      <c r="I151" s="8">
        <f>IF(H151="","",H151*Configuracion!$G$2)</f>
        <v/>
      </c>
      <c r="J151" s="8">
        <f>IF(H151="","",H151+I151)</f>
        <v/>
      </c>
      <c r="K151" s="8" t="n"/>
      <c r="L151" s="8">
        <f>IF(H151="","",H151*Configuracion!$H$2)</f>
        <v/>
      </c>
      <c r="M151" s="8">
        <f>IF(H151="","",J151-K151-L151)</f>
        <v/>
      </c>
      <c r="N151" s="2" t="n"/>
      <c r="O151" s="2" t="n"/>
      <c r="P151" s="2" t="n"/>
    </row>
    <row r="152">
      <c r="A152" s="2" t="n"/>
      <c r="B152" s="2" t="n"/>
      <c r="C152" s="2" t="n"/>
      <c r="D152" s="10" t="n"/>
      <c r="E152" s="10" t="n"/>
      <c r="F152" s="2" t="n"/>
      <c r="G152" s="2" t="n"/>
      <c r="H152" s="8" t="n"/>
      <c r="I152" s="8">
        <f>IF(H152="","",H152*Configuracion!$G$2)</f>
        <v/>
      </c>
      <c r="J152" s="8">
        <f>IF(H152="","",H152+I152)</f>
        <v/>
      </c>
      <c r="K152" s="8" t="n"/>
      <c r="L152" s="8">
        <f>IF(H152="","",H152*Configuracion!$H$2)</f>
        <v/>
      </c>
      <c r="M152" s="8">
        <f>IF(H152="","",J152-K152-L152)</f>
        <v/>
      </c>
      <c r="N152" s="2" t="n"/>
      <c r="O152" s="2" t="n"/>
      <c r="P152" s="2" t="n"/>
    </row>
    <row r="153">
      <c r="A153" s="2" t="n"/>
      <c r="B153" s="2" t="n"/>
      <c r="C153" s="2" t="n"/>
      <c r="D153" s="10" t="n"/>
      <c r="E153" s="10" t="n"/>
      <c r="F153" s="2" t="n"/>
      <c r="G153" s="2" t="n"/>
      <c r="H153" s="8" t="n"/>
      <c r="I153" s="8">
        <f>IF(H153="","",H153*Configuracion!$G$2)</f>
        <v/>
      </c>
      <c r="J153" s="8">
        <f>IF(H153="","",H153+I153)</f>
        <v/>
      </c>
      <c r="K153" s="8" t="n"/>
      <c r="L153" s="8">
        <f>IF(H153="","",H153*Configuracion!$H$2)</f>
        <v/>
      </c>
      <c r="M153" s="8">
        <f>IF(H153="","",J153-K153-L153)</f>
        <v/>
      </c>
      <c r="N153" s="2" t="n"/>
      <c r="O153" s="2" t="n"/>
      <c r="P153" s="2" t="n"/>
    </row>
    <row r="154">
      <c r="A154" s="2" t="n"/>
      <c r="B154" s="2" t="n"/>
      <c r="C154" s="2" t="n"/>
      <c r="D154" s="10" t="n"/>
      <c r="E154" s="10" t="n"/>
      <c r="F154" s="2" t="n"/>
      <c r="G154" s="2" t="n"/>
      <c r="H154" s="8" t="n"/>
      <c r="I154" s="8">
        <f>IF(H154="","",H154*Configuracion!$G$2)</f>
        <v/>
      </c>
      <c r="J154" s="8">
        <f>IF(H154="","",H154+I154)</f>
        <v/>
      </c>
      <c r="K154" s="8" t="n"/>
      <c r="L154" s="8">
        <f>IF(H154="","",H154*Configuracion!$H$2)</f>
        <v/>
      </c>
      <c r="M154" s="8">
        <f>IF(H154="","",J154-K154-L154)</f>
        <v/>
      </c>
      <c r="N154" s="2" t="n"/>
      <c r="O154" s="2" t="n"/>
      <c r="P154" s="2" t="n"/>
    </row>
    <row r="155">
      <c r="A155" s="2" t="n"/>
      <c r="B155" s="2" t="n"/>
      <c r="C155" s="2" t="n"/>
      <c r="D155" s="10" t="n"/>
      <c r="E155" s="10" t="n"/>
      <c r="F155" s="2" t="n"/>
      <c r="G155" s="2" t="n"/>
      <c r="H155" s="8" t="n"/>
      <c r="I155" s="8">
        <f>IF(H155="","",H155*Configuracion!$G$2)</f>
        <v/>
      </c>
      <c r="J155" s="8">
        <f>IF(H155="","",H155+I155)</f>
        <v/>
      </c>
      <c r="K155" s="8" t="n"/>
      <c r="L155" s="8">
        <f>IF(H155="","",H155*Configuracion!$H$2)</f>
        <v/>
      </c>
      <c r="M155" s="8">
        <f>IF(H155="","",J155-K155-L155)</f>
        <v/>
      </c>
      <c r="N155" s="2" t="n"/>
      <c r="O155" s="2" t="n"/>
      <c r="P155" s="2" t="n"/>
    </row>
    <row r="156">
      <c r="A156" s="2" t="n"/>
      <c r="B156" s="2" t="n"/>
      <c r="C156" s="2" t="n"/>
      <c r="D156" s="10" t="n"/>
      <c r="E156" s="10" t="n"/>
      <c r="F156" s="2" t="n"/>
      <c r="G156" s="2" t="n"/>
      <c r="H156" s="8" t="n"/>
      <c r="I156" s="8">
        <f>IF(H156="","",H156*Configuracion!$G$2)</f>
        <v/>
      </c>
      <c r="J156" s="8">
        <f>IF(H156="","",H156+I156)</f>
        <v/>
      </c>
      <c r="K156" s="8" t="n"/>
      <c r="L156" s="8">
        <f>IF(H156="","",H156*Configuracion!$H$2)</f>
        <v/>
      </c>
      <c r="M156" s="8">
        <f>IF(H156="","",J156-K156-L156)</f>
        <v/>
      </c>
      <c r="N156" s="2" t="n"/>
      <c r="O156" s="2" t="n"/>
      <c r="P156" s="2" t="n"/>
    </row>
    <row r="157">
      <c r="A157" s="2" t="n"/>
      <c r="B157" s="2" t="n"/>
      <c r="C157" s="2" t="n"/>
      <c r="D157" s="10" t="n"/>
      <c r="E157" s="10" t="n"/>
      <c r="F157" s="2" t="n"/>
      <c r="G157" s="2" t="n"/>
      <c r="H157" s="8" t="n"/>
      <c r="I157" s="8">
        <f>IF(H157="","",H157*Configuracion!$G$2)</f>
        <v/>
      </c>
      <c r="J157" s="8">
        <f>IF(H157="","",H157+I157)</f>
        <v/>
      </c>
      <c r="K157" s="8" t="n"/>
      <c r="L157" s="8">
        <f>IF(H157="","",H157*Configuracion!$H$2)</f>
        <v/>
      </c>
      <c r="M157" s="8">
        <f>IF(H157="","",J157-K157-L157)</f>
        <v/>
      </c>
      <c r="N157" s="2" t="n"/>
      <c r="O157" s="2" t="n"/>
      <c r="P157" s="2" t="n"/>
    </row>
    <row r="158">
      <c r="A158" s="2" t="n"/>
      <c r="B158" s="2" t="n"/>
      <c r="C158" s="2" t="n"/>
      <c r="D158" s="10" t="n"/>
      <c r="E158" s="10" t="n"/>
      <c r="F158" s="2" t="n"/>
      <c r="G158" s="2" t="n"/>
      <c r="H158" s="8" t="n"/>
      <c r="I158" s="8">
        <f>IF(H158="","",H158*Configuracion!$G$2)</f>
        <v/>
      </c>
      <c r="J158" s="8">
        <f>IF(H158="","",H158+I158)</f>
        <v/>
      </c>
      <c r="K158" s="8" t="n"/>
      <c r="L158" s="8">
        <f>IF(H158="","",H158*Configuracion!$H$2)</f>
        <v/>
      </c>
      <c r="M158" s="8">
        <f>IF(H158="","",J158-K158-L158)</f>
        <v/>
      </c>
      <c r="N158" s="2" t="n"/>
      <c r="O158" s="2" t="n"/>
      <c r="P158" s="2" t="n"/>
    </row>
    <row r="159">
      <c r="A159" s="2" t="n"/>
      <c r="B159" s="2" t="n"/>
      <c r="C159" s="2" t="n"/>
      <c r="D159" s="10" t="n"/>
      <c r="E159" s="10" t="n"/>
      <c r="F159" s="2" t="n"/>
      <c r="G159" s="2" t="n"/>
      <c r="H159" s="8" t="n"/>
      <c r="I159" s="8">
        <f>IF(H159="","",H159*Configuracion!$G$2)</f>
        <v/>
      </c>
      <c r="J159" s="8">
        <f>IF(H159="","",H159+I159)</f>
        <v/>
      </c>
      <c r="K159" s="8" t="n"/>
      <c r="L159" s="8">
        <f>IF(H159="","",H159*Configuracion!$H$2)</f>
        <v/>
      </c>
      <c r="M159" s="8">
        <f>IF(H159="","",J159-K159-L159)</f>
        <v/>
      </c>
      <c r="N159" s="2" t="n"/>
      <c r="O159" s="2" t="n"/>
      <c r="P159" s="2" t="n"/>
    </row>
    <row r="160">
      <c r="A160" s="2" t="n"/>
      <c r="B160" s="2" t="n"/>
      <c r="C160" s="2" t="n"/>
      <c r="D160" s="10" t="n"/>
      <c r="E160" s="10" t="n"/>
      <c r="F160" s="2" t="n"/>
      <c r="G160" s="2" t="n"/>
      <c r="H160" s="8" t="n"/>
      <c r="I160" s="8">
        <f>IF(H160="","",H160*Configuracion!$G$2)</f>
        <v/>
      </c>
      <c r="J160" s="8">
        <f>IF(H160="","",H160+I160)</f>
        <v/>
      </c>
      <c r="K160" s="8" t="n"/>
      <c r="L160" s="8">
        <f>IF(H160="","",H160*Configuracion!$H$2)</f>
        <v/>
      </c>
      <c r="M160" s="8">
        <f>IF(H160="","",J160-K160-L160)</f>
        <v/>
      </c>
      <c r="N160" s="2" t="n"/>
      <c r="O160" s="2" t="n"/>
      <c r="P160" s="2" t="n"/>
    </row>
    <row r="161">
      <c r="A161" s="2" t="n"/>
      <c r="B161" s="2" t="n"/>
      <c r="C161" s="2" t="n"/>
      <c r="D161" s="10" t="n"/>
      <c r="E161" s="10" t="n"/>
      <c r="F161" s="2" t="n"/>
      <c r="G161" s="2" t="n"/>
      <c r="H161" s="8" t="n"/>
      <c r="I161" s="8">
        <f>IF(H161="","",H161*Configuracion!$G$2)</f>
        <v/>
      </c>
      <c r="J161" s="8">
        <f>IF(H161="","",H161+I161)</f>
        <v/>
      </c>
      <c r="K161" s="8" t="n"/>
      <c r="L161" s="8">
        <f>IF(H161="","",H161*Configuracion!$H$2)</f>
        <v/>
      </c>
      <c r="M161" s="8">
        <f>IF(H161="","",J161-K161-L161)</f>
        <v/>
      </c>
      <c r="N161" s="2" t="n"/>
      <c r="O161" s="2" t="n"/>
      <c r="P161" s="2" t="n"/>
    </row>
    <row r="162">
      <c r="A162" s="2" t="n"/>
      <c r="B162" s="2" t="n"/>
      <c r="C162" s="2" t="n"/>
      <c r="D162" s="10" t="n"/>
      <c r="E162" s="10" t="n"/>
      <c r="F162" s="2" t="n"/>
      <c r="G162" s="2" t="n"/>
      <c r="H162" s="8" t="n"/>
      <c r="I162" s="8">
        <f>IF(H162="","",H162*Configuracion!$G$2)</f>
        <v/>
      </c>
      <c r="J162" s="8">
        <f>IF(H162="","",H162+I162)</f>
        <v/>
      </c>
      <c r="K162" s="8" t="n"/>
      <c r="L162" s="8">
        <f>IF(H162="","",H162*Configuracion!$H$2)</f>
        <v/>
      </c>
      <c r="M162" s="8">
        <f>IF(H162="","",J162-K162-L162)</f>
        <v/>
      </c>
      <c r="N162" s="2" t="n"/>
      <c r="O162" s="2" t="n"/>
      <c r="P162" s="2" t="n"/>
    </row>
    <row r="163">
      <c r="A163" s="2" t="n"/>
      <c r="B163" s="2" t="n"/>
      <c r="C163" s="2" t="n"/>
      <c r="D163" s="10" t="n"/>
      <c r="E163" s="10" t="n"/>
      <c r="F163" s="2" t="n"/>
      <c r="G163" s="2" t="n"/>
      <c r="H163" s="8" t="n"/>
      <c r="I163" s="8">
        <f>IF(H163="","",H163*Configuracion!$G$2)</f>
        <v/>
      </c>
      <c r="J163" s="8">
        <f>IF(H163="","",H163+I163)</f>
        <v/>
      </c>
      <c r="K163" s="8" t="n"/>
      <c r="L163" s="8">
        <f>IF(H163="","",H163*Configuracion!$H$2)</f>
        <v/>
      </c>
      <c r="M163" s="8">
        <f>IF(H163="","",J163-K163-L163)</f>
        <v/>
      </c>
      <c r="N163" s="2" t="n"/>
      <c r="O163" s="2" t="n"/>
      <c r="P163" s="2" t="n"/>
    </row>
    <row r="164">
      <c r="A164" s="2" t="n"/>
      <c r="B164" s="2" t="n"/>
      <c r="C164" s="2" t="n"/>
      <c r="D164" s="10" t="n"/>
      <c r="E164" s="10" t="n"/>
      <c r="F164" s="2" t="n"/>
      <c r="G164" s="2" t="n"/>
      <c r="H164" s="8" t="n"/>
      <c r="I164" s="8">
        <f>IF(H164="","",H164*Configuracion!$G$2)</f>
        <v/>
      </c>
      <c r="J164" s="8">
        <f>IF(H164="","",H164+I164)</f>
        <v/>
      </c>
      <c r="K164" s="8" t="n"/>
      <c r="L164" s="8">
        <f>IF(H164="","",H164*Configuracion!$H$2)</f>
        <v/>
      </c>
      <c r="M164" s="8">
        <f>IF(H164="","",J164-K164-L164)</f>
        <v/>
      </c>
      <c r="N164" s="2" t="n"/>
      <c r="O164" s="2" t="n"/>
      <c r="P164" s="2" t="n"/>
    </row>
    <row r="165">
      <c r="A165" s="2" t="n"/>
      <c r="B165" s="2" t="n"/>
      <c r="C165" s="2" t="n"/>
      <c r="D165" s="10" t="n"/>
      <c r="E165" s="10" t="n"/>
      <c r="F165" s="2" t="n"/>
      <c r="G165" s="2" t="n"/>
      <c r="H165" s="8" t="n"/>
      <c r="I165" s="8">
        <f>IF(H165="","",H165*Configuracion!$G$2)</f>
        <v/>
      </c>
      <c r="J165" s="8">
        <f>IF(H165="","",H165+I165)</f>
        <v/>
      </c>
      <c r="K165" s="8" t="n"/>
      <c r="L165" s="8">
        <f>IF(H165="","",H165*Configuracion!$H$2)</f>
        <v/>
      </c>
      <c r="M165" s="8">
        <f>IF(H165="","",J165-K165-L165)</f>
        <v/>
      </c>
      <c r="N165" s="2" t="n"/>
      <c r="O165" s="2" t="n"/>
      <c r="P165" s="2" t="n"/>
    </row>
    <row r="166">
      <c r="A166" s="2" t="n"/>
      <c r="B166" s="2" t="n"/>
      <c r="C166" s="2" t="n"/>
      <c r="D166" s="10" t="n"/>
      <c r="E166" s="10" t="n"/>
      <c r="F166" s="2" t="n"/>
      <c r="G166" s="2" t="n"/>
      <c r="H166" s="8" t="n"/>
      <c r="I166" s="8">
        <f>IF(H166="","",H166*Configuracion!$G$2)</f>
        <v/>
      </c>
      <c r="J166" s="8">
        <f>IF(H166="","",H166+I166)</f>
        <v/>
      </c>
      <c r="K166" s="8" t="n"/>
      <c r="L166" s="8">
        <f>IF(H166="","",H166*Configuracion!$H$2)</f>
        <v/>
      </c>
      <c r="M166" s="8">
        <f>IF(H166="","",J166-K166-L166)</f>
        <v/>
      </c>
      <c r="N166" s="2" t="n"/>
      <c r="O166" s="2" t="n"/>
      <c r="P166" s="2" t="n"/>
    </row>
    <row r="167">
      <c r="A167" s="2" t="n"/>
      <c r="B167" s="2" t="n"/>
      <c r="C167" s="2" t="n"/>
      <c r="D167" s="10" t="n"/>
      <c r="E167" s="10" t="n"/>
      <c r="F167" s="2" t="n"/>
      <c r="G167" s="2" t="n"/>
      <c r="H167" s="8" t="n"/>
      <c r="I167" s="8">
        <f>IF(H167="","",H167*Configuracion!$G$2)</f>
        <v/>
      </c>
      <c r="J167" s="8">
        <f>IF(H167="","",H167+I167)</f>
        <v/>
      </c>
      <c r="K167" s="8" t="n"/>
      <c r="L167" s="8">
        <f>IF(H167="","",H167*Configuracion!$H$2)</f>
        <v/>
      </c>
      <c r="M167" s="8">
        <f>IF(H167="","",J167-K167-L167)</f>
        <v/>
      </c>
      <c r="N167" s="2" t="n"/>
      <c r="O167" s="2" t="n"/>
      <c r="P167" s="2" t="n"/>
    </row>
    <row r="168">
      <c r="A168" s="2" t="n"/>
      <c r="B168" s="2" t="n"/>
      <c r="C168" s="2" t="n"/>
      <c r="D168" s="10" t="n"/>
      <c r="E168" s="10" t="n"/>
      <c r="F168" s="2" t="n"/>
      <c r="G168" s="2" t="n"/>
      <c r="H168" s="8" t="n"/>
      <c r="I168" s="8">
        <f>IF(H168="","",H168*Configuracion!$G$2)</f>
        <v/>
      </c>
      <c r="J168" s="8">
        <f>IF(H168="","",H168+I168)</f>
        <v/>
      </c>
      <c r="K168" s="8" t="n"/>
      <c r="L168" s="8">
        <f>IF(H168="","",H168*Configuracion!$H$2)</f>
        <v/>
      </c>
      <c r="M168" s="8">
        <f>IF(H168="","",J168-K168-L168)</f>
        <v/>
      </c>
      <c r="N168" s="2" t="n"/>
      <c r="O168" s="2" t="n"/>
      <c r="P168" s="2" t="n"/>
    </row>
    <row r="169">
      <c r="A169" s="2" t="n"/>
      <c r="B169" s="2" t="n"/>
      <c r="C169" s="2" t="n"/>
      <c r="D169" s="10" t="n"/>
      <c r="E169" s="10" t="n"/>
      <c r="F169" s="2" t="n"/>
      <c r="G169" s="2" t="n"/>
      <c r="H169" s="8" t="n"/>
      <c r="I169" s="8">
        <f>IF(H169="","",H169*Configuracion!$G$2)</f>
        <v/>
      </c>
      <c r="J169" s="8">
        <f>IF(H169="","",H169+I169)</f>
        <v/>
      </c>
      <c r="K169" s="8" t="n"/>
      <c r="L169" s="8">
        <f>IF(H169="","",H169*Configuracion!$H$2)</f>
        <v/>
      </c>
      <c r="M169" s="8">
        <f>IF(H169="","",J169-K169-L169)</f>
        <v/>
      </c>
      <c r="N169" s="2" t="n"/>
      <c r="O169" s="2" t="n"/>
      <c r="P169" s="2" t="n"/>
    </row>
    <row r="170">
      <c r="A170" s="2" t="n"/>
      <c r="B170" s="2" t="n"/>
      <c r="C170" s="2" t="n"/>
      <c r="D170" s="10" t="n"/>
      <c r="E170" s="10" t="n"/>
      <c r="F170" s="2" t="n"/>
      <c r="G170" s="2" t="n"/>
      <c r="H170" s="8" t="n"/>
      <c r="I170" s="8">
        <f>IF(H170="","",H170*Configuracion!$G$2)</f>
        <v/>
      </c>
      <c r="J170" s="8">
        <f>IF(H170="","",H170+I170)</f>
        <v/>
      </c>
      <c r="K170" s="8" t="n"/>
      <c r="L170" s="8">
        <f>IF(H170="","",H170*Configuracion!$H$2)</f>
        <v/>
      </c>
      <c r="M170" s="8">
        <f>IF(H170="","",J170-K170-L170)</f>
        <v/>
      </c>
      <c r="N170" s="2" t="n"/>
      <c r="O170" s="2" t="n"/>
      <c r="P170" s="2" t="n"/>
    </row>
    <row r="171">
      <c r="A171" s="2" t="n"/>
      <c r="B171" s="2" t="n"/>
      <c r="C171" s="2" t="n"/>
      <c r="D171" s="10" t="n"/>
      <c r="E171" s="10" t="n"/>
      <c r="F171" s="2" t="n"/>
      <c r="G171" s="2" t="n"/>
      <c r="H171" s="8" t="n"/>
      <c r="I171" s="8">
        <f>IF(H171="","",H171*Configuracion!$G$2)</f>
        <v/>
      </c>
      <c r="J171" s="8">
        <f>IF(H171="","",H171+I171)</f>
        <v/>
      </c>
      <c r="K171" s="8" t="n"/>
      <c r="L171" s="8">
        <f>IF(H171="","",H171*Configuracion!$H$2)</f>
        <v/>
      </c>
      <c r="M171" s="8">
        <f>IF(H171="","",J171-K171-L171)</f>
        <v/>
      </c>
      <c r="N171" s="2" t="n"/>
      <c r="O171" s="2" t="n"/>
      <c r="P171" s="2" t="n"/>
    </row>
    <row r="172">
      <c r="A172" s="2" t="n"/>
      <c r="B172" s="2" t="n"/>
      <c r="C172" s="2" t="n"/>
      <c r="D172" s="10" t="n"/>
      <c r="E172" s="10" t="n"/>
      <c r="F172" s="2" t="n"/>
      <c r="G172" s="2" t="n"/>
      <c r="H172" s="8" t="n"/>
      <c r="I172" s="8">
        <f>IF(H172="","",H172*Configuracion!$G$2)</f>
        <v/>
      </c>
      <c r="J172" s="8">
        <f>IF(H172="","",H172+I172)</f>
        <v/>
      </c>
      <c r="K172" s="8" t="n"/>
      <c r="L172" s="8">
        <f>IF(H172="","",H172*Configuracion!$H$2)</f>
        <v/>
      </c>
      <c r="M172" s="8">
        <f>IF(H172="","",J172-K172-L172)</f>
        <v/>
      </c>
      <c r="N172" s="2" t="n"/>
      <c r="O172" s="2" t="n"/>
      <c r="P172" s="2" t="n"/>
    </row>
    <row r="173">
      <c r="A173" s="2" t="n"/>
      <c r="B173" s="2" t="n"/>
      <c r="C173" s="2" t="n"/>
      <c r="D173" s="10" t="n"/>
      <c r="E173" s="10" t="n"/>
      <c r="F173" s="2" t="n"/>
      <c r="G173" s="2" t="n"/>
      <c r="H173" s="8" t="n"/>
      <c r="I173" s="8">
        <f>IF(H173="","",H173*Configuracion!$G$2)</f>
        <v/>
      </c>
      <c r="J173" s="8">
        <f>IF(H173="","",H173+I173)</f>
        <v/>
      </c>
      <c r="K173" s="8" t="n"/>
      <c r="L173" s="8">
        <f>IF(H173="","",H173*Configuracion!$H$2)</f>
        <v/>
      </c>
      <c r="M173" s="8">
        <f>IF(H173="","",J173-K173-L173)</f>
        <v/>
      </c>
      <c r="N173" s="2" t="n"/>
      <c r="O173" s="2" t="n"/>
      <c r="P173" s="2" t="n"/>
    </row>
    <row r="174">
      <c r="A174" s="2" t="n"/>
      <c r="B174" s="2" t="n"/>
      <c r="C174" s="2" t="n"/>
      <c r="D174" s="10" t="n"/>
      <c r="E174" s="10" t="n"/>
      <c r="F174" s="2" t="n"/>
      <c r="G174" s="2" t="n"/>
      <c r="H174" s="8" t="n"/>
      <c r="I174" s="8">
        <f>IF(H174="","",H174*Configuracion!$G$2)</f>
        <v/>
      </c>
      <c r="J174" s="8">
        <f>IF(H174="","",H174+I174)</f>
        <v/>
      </c>
      <c r="K174" s="8" t="n"/>
      <c r="L174" s="8">
        <f>IF(H174="","",H174*Configuracion!$H$2)</f>
        <v/>
      </c>
      <c r="M174" s="8">
        <f>IF(H174="","",J174-K174-L174)</f>
        <v/>
      </c>
      <c r="N174" s="2" t="n"/>
      <c r="O174" s="2" t="n"/>
      <c r="P174" s="2" t="n"/>
    </row>
    <row r="175">
      <c r="A175" s="2" t="n"/>
      <c r="B175" s="2" t="n"/>
      <c r="C175" s="2" t="n"/>
      <c r="D175" s="10" t="n"/>
      <c r="E175" s="10" t="n"/>
      <c r="F175" s="2" t="n"/>
      <c r="G175" s="2" t="n"/>
      <c r="H175" s="8" t="n"/>
      <c r="I175" s="8">
        <f>IF(H175="","",H175*Configuracion!$G$2)</f>
        <v/>
      </c>
      <c r="J175" s="8">
        <f>IF(H175="","",H175+I175)</f>
        <v/>
      </c>
      <c r="K175" s="8" t="n"/>
      <c r="L175" s="8">
        <f>IF(H175="","",H175*Configuracion!$H$2)</f>
        <v/>
      </c>
      <c r="M175" s="8">
        <f>IF(H175="","",J175-K175-L175)</f>
        <v/>
      </c>
      <c r="N175" s="2" t="n"/>
      <c r="O175" s="2" t="n"/>
      <c r="P175" s="2" t="n"/>
    </row>
    <row r="176">
      <c r="A176" s="2" t="n"/>
      <c r="B176" s="2" t="n"/>
      <c r="C176" s="2" t="n"/>
      <c r="D176" s="10" t="n"/>
      <c r="E176" s="10" t="n"/>
      <c r="F176" s="2" t="n"/>
      <c r="G176" s="2" t="n"/>
      <c r="H176" s="8" t="n"/>
      <c r="I176" s="8">
        <f>IF(H176="","",H176*Configuracion!$G$2)</f>
        <v/>
      </c>
      <c r="J176" s="8">
        <f>IF(H176="","",H176+I176)</f>
        <v/>
      </c>
      <c r="K176" s="8" t="n"/>
      <c r="L176" s="8">
        <f>IF(H176="","",H176*Configuracion!$H$2)</f>
        <v/>
      </c>
      <c r="M176" s="8">
        <f>IF(H176="","",J176-K176-L176)</f>
        <v/>
      </c>
      <c r="N176" s="2" t="n"/>
      <c r="O176" s="2" t="n"/>
      <c r="P176" s="2" t="n"/>
    </row>
    <row r="177">
      <c r="A177" s="2" t="n"/>
      <c r="B177" s="2" t="n"/>
      <c r="C177" s="2" t="n"/>
      <c r="D177" s="10" t="n"/>
      <c r="E177" s="10" t="n"/>
      <c r="F177" s="2" t="n"/>
      <c r="G177" s="2" t="n"/>
      <c r="H177" s="8" t="n"/>
      <c r="I177" s="8">
        <f>IF(H177="","",H177*Configuracion!$G$2)</f>
        <v/>
      </c>
      <c r="J177" s="8">
        <f>IF(H177="","",H177+I177)</f>
        <v/>
      </c>
      <c r="K177" s="8" t="n"/>
      <c r="L177" s="8">
        <f>IF(H177="","",H177*Configuracion!$H$2)</f>
        <v/>
      </c>
      <c r="M177" s="8">
        <f>IF(H177="","",J177-K177-L177)</f>
        <v/>
      </c>
      <c r="N177" s="2" t="n"/>
      <c r="O177" s="2" t="n"/>
      <c r="P177" s="2" t="n"/>
    </row>
    <row r="178">
      <c r="A178" s="2" t="n"/>
      <c r="B178" s="2" t="n"/>
      <c r="C178" s="2" t="n"/>
      <c r="D178" s="10" t="n"/>
      <c r="E178" s="10" t="n"/>
      <c r="F178" s="2" t="n"/>
      <c r="G178" s="2" t="n"/>
      <c r="H178" s="8" t="n"/>
      <c r="I178" s="8">
        <f>IF(H178="","",H178*Configuracion!$G$2)</f>
        <v/>
      </c>
      <c r="J178" s="8">
        <f>IF(H178="","",H178+I178)</f>
        <v/>
      </c>
      <c r="K178" s="8" t="n"/>
      <c r="L178" s="8">
        <f>IF(H178="","",H178*Configuracion!$H$2)</f>
        <v/>
      </c>
      <c r="M178" s="8">
        <f>IF(H178="","",J178-K178-L178)</f>
        <v/>
      </c>
      <c r="N178" s="2" t="n"/>
      <c r="O178" s="2" t="n"/>
      <c r="P178" s="2" t="n"/>
    </row>
    <row r="179">
      <c r="A179" s="2" t="n"/>
      <c r="B179" s="2" t="n"/>
      <c r="C179" s="2" t="n"/>
      <c r="D179" s="10" t="n"/>
      <c r="E179" s="10" t="n"/>
      <c r="F179" s="2" t="n"/>
      <c r="G179" s="2" t="n"/>
      <c r="H179" s="8" t="n"/>
      <c r="I179" s="8">
        <f>IF(H179="","",H179*Configuracion!$G$2)</f>
        <v/>
      </c>
      <c r="J179" s="8">
        <f>IF(H179="","",H179+I179)</f>
        <v/>
      </c>
      <c r="K179" s="8" t="n"/>
      <c r="L179" s="8">
        <f>IF(H179="","",H179*Configuracion!$H$2)</f>
        <v/>
      </c>
      <c r="M179" s="8">
        <f>IF(H179="","",J179-K179-L179)</f>
        <v/>
      </c>
      <c r="N179" s="2" t="n"/>
      <c r="O179" s="2" t="n"/>
      <c r="P179" s="2" t="n"/>
    </row>
    <row r="180">
      <c r="A180" s="2" t="n"/>
      <c r="B180" s="2" t="n"/>
      <c r="C180" s="2" t="n"/>
      <c r="D180" s="10" t="n"/>
      <c r="E180" s="10" t="n"/>
      <c r="F180" s="2" t="n"/>
      <c r="G180" s="2" t="n"/>
      <c r="H180" s="8" t="n"/>
      <c r="I180" s="8">
        <f>IF(H180="","",H180*Configuracion!$G$2)</f>
        <v/>
      </c>
      <c r="J180" s="8">
        <f>IF(H180="","",H180+I180)</f>
        <v/>
      </c>
      <c r="K180" s="8" t="n"/>
      <c r="L180" s="8">
        <f>IF(H180="","",H180*Configuracion!$H$2)</f>
        <v/>
      </c>
      <c r="M180" s="8">
        <f>IF(H180="","",J180-K180-L180)</f>
        <v/>
      </c>
      <c r="N180" s="2" t="n"/>
      <c r="O180" s="2" t="n"/>
      <c r="P180" s="2" t="n"/>
    </row>
    <row r="181">
      <c r="A181" s="2" t="n"/>
      <c r="B181" s="2" t="n"/>
      <c r="C181" s="2" t="n"/>
      <c r="D181" s="10" t="n"/>
      <c r="E181" s="10" t="n"/>
      <c r="F181" s="2" t="n"/>
      <c r="G181" s="2" t="n"/>
      <c r="H181" s="8" t="n"/>
      <c r="I181" s="8">
        <f>IF(H181="","",H181*Configuracion!$G$2)</f>
        <v/>
      </c>
      <c r="J181" s="8">
        <f>IF(H181="","",H181+I181)</f>
        <v/>
      </c>
      <c r="K181" s="8" t="n"/>
      <c r="L181" s="8">
        <f>IF(H181="","",H181*Configuracion!$H$2)</f>
        <v/>
      </c>
      <c r="M181" s="8">
        <f>IF(H181="","",J181-K181-L181)</f>
        <v/>
      </c>
      <c r="N181" s="2" t="n"/>
      <c r="O181" s="2" t="n"/>
      <c r="P181" s="2" t="n"/>
    </row>
    <row r="182">
      <c r="A182" s="2" t="n"/>
      <c r="B182" s="2" t="n"/>
      <c r="C182" s="2" t="n"/>
      <c r="D182" s="10" t="n"/>
      <c r="E182" s="10" t="n"/>
      <c r="F182" s="2" t="n"/>
      <c r="G182" s="2" t="n"/>
      <c r="H182" s="8" t="n"/>
      <c r="I182" s="8">
        <f>IF(H182="","",H182*Configuracion!$G$2)</f>
        <v/>
      </c>
      <c r="J182" s="8">
        <f>IF(H182="","",H182+I182)</f>
        <v/>
      </c>
      <c r="K182" s="8" t="n"/>
      <c r="L182" s="8">
        <f>IF(H182="","",H182*Configuracion!$H$2)</f>
        <v/>
      </c>
      <c r="M182" s="8">
        <f>IF(H182="","",J182-K182-L182)</f>
        <v/>
      </c>
      <c r="N182" s="2" t="n"/>
      <c r="O182" s="2" t="n"/>
      <c r="P182" s="2" t="n"/>
    </row>
    <row r="183">
      <c r="A183" s="2" t="n"/>
      <c r="B183" s="2" t="n"/>
      <c r="C183" s="2" t="n"/>
      <c r="D183" s="10" t="n"/>
      <c r="E183" s="10" t="n"/>
      <c r="F183" s="2" t="n"/>
      <c r="G183" s="2" t="n"/>
      <c r="H183" s="8" t="n"/>
      <c r="I183" s="8">
        <f>IF(H183="","",H183*Configuracion!$G$2)</f>
        <v/>
      </c>
      <c r="J183" s="8">
        <f>IF(H183="","",H183+I183)</f>
        <v/>
      </c>
      <c r="K183" s="8" t="n"/>
      <c r="L183" s="8">
        <f>IF(H183="","",H183*Configuracion!$H$2)</f>
        <v/>
      </c>
      <c r="M183" s="8">
        <f>IF(H183="","",J183-K183-L183)</f>
        <v/>
      </c>
      <c r="N183" s="2" t="n"/>
      <c r="O183" s="2" t="n"/>
      <c r="P183" s="2" t="n"/>
    </row>
    <row r="184">
      <c r="A184" s="2" t="n"/>
      <c r="B184" s="2" t="n"/>
      <c r="C184" s="2" t="n"/>
      <c r="D184" s="10" t="n"/>
      <c r="E184" s="10" t="n"/>
      <c r="F184" s="2" t="n"/>
      <c r="G184" s="2" t="n"/>
      <c r="H184" s="8" t="n"/>
      <c r="I184" s="8">
        <f>IF(H184="","",H184*Configuracion!$G$2)</f>
        <v/>
      </c>
      <c r="J184" s="8">
        <f>IF(H184="","",H184+I184)</f>
        <v/>
      </c>
      <c r="K184" s="8" t="n"/>
      <c r="L184" s="8">
        <f>IF(H184="","",H184*Configuracion!$H$2)</f>
        <v/>
      </c>
      <c r="M184" s="8">
        <f>IF(H184="","",J184-K184-L184)</f>
        <v/>
      </c>
      <c r="N184" s="2" t="n"/>
      <c r="O184" s="2" t="n"/>
      <c r="P184" s="2" t="n"/>
    </row>
    <row r="185">
      <c r="A185" s="2" t="n"/>
      <c r="B185" s="2" t="n"/>
      <c r="C185" s="2" t="n"/>
      <c r="D185" s="10" t="n"/>
      <c r="E185" s="10" t="n"/>
      <c r="F185" s="2" t="n"/>
      <c r="G185" s="2" t="n"/>
      <c r="H185" s="8" t="n"/>
      <c r="I185" s="8">
        <f>IF(H185="","",H185*Configuracion!$G$2)</f>
        <v/>
      </c>
      <c r="J185" s="8">
        <f>IF(H185="","",H185+I185)</f>
        <v/>
      </c>
      <c r="K185" s="8" t="n"/>
      <c r="L185" s="8">
        <f>IF(H185="","",H185*Configuracion!$H$2)</f>
        <v/>
      </c>
      <c r="M185" s="8">
        <f>IF(H185="","",J185-K185-L185)</f>
        <v/>
      </c>
      <c r="N185" s="2" t="n"/>
      <c r="O185" s="2" t="n"/>
      <c r="P185" s="2" t="n"/>
    </row>
    <row r="186">
      <c r="A186" s="2" t="n"/>
      <c r="B186" s="2" t="n"/>
      <c r="C186" s="2" t="n"/>
      <c r="D186" s="10" t="n"/>
      <c r="E186" s="10" t="n"/>
      <c r="F186" s="2" t="n"/>
      <c r="G186" s="2" t="n"/>
      <c r="H186" s="8" t="n"/>
      <c r="I186" s="8">
        <f>IF(H186="","",H186*Configuracion!$G$2)</f>
        <v/>
      </c>
      <c r="J186" s="8">
        <f>IF(H186="","",H186+I186)</f>
        <v/>
      </c>
      <c r="K186" s="8" t="n"/>
      <c r="L186" s="8">
        <f>IF(H186="","",H186*Configuracion!$H$2)</f>
        <v/>
      </c>
      <c r="M186" s="8">
        <f>IF(H186="","",J186-K186-L186)</f>
        <v/>
      </c>
      <c r="N186" s="2" t="n"/>
      <c r="O186" s="2" t="n"/>
      <c r="P186" s="2" t="n"/>
    </row>
    <row r="187">
      <c r="A187" s="2" t="n"/>
      <c r="B187" s="2" t="n"/>
      <c r="C187" s="2" t="n"/>
      <c r="D187" s="10" t="n"/>
      <c r="E187" s="10" t="n"/>
      <c r="F187" s="2" t="n"/>
      <c r="G187" s="2" t="n"/>
      <c r="H187" s="8" t="n"/>
      <c r="I187" s="8">
        <f>IF(H187="","",H187*Configuracion!$G$2)</f>
        <v/>
      </c>
      <c r="J187" s="8">
        <f>IF(H187="","",H187+I187)</f>
        <v/>
      </c>
      <c r="K187" s="8" t="n"/>
      <c r="L187" s="8">
        <f>IF(H187="","",H187*Configuracion!$H$2)</f>
        <v/>
      </c>
      <c r="M187" s="8">
        <f>IF(H187="","",J187-K187-L187)</f>
        <v/>
      </c>
      <c r="N187" s="2" t="n"/>
      <c r="O187" s="2" t="n"/>
      <c r="P187" s="2" t="n"/>
    </row>
    <row r="188">
      <c r="A188" s="2" t="n"/>
      <c r="B188" s="2" t="n"/>
      <c r="C188" s="2" t="n"/>
      <c r="D188" s="10" t="n"/>
      <c r="E188" s="10" t="n"/>
      <c r="F188" s="2" t="n"/>
      <c r="G188" s="2" t="n"/>
      <c r="H188" s="8" t="n"/>
      <c r="I188" s="8">
        <f>IF(H188="","",H188*Configuracion!$G$2)</f>
        <v/>
      </c>
      <c r="J188" s="8">
        <f>IF(H188="","",H188+I188)</f>
        <v/>
      </c>
      <c r="K188" s="8" t="n"/>
      <c r="L188" s="8">
        <f>IF(H188="","",H188*Configuracion!$H$2)</f>
        <v/>
      </c>
      <c r="M188" s="8">
        <f>IF(H188="","",J188-K188-L188)</f>
        <v/>
      </c>
      <c r="N188" s="2" t="n"/>
      <c r="O188" s="2" t="n"/>
      <c r="P188" s="2" t="n"/>
    </row>
    <row r="189">
      <c r="A189" s="2" t="n"/>
      <c r="B189" s="2" t="n"/>
      <c r="C189" s="2" t="n"/>
      <c r="D189" s="10" t="n"/>
      <c r="E189" s="10" t="n"/>
      <c r="F189" s="2" t="n"/>
      <c r="G189" s="2" t="n"/>
      <c r="H189" s="8" t="n"/>
      <c r="I189" s="8">
        <f>IF(H189="","",H189*Configuracion!$G$2)</f>
        <v/>
      </c>
      <c r="J189" s="8">
        <f>IF(H189="","",H189+I189)</f>
        <v/>
      </c>
      <c r="K189" s="8" t="n"/>
      <c r="L189" s="8">
        <f>IF(H189="","",H189*Configuracion!$H$2)</f>
        <v/>
      </c>
      <c r="M189" s="8">
        <f>IF(H189="","",J189-K189-L189)</f>
        <v/>
      </c>
      <c r="N189" s="2" t="n"/>
      <c r="O189" s="2" t="n"/>
      <c r="P189" s="2" t="n"/>
    </row>
    <row r="190">
      <c r="A190" s="2" t="n"/>
      <c r="B190" s="2" t="n"/>
      <c r="C190" s="2" t="n"/>
      <c r="D190" s="10" t="n"/>
      <c r="E190" s="10" t="n"/>
      <c r="F190" s="2" t="n"/>
      <c r="G190" s="2" t="n"/>
      <c r="H190" s="8" t="n"/>
      <c r="I190" s="8">
        <f>IF(H190="","",H190*Configuracion!$G$2)</f>
        <v/>
      </c>
      <c r="J190" s="8">
        <f>IF(H190="","",H190+I190)</f>
        <v/>
      </c>
      <c r="K190" s="8" t="n"/>
      <c r="L190" s="8">
        <f>IF(H190="","",H190*Configuracion!$H$2)</f>
        <v/>
      </c>
      <c r="M190" s="8">
        <f>IF(H190="","",J190-K190-L190)</f>
        <v/>
      </c>
      <c r="N190" s="2" t="n"/>
      <c r="O190" s="2" t="n"/>
      <c r="P190" s="2" t="n"/>
    </row>
    <row r="191">
      <c r="A191" s="2" t="n"/>
      <c r="B191" s="2" t="n"/>
      <c r="C191" s="2" t="n"/>
      <c r="D191" s="10" t="n"/>
      <c r="E191" s="10" t="n"/>
      <c r="F191" s="2" t="n"/>
      <c r="G191" s="2" t="n"/>
      <c r="H191" s="8" t="n"/>
      <c r="I191" s="8">
        <f>IF(H191="","",H191*Configuracion!$G$2)</f>
        <v/>
      </c>
      <c r="J191" s="8">
        <f>IF(H191="","",H191+I191)</f>
        <v/>
      </c>
      <c r="K191" s="8" t="n"/>
      <c r="L191" s="8">
        <f>IF(H191="","",H191*Configuracion!$H$2)</f>
        <v/>
      </c>
      <c r="M191" s="8">
        <f>IF(H191="","",J191-K191-L191)</f>
        <v/>
      </c>
      <c r="N191" s="2" t="n"/>
      <c r="O191" s="2" t="n"/>
      <c r="P191" s="2" t="n"/>
    </row>
    <row r="192">
      <c r="A192" s="2" t="n"/>
      <c r="B192" s="2" t="n"/>
      <c r="C192" s="2" t="n"/>
      <c r="D192" s="10" t="n"/>
      <c r="E192" s="10" t="n"/>
      <c r="F192" s="2" t="n"/>
      <c r="G192" s="2" t="n"/>
      <c r="H192" s="8" t="n"/>
      <c r="I192" s="8">
        <f>IF(H192="","",H192*Configuracion!$G$2)</f>
        <v/>
      </c>
      <c r="J192" s="8">
        <f>IF(H192="","",H192+I192)</f>
        <v/>
      </c>
      <c r="K192" s="8" t="n"/>
      <c r="L192" s="8">
        <f>IF(H192="","",H192*Configuracion!$H$2)</f>
        <v/>
      </c>
      <c r="M192" s="8">
        <f>IF(H192="","",J192-K192-L192)</f>
        <v/>
      </c>
      <c r="N192" s="2" t="n"/>
      <c r="O192" s="2" t="n"/>
      <c r="P192" s="2" t="n"/>
    </row>
    <row r="193">
      <c r="A193" s="2" t="n"/>
      <c r="B193" s="2" t="n"/>
      <c r="C193" s="2" t="n"/>
      <c r="D193" s="10" t="n"/>
      <c r="E193" s="10" t="n"/>
      <c r="F193" s="2" t="n"/>
      <c r="G193" s="2" t="n"/>
      <c r="H193" s="8" t="n"/>
      <c r="I193" s="8">
        <f>IF(H193="","",H193*Configuracion!$G$2)</f>
        <v/>
      </c>
      <c r="J193" s="8">
        <f>IF(H193="","",H193+I193)</f>
        <v/>
      </c>
      <c r="K193" s="8" t="n"/>
      <c r="L193" s="8">
        <f>IF(H193="","",H193*Configuracion!$H$2)</f>
        <v/>
      </c>
      <c r="M193" s="8">
        <f>IF(H193="","",J193-K193-L193)</f>
        <v/>
      </c>
      <c r="N193" s="2" t="n"/>
      <c r="O193" s="2" t="n"/>
      <c r="P193" s="2" t="n"/>
    </row>
    <row r="194">
      <c r="A194" s="2" t="n"/>
      <c r="B194" s="2" t="n"/>
      <c r="C194" s="2" t="n"/>
      <c r="D194" s="10" t="n"/>
      <c r="E194" s="10" t="n"/>
      <c r="F194" s="2" t="n"/>
      <c r="G194" s="2" t="n"/>
      <c r="H194" s="8" t="n"/>
      <c r="I194" s="8">
        <f>IF(H194="","",H194*Configuracion!$G$2)</f>
        <v/>
      </c>
      <c r="J194" s="8">
        <f>IF(H194="","",H194+I194)</f>
        <v/>
      </c>
      <c r="K194" s="8" t="n"/>
      <c r="L194" s="8">
        <f>IF(H194="","",H194*Configuracion!$H$2)</f>
        <v/>
      </c>
      <c r="M194" s="8">
        <f>IF(H194="","",J194-K194-L194)</f>
        <v/>
      </c>
      <c r="N194" s="2" t="n"/>
      <c r="O194" s="2" t="n"/>
      <c r="P194" s="2" t="n"/>
    </row>
    <row r="195">
      <c r="A195" s="2" t="n"/>
      <c r="B195" s="2" t="n"/>
      <c r="C195" s="2" t="n"/>
      <c r="D195" s="10" t="n"/>
      <c r="E195" s="10" t="n"/>
      <c r="F195" s="2" t="n"/>
      <c r="G195" s="2" t="n"/>
      <c r="H195" s="8" t="n"/>
      <c r="I195" s="8">
        <f>IF(H195="","",H195*Configuracion!$G$2)</f>
        <v/>
      </c>
      <c r="J195" s="8">
        <f>IF(H195="","",H195+I195)</f>
        <v/>
      </c>
      <c r="K195" s="8" t="n"/>
      <c r="L195" s="8">
        <f>IF(H195="","",H195*Configuracion!$H$2)</f>
        <v/>
      </c>
      <c r="M195" s="8">
        <f>IF(H195="","",J195-K195-L195)</f>
        <v/>
      </c>
      <c r="N195" s="2" t="n"/>
      <c r="O195" s="2" t="n"/>
      <c r="P195" s="2" t="n"/>
    </row>
    <row r="196">
      <c r="A196" s="2" t="n"/>
      <c r="B196" s="2" t="n"/>
      <c r="C196" s="2" t="n"/>
      <c r="D196" s="10" t="n"/>
      <c r="E196" s="10" t="n"/>
      <c r="F196" s="2" t="n"/>
      <c r="G196" s="2" t="n"/>
      <c r="H196" s="8" t="n"/>
      <c r="I196" s="8">
        <f>IF(H196="","",H196*Configuracion!$G$2)</f>
        <v/>
      </c>
      <c r="J196" s="8">
        <f>IF(H196="","",H196+I196)</f>
        <v/>
      </c>
      <c r="K196" s="8" t="n"/>
      <c r="L196" s="8">
        <f>IF(H196="","",H196*Configuracion!$H$2)</f>
        <v/>
      </c>
      <c r="M196" s="8">
        <f>IF(H196="","",J196-K196-L196)</f>
        <v/>
      </c>
      <c r="N196" s="2" t="n"/>
      <c r="O196" s="2" t="n"/>
      <c r="P196" s="2" t="n"/>
    </row>
    <row r="197">
      <c r="A197" s="2" t="n"/>
      <c r="B197" s="2" t="n"/>
      <c r="C197" s="2" t="n"/>
      <c r="D197" s="10" t="n"/>
      <c r="E197" s="10" t="n"/>
      <c r="F197" s="2" t="n"/>
      <c r="G197" s="2" t="n"/>
      <c r="H197" s="8" t="n"/>
      <c r="I197" s="8">
        <f>IF(H197="","",H197*Configuracion!$G$2)</f>
        <v/>
      </c>
      <c r="J197" s="8">
        <f>IF(H197="","",H197+I197)</f>
        <v/>
      </c>
      <c r="K197" s="8" t="n"/>
      <c r="L197" s="8">
        <f>IF(H197="","",H197*Configuracion!$H$2)</f>
        <v/>
      </c>
      <c r="M197" s="8">
        <f>IF(H197="","",J197-K197-L197)</f>
        <v/>
      </c>
      <c r="N197" s="2" t="n"/>
      <c r="O197" s="2" t="n"/>
      <c r="P197" s="2" t="n"/>
    </row>
    <row r="198">
      <c r="A198" s="2" t="n"/>
      <c r="B198" s="2" t="n"/>
      <c r="C198" s="2" t="n"/>
      <c r="D198" s="10" t="n"/>
      <c r="E198" s="10" t="n"/>
      <c r="F198" s="2" t="n"/>
      <c r="G198" s="2" t="n"/>
      <c r="H198" s="8" t="n"/>
      <c r="I198" s="8">
        <f>IF(H198="","",H198*Configuracion!$G$2)</f>
        <v/>
      </c>
      <c r="J198" s="8">
        <f>IF(H198="","",H198+I198)</f>
        <v/>
      </c>
      <c r="K198" s="8" t="n"/>
      <c r="L198" s="8">
        <f>IF(H198="","",H198*Configuracion!$H$2)</f>
        <v/>
      </c>
      <c r="M198" s="8">
        <f>IF(H198="","",J198-K198-L198)</f>
        <v/>
      </c>
      <c r="N198" s="2" t="n"/>
      <c r="O198" s="2" t="n"/>
      <c r="P198" s="2" t="n"/>
    </row>
    <row r="199">
      <c r="A199" s="2" t="n"/>
      <c r="B199" s="2" t="n"/>
      <c r="C199" s="2" t="n"/>
      <c r="D199" s="10" t="n"/>
      <c r="E199" s="10" t="n"/>
      <c r="F199" s="2" t="n"/>
      <c r="G199" s="2" t="n"/>
      <c r="H199" s="8" t="n"/>
      <c r="I199" s="8">
        <f>IF(H199="","",H199*Configuracion!$G$2)</f>
        <v/>
      </c>
      <c r="J199" s="8">
        <f>IF(H199="","",H199+I199)</f>
        <v/>
      </c>
      <c r="K199" s="8" t="n"/>
      <c r="L199" s="8">
        <f>IF(H199="","",H199*Configuracion!$H$2)</f>
        <v/>
      </c>
      <c r="M199" s="8">
        <f>IF(H199="","",J199-K199-L199)</f>
        <v/>
      </c>
      <c r="N199" s="2" t="n"/>
      <c r="O199" s="2" t="n"/>
      <c r="P199" s="2" t="n"/>
    </row>
    <row r="200">
      <c r="A200" s="2" t="n"/>
      <c r="B200" s="2" t="n"/>
      <c r="C200" s="2" t="n"/>
      <c r="D200" s="10" t="n"/>
      <c r="E200" s="10" t="n"/>
      <c r="F200" s="2" t="n"/>
      <c r="G200" s="2" t="n"/>
      <c r="H200" s="8" t="n"/>
      <c r="I200" s="8">
        <f>IF(H200="","",H200*Configuracion!$G$2)</f>
        <v/>
      </c>
      <c r="J200" s="8">
        <f>IF(H200="","",H200+I200)</f>
        <v/>
      </c>
      <c r="K200" s="8" t="n"/>
      <c r="L200" s="8">
        <f>IF(H200="","",H200*Configuracion!$H$2)</f>
        <v/>
      </c>
      <c r="M200" s="8">
        <f>IF(H200="","",J200-K200-L200)</f>
        <v/>
      </c>
      <c r="N200" s="2" t="n"/>
      <c r="O200" s="2" t="n"/>
      <c r="P200" s="2" t="n"/>
    </row>
    <row r="201">
      <c r="A201" s="2" t="n"/>
      <c r="B201" s="2" t="n"/>
      <c r="C201" s="2" t="n"/>
      <c r="D201" s="10" t="n"/>
      <c r="E201" s="10" t="n"/>
      <c r="F201" s="2" t="n"/>
      <c r="G201" s="2" t="n"/>
      <c r="H201" s="8" t="n"/>
      <c r="I201" s="8">
        <f>IF(H201="","",H201*Configuracion!$G$2)</f>
        <v/>
      </c>
      <c r="J201" s="8">
        <f>IF(H201="","",H201+I201)</f>
        <v/>
      </c>
      <c r="K201" s="8" t="n"/>
      <c r="L201" s="8">
        <f>IF(H201="","",H201*Configuracion!$H$2)</f>
        <v/>
      </c>
      <c r="M201" s="8">
        <f>IF(H201="","",J201-K201-L201)</f>
        <v/>
      </c>
      <c r="N201" s="2" t="n"/>
      <c r="O201" s="2" t="n"/>
      <c r="P201" s="2" t="n"/>
    </row>
    <row r="202">
      <c r="A202" s="2" t="n"/>
      <c r="B202" s="2" t="n"/>
      <c r="C202" s="2" t="n"/>
      <c r="D202" s="10" t="n"/>
      <c r="E202" s="10" t="n"/>
      <c r="F202" s="2" t="n"/>
      <c r="G202" s="2" t="n"/>
      <c r="H202" s="8" t="n"/>
      <c r="I202" s="8">
        <f>IF(H202="","",H202*Configuracion!$G$2)</f>
        <v/>
      </c>
      <c r="J202" s="8">
        <f>IF(H202="","",H202+I202)</f>
        <v/>
      </c>
      <c r="K202" s="8" t="n"/>
      <c r="L202" s="8">
        <f>IF(H202="","",H202*Configuracion!$H$2)</f>
        <v/>
      </c>
      <c r="M202" s="8">
        <f>IF(H202="","",J202-K202-L202)</f>
        <v/>
      </c>
      <c r="N202" s="2" t="n"/>
      <c r="O202" s="2" t="n"/>
      <c r="P202" s="2" t="n"/>
    </row>
    <row r="203">
      <c r="A203" s="2" t="n"/>
      <c r="B203" s="2" t="n"/>
      <c r="C203" s="2" t="n"/>
      <c r="D203" s="10" t="n"/>
      <c r="E203" s="10" t="n"/>
      <c r="F203" s="2" t="n"/>
      <c r="G203" s="2" t="n"/>
      <c r="H203" s="8" t="n"/>
      <c r="I203" s="8">
        <f>IF(H203="","",H203*Configuracion!$G$2)</f>
        <v/>
      </c>
      <c r="J203" s="8">
        <f>IF(H203="","",H203+I203)</f>
        <v/>
      </c>
      <c r="K203" s="8" t="n"/>
      <c r="L203" s="8">
        <f>IF(H203="","",H203*Configuracion!$H$2)</f>
        <v/>
      </c>
      <c r="M203" s="8">
        <f>IF(H203="","",J203-K203-L203)</f>
        <v/>
      </c>
      <c r="N203" s="2" t="n"/>
      <c r="O203" s="2" t="n"/>
      <c r="P203" s="2" t="n"/>
    </row>
    <row r="204">
      <c r="A204" s="2" t="n"/>
      <c r="B204" s="2" t="n"/>
      <c r="C204" s="2" t="n"/>
      <c r="D204" s="10" t="n"/>
      <c r="E204" s="10" t="n"/>
      <c r="F204" s="2" t="n"/>
      <c r="G204" s="2" t="n"/>
      <c r="H204" s="8" t="n"/>
      <c r="I204" s="8">
        <f>IF(H204="","",H204*Configuracion!$G$2)</f>
        <v/>
      </c>
      <c r="J204" s="8">
        <f>IF(H204="","",H204+I204)</f>
        <v/>
      </c>
      <c r="K204" s="8" t="n"/>
      <c r="L204" s="8">
        <f>IF(H204="","",H204*Configuracion!$H$2)</f>
        <v/>
      </c>
      <c r="M204" s="8">
        <f>IF(H204="","",J204-K204-L204)</f>
        <v/>
      </c>
      <c r="N204" s="2" t="n"/>
      <c r="O204" s="2" t="n"/>
      <c r="P204" s="2" t="n"/>
    </row>
    <row r="205">
      <c r="A205" s="2" t="n"/>
      <c r="B205" s="2" t="n"/>
      <c r="C205" s="2" t="n"/>
      <c r="D205" s="10" t="n"/>
      <c r="E205" s="10" t="n"/>
      <c r="F205" s="2" t="n"/>
      <c r="G205" s="2" t="n"/>
      <c r="H205" s="8" t="n"/>
      <c r="I205" s="8">
        <f>IF(H205="","",H205*Configuracion!$G$2)</f>
        <v/>
      </c>
      <c r="J205" s="8">
        <f>IF(H205="","",H205+I205)</f>
        <v/>
      </c>
      <c r="K205" s="8" t="n"/>
      <c r="L205" s="8">
        <f>IF(H205="","",H205*Configuracion!$H$2)</f>
        <v/>
      </c>
      <c r="M205" s="8">
        <f>IF(H205="","",J205-K205-L205)</f>
        <v/>
      </c>
      <c r="N205" s="2" t="n"/>
      <c r="O205" s="2" t="n"/>
      <c r="P205" s="2" t="n"/>
    </row>
    <row r="206">
      <c r="A206" s="2" t="n"/>
      <c r="B206" s="2" t="n"/>
      <c r="C206" s="2" t="n"/>
      <c r="D206" s="10" t="n"/>
      <c r="E206" s="10" t="n"/>
      <c r="F206" s="2" t="n"/>
      <c r="G206" s="2" t="n"/>
      <c r="H206" s="8" t="n"/>
      <c r="I206" s="8">
        <f>IF(H206="","",H206*Configuracion!$G$2)</f>
        <v/>
      </c>
      <c r="J206" s="8">
        <f>IF(H206="","",H206+I206)</f>
        <v/>
      </c>
      <c r="K206" s="8" t="n"/>
      <c r="L206" s="8">
        <f>IF(H206="","",H206*Configuracion!$H$2)</f>
        <v/>
      </c>
      <c r="M206" s="8">
        <f>IF(H206="","",J206-K206-L206)</f>
        <v/>
      </c>
      <c r="N206" s="2" t="n"/>
      <c r="O206" s="2" t="n"/>
      <c r="P206" s="2" t="n"/>
    </row>
    <row r="207">
      <c r="A207" s="2" t="n"/>
      <c r="B207" s="2" t="n"/>
      <c r="C207" s="2" t="n"/>
      <c r="D207" s="10" t="n"/>
      <c r="E207" s="10" t="n"/>
      <c r="F207" s="2" t="n"/>
      <c r="G207" s="2" t="n"/>
      <c r="H207" s="8" t="n"/>
      <c r="I207" s="8">
        <f>IF(H207="","",H207*Configuracion!$G$2)</f>
        <v/>
      </c>
      <c r="J207" s="8">
        <f>IF(H207="","",H207+I207)</f>
        <v/>
      </c>
      <c r="K207" s="8" t="n"/>
      <c r="L207" s="8">
        <f>IF(H207="","",H207*Configuracion!$H$2)</f>
        <v/>
      </c>
      <c r="M207" s="8">
        <f>IF(H207="","",J207-K207-L207)</f>
        <v/>
      </c>
      <c r="N207" s="2" t="n"/>
      <c r="O207" s="2" t="n"/>
      <c r="P207" s="2" t="n"/>
    </row>
    <row r="208">
      <c r="A208" s="2" t="n"/>
      <c r="B208" s="2" t="n"/>
      <c r="C208" s="2" t="n"/>
      <c r="D208" s="10" t="n"/>
      <c r="E208" s="10" t="n"/>
      <c r="F208" s="2" t="n"/>
      <c r="G208" s="2" t="n"/>
      <c r="H208" s="8" t="n"/>
      <c r="I208" s="8">
        <f>IF(H208="","",H208*Configuracion!$G$2)</f>
        <v/>
      </c>
      <c r="J208" s="8">
        <f>IF(H208="","",H208+I208)</f>
        <v/>
      </c>
      <c r="K208" s="8" t="n"/>
      <c r="L208" s="8">
        <f>IF(H208="","",H208*Configuracion!$H$2)</f>
        <v/>
      </c>
      <c r="M208" s="8">
        <f>IF(H208="","",J208-K208-L208)</f>
        <v/>
      </c>
      <c r="N208" s="2" t="n"/>
      <c r="O208" s="2" t="n"/>
      <c r="P208" s="2" t="n"/>
    </row>
    <row r="209">
      <c r="A209" s="2" t="n"/>
      <c r="B209" s="2" t="n"/>
      <c r="C209" s="2" t="n"/>
      <c r="D209" s="10" t="n"/>
      <c r="E209" s="10" t="n"/>
      <c r="F209" s="2" t="n"/>
      <c r="G209" s="2" t="n"/>
      <c r="H209" s="8" t="n"/>
      <c r="I209" s="8">
        <f>IF(H209="","",H209*Configuracion!$G$2)</f>
        <v/>
      </c>
      <c r="J209" s="8">
        <f>IF(H209="","",H209+I209)</f>
        <v/>
      </c>
      <c r="K209" s="8" t="n"/>
      <c r="L209" s="8">
        <f>IF(H209="","",H209*Configuracion!$H$2)</f>
        <v/>
      </c>
      <c r="M209" s="8">
        <f>IF(H209="","",J209-K209-L209)</f>
        <v/>
      </c>
      <c r="N209" s="2" t="n"/>
      <c r="O209" s="2" t="n"/>
      <c r="P209" s="2" t="n"/>
    </row>
    <row r="210">
      <c r="A210" s="2" t="n"/>
      <c r="B210" s="2" t="n"/>
      <c r="C210" s="2" t="n"/>
      <c r="D210" s="10" t="n"/>
      <c r="E210" s="10" t="n"/>
      <c r="F210" s="2" t="n"/>
      <c r="G210" s="2" t="n"/>
      <c r="H210" s="8" t="n"/>
      <c r="I210" s="8">
        <f>IF(H210="","",H210*Configuracion!$G$2)</f>
        <v/>
      </c>
      <c r="J210" s="8">
        <f>IF(H210="","",H210+I210)</f>
        <v/>
      </c>
      <c r="K210" s="8" t="n"/>
      <c r="L210" s="8">
        <f>IF(H210="","",H210*Configuracion!$H$2)</f>
        <v/>
      </c>
      <c r="M210" s="8">
        <f>IF(H210="","",J210-K210-L210)</f>
        <v/>
      </c>
      <c r="N210" s="2" t="n"/>
      <c r="O210" s="2" t="n"/>
      <c r="P210" s="2" t="n"/>
    </row>
    <row r="211">
      <c r="A211" s="2" t="n"/>
      <c r="B211" s="2" t="n"/>
      <c r="C211" s="2" t="n"/>
      <c r="D211" s="10" t="n"/>
      <c r="E211" s="10" t="n"/>
      <c r="F211" s="2" t="n"/>
      <c r="G211" s="2" t="n"/>
      <c r="H211" s="8" t="n"/>
      <c r="I211" s="8">
        <f>IF(H211="","",H211*Configuracion!$G$2)</f>
        <v/>
      </c>
      <c r="J211" s="8">
        <f>IF(H211="","",H211+I211)</f>
        <v/>
      </c>
      <c r="K211" s="8" t="n"/>
      <c r="L211" s="8">
        <f>IF(H211="","",H211*Configuracion!$H$2)</f>
        <v/>
      </c>
      <c r="M211" s="8">
        <f>IF(H211="","",J211-K211-L211)</f>
        <v/>
      </c>
      <c r="N211" s="2" t="n"/>
      <c r="O211" s="2" t="n"/>
      <c r="P211" s="2" t="n"/>
    </row>
    <row r="212">
      <c r="A212" s="2" t="n"/>
      <c r="B212" s="2" t="n"/>
      <c r="C212" s="2" t="n"/>
      <c r="D212" s="10" t="n"/>
      <c r="E212" s="10" t="n"/>
      <c r="F212" s="2" t="n"/>
      <c r="G212" s="2" t="n"/>
      <c r="H212" s="8" t="n"/>
      <c r="I212" s="8">
        <f>IF(H212="","",H212*Configuracion!$G$2)</f>
        <v/>
      </c>
      <c r="J212" s="8">
        <f>IF(H212="","",H212+I212)</f>
        <v/>
      </c>
      <c r="K212" s="8" t="n"/>
      <c r="L212" s="8">
        <f>IF(H212="","",H212*Configuracion!$H$2)</f>
        <v/>
      </c>
      <c r="M212" s="8">
        <f>IF(H212="","",J212-K212-L212)</f>
        <v/>
      </c>
      <c r="N212" s="2" t="n"/>
      <c r="O212" s="2" t="n"/>
      <c r="P212" s="2" t="n"/>
    </row>
    <row r="213">
      <c r="A213" s="2" t="n"/>
      <c r="B213" s="2" t="n"/>
      <c r="C213" s="2" t="n"/>
      <c r="D213" s="10" t="n"/>
      <c r="E213" s="10" t="n"/>
      <c r="F213" s="2" t="n"/>
      <c r="G213" s="2" t="n"/>
      <c r="H213" s="8" t="n"/>
      <c r="I213" s="8">
        <f>IF(H213="","",H213*Configuracion!$G$2)</f>
        <v/>
      </c>
      <c r="J213" s="8">
        <f>IF(H213="","",H213+I213)</f>
        <v/>
      </c>
      <c r="K213" s="8" t="n"/>
      <c r="L213" s="8">
        <f>IF(H213="","",H213*Configuracion!$H$2)</f>
        <v/>
      </c>
      <c r="M213" s="8">
        <f>IF(H213="","",J213-K213-L213)</f>
        <v/>
      </c>
      <c r="N213" s="2" t="n"/>
      <c r="O213" s="2" t="n"/>
      <c r="P213" s="2" t="n"/>
    </row>
    <row r="214">
      <c r="A214" s="2" t="n"/>
      <c r="B214" s="2" t="n"/>
      <c r="C214" s="2" t="n"/>
      <c r="D214" s="10" t="n"/>
      <c r="E214" s="10" t="n"/>
      <c r="F214" s="2" t="n"/>
      <c r="G214" s="2" t="n"/>
      <c r="H214" s="8" t="n"/>
      <c r="I214" s="8">
        <f>IF(H214="","",H214*Configuracion!$G$2)</f>
        <v/>
      </c>
      <c r="J214" s="8">
        <f>IF(H214="","",H214+I214)</f>
        <v/>
      </c>
      <c r="K214" s="8" t="n"/>
      <c r="L214" s="8">
        <f>IF(H214="","",H214*Configuracion!$H$2)</f>
        <v/>
      </c>
      <c r="M214" s="8">
        <f>IF(H214="","",J214-K214-L214)</f>
        <v/>
      </c>
      <c r="N214" s="2" t="n"/>
      <c r="O214" s="2" t="n"/>
      <c r="P214" s="2" t="n"/>
    </row>
    <row r="215">
      <c r="A215" s="2" t="n"/>
      <c r="B215" s="2" t="n"/>
      <c r="C215" s="2" t="n"/>
      <c r="D215" s="10" t="n"/>
      <c r="E215" s="10" t="n"/>
      <c r="F215" s="2" t="n"/>
      <c r="G215" s="2" t="n"/>
      <c r="H215" s="8" t="n"/>
      <c r="I215" s="8">
        <f>IF(H215="","",H215*Configuracion!$G$2)</f>
        <v/>
      </c>
      <c r="J215" s="8">
        <f>IF(H215="","",H215+I215)</f>
        <v/>
      </c>
      <c r="K215" s="8" t="n"/>
      <c r="L215" s="8">
        <f>IF(H215="","",H215*Configuracion!$H$2)</f>
        <v/>
      </c>
      <c r="M215" s="8">
        <f>IF(H215="","",J215-K215-L215)</f>
        <v/>
      </c>
      <c r="N215" s="2" t="n"/>
      <c r="O215" s="2" t="n"/>
      <c r="P215" s="2" t="n"/>
    </row>
    <row r="216">
      <c r="A216" s="2" t="n"/>
      <c r="B216" s="2" t="n"/>
      <c r="C216" s="2" t="n"/>
      <c r="D216" s="10" t="n"/>
      <c r="E216" s="10" t="n"/>
      <c r="F216" s="2" t="n"/>
      <c r="G216" s="2" t="n"/>
      <c r="H216" s="8" t="n"/>
      <c r="I216" s="8">
        <f>IF(H216="","",H216*Configuracion!$G$2)</f>
        <v/>
      </c>
      <c r="J216" s="8">
        <f>IF(H216="","",H216+I216)</f>
        <v/>
      </c>
      <c r="K216" s="8" t="n"/>
      <c r="L216" s="8">
        <f>IF(H216="","",H216*Configuracion!$H$2)</f>
        <v/>
      </c>
      <c r="M216" s="8">
        <f>IF(H216="","",J216-K216-L216)</f>
        <v/>
      </c>
      <c r="N216" s="2" t="n"/>
      <c r="O216" s="2" t="n"/>
      <c r="P216" s="2" t="n"/>
    </row>
    <row r="217">
      <c r="A217" s="2" t="n"/>
      <c r="B217" s="2" t="n"/>
      <c r="C217" s="2" t="n"/>
      <c r="D217" s="10" t="n"/>
      <c r="E217" s="10" t="n"/>
      <c r="F217" s="2" t="n"/>
      <c r="G217" s="2" t="n"/>
      <c r="H217" s="8" t="n"/>
      <c r="I217" s="8">
        <f>IF(H217="","",H217*Configuracion!$G$2)</f>
        <v/>
      </c>
      <c r="J217" s="8">
        <f>IF(H217="","",H217+I217)</f>
        <v/>
      </c>
      <c r="K217" s="8" t="n"/>
      <c r="L217" s="8">
        <f>IF(H217="","",H217*Configuracion!$H$2)</f>
        <v/>
      </c>
      <c r="M217" s="8">
        <f>IF(H217="","",J217-K217-L217)</f>
        <v/>
      </c>
      <c r="N217" s="2" t="n"/>
      <c r="O217" s="2" t="n"/>
      <c r="P217" s="2" t="n"/>
    </row>
    <row r="218">
      <c r="A218" s="2" t="n"/>
      <c r="B218" s="2" t="n"/>
      <c r="C218" s="2" t="n"/>
      <c r="D218" s="10" t="n"/>
      <c r="E218" s="10" t="n"/>
      <c r="F218" s="2" t="n"/>
      <c r="G218" s="2" t="n"/>
      <c r="H218" s="8" t="n"/>
      <c r="I218" s="8">
        <f>IF(H218="","",H218*Configuracion!$G$2)</f>
        <v/>
      </c>
      <c r="J218" s="8">
        <f>IF(H218="","",H218+I218)</f>
        <v/>
      </c>
      <c r="K218" s="8" t="n"/>
      <c r="L218" s="8">
        <f>IF(H218="","",H218*Configuracion!$H$2)</f>
        <v/>
      </c>
      <c r="M218" s="8">
        <f>IF(H218="","",J218-K218-L218)</f>
        <v/>
      </c>
      <c r="N218" s="2" t="n"/>
      <c r="O218" s="2" t="n"/>
      <c r="P218" s="2" t="n"/>
    </row>
    <row r="219">
      <c r="A219" s="2" t="n"/>
      <c r="B219" s="2" t="n"/>
      <c r="C219" s="2" t="n"/>
      <c r="D219" s="10" t="n"/>
      <c r="E219" s="10" t="n"/>
      <c r="F219" s="2" t="n"/>
      <c r="G219" s="2" t="n"/>
      <c r="H219" s="8" t="n"/>
      <c r="I219" s="8">
        <f>IF(H219="","",H219*Configuracion!$G$2)</f>
        <v/>
      </c>
      <c r="J219" s="8">
        <f>IF(H219="","",H219+I219)</f>
        <v/>
      </c>
      <c r="K219" s="8" t="n"/>
      <c r="L219" s="8">
        <f>IF(H219="","",H219*Configuracion!$H$2)</f>
        <v/>
      </c>
      <c r="M219" s="8">
        <f>IF(H219="","",J219-K219-L219)</f>
        <v/>
      </c>
      <c r="N219" s="2" t="n"/>
      <c r="O219" s="2" t="n"/>
      <c r="P219" s="2" t="n"/>
    </row>
    <row r="220">
      <c r="A220" s="2" t="n"/>
      <c r="B220" s="2" t="n"/>
      <c r="C220" s="2" t="n"/>
      <c r="D220" s="10" t="n"/>
      <c r="E220" s="10" t="n"/>
      <c r="F220" s="2" t="n"/>
      <c r="G220" s="2" t="n"/>
      <c r="H220" s="8" t="n"/>
      <c r="I220" s="8">
        <f>IF(H220="","",H220*Configuracion!$G$2)</f>
        <v/>
      </c>
      <c r="J220" s="8">
        <f>IF(H220="","",H220+I220)</f>
        <v/>
      </c>
      <c r="K220" s="8" t="n"/>
      <c r="L220" s="8">
        <f>IF(H220="","",H220*Configuracion!$H$2)</f>
        <v/>
      </c>
      <c r="M220" s="8">
        <f>IF(H220="","",J220-K220-L220)</f>
        <v/>
      </c>
      <c r="N220" s="2" t="n"/>
      <c r="O220" s="2" t="n"/>
      <c r="P220" s="2" t="n"/>
    </row>
    <row r="221">
      <c r="A221" s="2" t="n"/>
      <c r="B221" s="2" t="n"/>
      <c r="C221" s="2" t="n"/>
      <c r="D221" s="10" t="n"/>
      <c r="E221" s="10" t="n"/>
      <c r="F221" s="2" t="n"/>
      <c r="G221" s="2" t="n"/>
      <c r="H221" s="8" t="n"/>
      <c r="I221" s="8">
        <f>IF(H221="","",H221*Configuracion!$G$2)</f>
        <v/>
      </c>
      <c r="J221" s="8">
        <f>IF(H221="","",H221+I221)</f>
        <v/>
      </c>
      <c r="K221" s="8" t="n"/>
      <c r="L221" s="8">
        <f>IF(H221="","",H221*Configuracion!$H$2)</f>
        <v/>
      </c>
      <c r="M221" s="8">
        <f>IF(H221="","",J221-K221-L221)</f>
        <v/>
      </c>
      <c r="N221" s="2" t="n"/>
      <c r="O221" s="2" t="n"/>
      <c r="P221" s="2" t="n"/>
    </row>
    <row r="222">
      <c r="A222" s="2" t="n"/>
      <c r="B222" s="2" t="n"/>
      <c r="C222" s="2" t="n"/>
      <c r="D222" s="10" t="n"/>
      <c r="E222" s="10" t="n"/>
      <c r="F222" s="2" t="n"/>
      <c r="G222" s="2" t="n"/>
      <c r="H222" s="8" t="n"/>
      <c r="I222" s="8">
        <f>IF(H222="","",H222*Configuracion!$G$2)</f>
        <v/>
      </c>
      <c r="J222" s="8">
        <f>IF(H222="","",H222+I222)</f>
        <v/>
      </c>
      <c r="K222" s="8" t="n"/>
      <c r="L222" s="8">
        <f>IF(H222="","",H222*Configuracion!$H$2)</f>
        <v/>
      </c>
      <c r="M222" s="8">
        <f>IF(H222="","",J222-K222-L222)</f>
        <v/>
      </c>
      <c r="N222" s="2" t="n"/>
      <c r="O222" s="2" t="n"/>
      <c r="P222" s="2" t="n"/>
    </row>
    <row r="223">
      <c r="A223" s="2" t="n"/>
      <c r="B223" s="2" t="n"/>
      <c r="C223" s="2" t="n"/>
      <c r="D223" s="10" t="n"/>
      <c r="E223" s="10" t="n"/>
      <c r="F223" s="2" t="n"/>
      <c r="G223" s="2" t="n"/>
      <c r="H223" s="8" t="n"/>
      <c r="I223" s="8">
        <f>IF(H223="","",H223*Configuracion!$G$2)</f>
        <v/>
      </c>
      <c r="J223" s="8">
        <f>IF(H223="","",H223+I223)</f>
        <v/>
      </c>
      <c r="K223" s="8" t="n"/>
      <c r="L223" s="8">
        <f>IF(H223="","",H223*Configuracion!$H$2)</f>
        <v/>
      </c>
      <c r="M223" s="8">
        <f>IF(H223="","",J223-K223-L223)</f>
        <v/>
      </c>
      <c r="N223" s="2" t="n"/>
      <c r="O223" s="2" t="n"/>
      <c r="P223" s="2" t="n"/>
    </row>
    <row r="224">
      <c r="A224" s="2" t="n"/>
      <c r="B224" s="2" t="n"/>
      <c r="C224" s="2" t="n"/>
      <c r="D224" s="10" t="n"/>
      <c r="E224" s="10" t="n"/>
      <c r="F224" s="2" t="n"/>
      <c r="G224" s="2" t="n"/>
      <c r="H224" s="8" t="n"/>
      <c r="I224" s="8">
        <f>IF(H224="","",H224*Configuracion!$G$2)</f>
        <v/>
      </c>
      <c r="J224" s="8">
        <f>IF(H224="","",H224+I224)</f>
        <v/>
      </c>
      <c r="K224" s="8" t="n"/>
      <c r="L224" s="8">
        <f>IF(H224="","",H224*Configuracion!$H$2)</f>
        <v/>
      </c>
      <c r="M224" s="8">
        <f>IF(H224="","",J224-K224-L224)</f>
        <v/>
      </c>
      <c r="N224" s="2" t="n"/>
      <c r="O224" s="2" t="n"/>
      <c r="P224" s="2" t="n"/>
    </row>
    <row r="225">
      <c r="A225" s="2" t="n"/>
      <c r="B225" s="2" t="n"/>
      <c r="C225" s="2" t="n"/>
      <c r="D225" s="10" t="n"/>
      <c r="E225" s="10" t="n"/>
      <c r="F225" s="2" t="n"/>
      <c r="G225" s="2" t="n"/>
      <c r="H225" s="8" t="n"/>
      <c r="I225" s="8">
        <f>IF(H225="","",H225*Configuracion!$G$2)</f>
        <v/>
      </c>
      <c r="J225" s="8">
        <f>IF(H225="","",H225+I225)</f>
        <v/>
      </c>
      <c r="K225" s="8" t="n"/>
      <c r="L225" s="8">
        <f>IF(H225="","",H225*Configuracion!$H$2)</f>
        <v/>
      </c>
      <c r="M225" s="8">
        <f>IF(H225="","",J225-K225-L225)</f>
        <v/>
      </c>
      <c r="N225" s="2" t="n"/>
      <c r="O225" s="2" t="n"/>
      <c r="P225" s="2" t="n"/>
    </row>
    <row r="226">
      <c r="A226" s="2" t="n"/>
      <c r="B226" s="2" t="n"/>
      <c r="C226" s="2" t="n"/>
      <c r="D226" s="10" t="n"/>
      <c r="E226" s="10" t="n"/>
      <c r="F226" s="2" t="n"/>
      <c r="G226" s="2" t="n"/>
      <c r="H226" s="8" t="n"/>
      <c r="I226" s="8">
        <f>IF(H226="","",H226*Configuracion!$G$2)</f>
        <v/>
      </c>
      <c r="J226" s="8">
        <f>IF(H226="","",H226+I226)</f>
        <v/>
      </c>
      <c r="K226" s="8" t="n"/>
      <c r="L226" s="8">
        <f>IF(H226="","",H226*Configuracion!$H$2)</f>
        <v/>
      </c>
      <c r="M226" s="8">
        <f>IF(H226="","",J226-K226-L226)</f>
        <v/>
      </c>
      <c r="N226" s="2" t="n"/>
      <c r="O226" s="2" t="n"/>
      <c r="P226" s="2" t="n"/>
    </row>
    <row r="227">
      <c r="A227" s="2" t="n"/>
      <c r="B227" s="2" t="n"/>
      <c r="C227" s="2" t="n"/>
      <c r="D227" s="10" t="n"/>
      <c r="E227" s="10" t="n"/>
      <c r="F227" s="2" t="n"/>
      <c r="G227" s="2" t="n"/>
      <c r="H227" s="8" t="n"/>
      <c r="I227" s="8">
        <f>IF(H227="","",H227*Configuracion!$G$2)</f>
        <v/>
      </c>
      <c r="J227" s="8">
        <f>IF(H227="","",H227+I227)</f>
        <v/>
      </c>
      <c r="K227" s="8" t="n"/>
      <c r="L227" s="8">
        <f>IF(H227="","",H227*Configuracion!$H$2)</f>
        <v/>
      </c>
      <c r="M227" s="8">
        <f>IF(H227="","",J227-K227-L227)</f>
        <v/>
      </c>
      <c r="N227" s="2" t="n"/>
      <c r="O227" s="2" t="n"/>
      <c r="P227" s="2" t="n"/>
    </row>
    <row r="228">
      <c r="A228" s="2" t="n"/>
      <c r="B228" s="2" t="n"/>
      <c r="C228" s="2" t="n"/>
      <c r="D228" s="10" t="n"/>
      <c r="E228" s="10" t="n"/>
      <c r="F228" s="2" t="n"/>
      <c r="G228" s="2" t="n"/>
      <c r="H228" s="8" t="n"/>
      <c r="I228" s="8">
        <f>IF(H228="","",H228*Configuracion!$G$2)</f>
        <v/>
      </c>
      <c r="J228" s="8">
        <f>IF(H228="","",H228+I228)</f>
        <v/>
      </c>
      <c r="K228" s="8" t="n"/>
      <c r="L228" s="8">
        <f>IF(H228="","",H228*Configuracion!$H$2)</f>
        <v/>
      </c>
      <c r="M228" s="8">
        <f>IF(H228="","",J228-K228-L228)</f>
        <v/>
      </c>
      <c r="N228" s="2" t="n"/>
      <c r="O228" s="2" t="n"/>
      <c r="P228" s="2" t="n"/>
    </row>
    <row r="229">
      <c r="A229" s="2" t="n"/>
      <c r="B229" s="2" t="n"/>
      <c r="C229" s="2" t="n"/>
      <c r="D229" s="10" t="n"/>
      <c r="E229" s="10" t="n"/>
      <c r="F229" s="2" t="n"/>
      <c r="G229" s="2" t="n"/>
      <c r="H229" s="8" t="n"/>
      <c r="I229" s="8">
        <f>IF(H229="","",H229*Configuracion!$G$2)</f>
        <v/>
      </c>
      <c r="J229" s="8">
        <f>IF(H229="","",H229+I229)</f>
        <v/>
      </c>
      <c r="K229" s="8" t="n"/>
      <c r="L229" s="8">
        <f>IF(H229="","",H229*Configuracion!$H$2)</f>
        <v/>
      </c>
      <c r="M229" s="8">
        <f>IF(H229="","",J229-K229-L229)</f>
        <v/>
      </c>
      <c r="N229" s="2" t="n"/>
      <c r="O229" s="2" t="n"/>
      <c r="P229" s="2" t="n"/>
    </row>
    <row r="230">
      <c r="A230" s="2" t="n"/>
      <c r="B230" s="2" t="n"/>
      <c r="C230" s="2" t="n"/>
      <c r="D230" s="10" t="n"/>
      <c r="E230" s="10" t="n"/>
      <c r="F230" s="2" t="n"/>
      <c r="G230" s="2" t="n"/>
      <c r="H230" s="8" t="n"/>
      <c r="I230" s="8">
        <f>IF(H230="","",H230*Configuracion!$G$2)</f>
        <v/>
      </c>
      <c r="J230" s="8">
        <f>IF(H230="","",H230+I230)</f>
        <v/>
      </c>
      <c r="K230" s="8" t="n"/>
      <c r="L230" s="8">
        <f>IF(H230="","",H230*Configuracion!$H$2)</f>
        <v/>
      </c>
      <c r="M230" s="8">
        <f>IF(H230="","",J230-K230-L230)</f>
        <v/>
      </c>
      <c r="N230" s="2" t="n"/>
      <c r="O230" s="2" t="n"/>
      <c r="P230" s="2" t="n"/>
    </row>
    <row r="231">
      <c r="A231" s="2" t="n"/>
      <c r="B231" s="2" t="n"/>
      <c r="C231" s="2" t="n"/>
      <c r="D231" s="10" t="n"/>
      <c r="E231" s="10" t="n"/>
      <c r="F231" s="2" t="n"/>
      <c r="G231" s="2" t="n"/>
      <c r="H231" s="8" t="n"/>
      <c r="I231" s="8">
        <f>IF(H231="","",H231*Configuracion!$G$2)</f>
        <v/>
      </c>
      <c r="J231" s="8">
        <f>IF(H231="","",H231+I231)</f>
        <v/>
      </c>
      <c r="K231" s="8" t="n"/>
      <c r="L231" s="8">
        <f>IF(H231="","",H231*Configuracion!$H$2)</f>
        <v/>
      </c>
      <c r="M231" s="8">
        <f>IF(H231="","",J231-K231-L231)</f>
        <v/>
      </c>
      <c r="N231" s="2" t="n"/>
      <c r="O231" s="2" t="n"/>
      <c r="P231" s="2" t="n"/>
    </row>
    <row r="232">
      <c r="A232" s="2" t="n"/>
      <c r="B232" s="2" t="n"/>
      <c r="C232" s="2" t="n"/>
      <c r="D232" s="10" t="n"/>
      <c r="E232" s="10" t="n"/>
      <c r="F232" s="2" t="n"/>
      <c r="G232" s="2" t="n"/>
      <c r="H232" s="8" t="n"/>
      <c r="I232" s="8">
        <f>IF(H232="","",H232*Configuracion!$G$2)</f>
        <v/>
      </c>
      <c r="J232" s="8">
        <f>IF(H232="","",H232+I232)</f>
        <v/>
      </c>
      <c r="K232" s="8" t="n"/>
      <c r="L232" s="8">
        <f>IF(H232="","",H232*Configuracion!$H$2)</f>
        <v/>
      </c>
      <c r="M232" s="8">
        <f>IF(H232="","",J232-K232-L232)</f>
        <v/>
      </c>
      <c r="N232" s="2" t="n"/>
      <c r="O232" s="2" t="n"/>
      <c r="P232" s="2" t="n"/>
    </row>
    <row r="233">
      <c r="A233" s="2" t="n"/>
      <c r="B233" s="2" t="n"/>
      <c r="C233" s="2" t="n"/>
      <c r="D233" s="10" t="n"/>
      <c r="E233" s="10" t="n"/>
      <c r="F233" s="2" t="n"/>
      <c r="G233" s="2" t="n"/>
      <c r="H233" s="8" t="n"/>
      <c r="I233" s="8">
        <f>IF(H233="","",H233*Configuracion!$G$2)</f>
        <v/>
      </c>
      <c r="J233" s="8">
        <f>IF(H233="","",H233+I233)</f>
        <v/>
      </c>
      <c r="K233" s="8" t="n"/>
      <c r="L233" s="8">
        <f>IF(H233="","",H233*Configuracion!$H$2)</f>
        <v/>
      </c>
      <c r="M233" s="8">
        <f>IF(H233="","",J233-K233-L233)</f>
        <v/>
      </c>
      <c r="N233" s="2" t="n"/>
      <c r="O233" s="2" t="n"/>
      <c r="P233" s="2" t="n"/>
    </row>
    <row r="234">
      <c r="A234" s="2" t="n"/>
      <c r="B234" s="2" t="n"/>
      <c r="C234" s="2" t="n"/>
      <c r="D234" s="10" t="n"/>
      <c r="E234" s="10" t="n"/>
      <c r="F234" s="2" t="n"/>
      <c r="G234" s="2" t="n"/>
      <c r="H234" s="8" t="n"/>
      <c r="I234" s="8">
        <f>IF(H234="","",H234*Configuracion!$G$2)</f>
        <v/>
      </c>
      <c r="J234" s="8">
        <f>IF(H234="","",H234+I234)</f>
        <v/>
      </c>
      <c r="K234" s="8" t="n"/>
      <c r="L234" s="8">
        <f>IF(H234="","",H234*Configuracion!$H$2)</f>
        <v/>
      </c>
      <c r="M234" s="8">
        <f>IF(H234="","",J234-K234-L234)</f>
        <v/>
      </c>
      <c r="N234" s="2" t="n"/>
      <c r="O234" s="2" t="n"/>
      <c r="P234" s="2" t="n"/>
    </row>
    <row r="235">
      <c r="A235" s="2" t="n"/>
      <c r="B235" s="2" t="n"/>
      <c r="C235" s="2" t="n"/>
      <c r="D235" s="10" t="n"/>
      <c r="E235" s="10" t="n"/>
      <c r="F235" s="2" t="n"/>
      <c r="G235" s="2" t="n"/>
      <c r="H235" s="8" t="n"/>
      <c r="I235" s="8">
        <f>IF(H235="","",H235*Configuracion!$G$2)</f>
        <v/>
      </c>
      <c r="J235" s="8">
        <f>IF(H235="","",H235+I235)</f>
        <v/>
      </c>
      <c r="K235" s="8" t="n"/>
      <c r="L235" s="8">
        <f>IF(H235="","",H235*Configuracion!$H$2)</f>
        <v/>
      </c>
      <c r="M235" s="8">
        <f>IF(H235="","",J235-K235-L235)</f>
        <v/>
      </c>
      <c r="N235" s="2" t="n"/>
      <c r="O235" s="2" t="n"/>
      <c r="P235" s="2" t="n"/>
    </row>
    <row r="236">
      <c r="A236" s="2" t="n"/>
      <c r="B236" s="2" t="n"/>
      <c r="C236" s="2" t="n"/>
      <c r="D236" s="10" t="n"/>
      <c r="E236" s="10" t="n"/>
      <c r="F236" s="2" t="n"/>
      <c r="G236" s="2" t="n"/>
      <c r="H236" s="8" t="n"/>
      <c r="I236" s="8">
        <f>IF(H236="","",H236*Configuracion!$G$2)</f>
        <v/>
      </c>
      <c r="J236" s="8">
        <f>IF(H236="","",H236+I236)</f>
        <v/>
      </c>
      <c r="K236" s="8" t="n"/>
      <c r="L236" s="8">
        <f>IF(H236="","",H236*Configuracion!$H$2)</f>
        <v/>
      </c>
      <c r="M236" s="8">
        <f>IF(H236="","",J236-K236-L236)</f>
        <v/>
      </c>
      <c r="N236" s="2" t="n"/>
      <c r="O236" s="2" t="n"/>
      <c r="P236" s="2" t="n"/>
    </row>
    <row r="237">
      <c r="A237" s="2" t="n"/>
      <c r="B237" s="2" t="n"/>
      <c r="C237" s="2" t="n"/>
      <c r="D237" s="10" t="n"/>
      <c r="E237" s="10" t="n"/>
      <c r="F237" s="2" t="n"/>
      <c r="G237" s="2" t="n"/>
      <c r="H237" s="8" t="n"/>
      <c r="I237" s="8">
        <f>IF(H237="","",H237*Configuracion!$G$2)</f>
        <v/>
      </c>
      <c r="J237" s="8">
        <f>IF(H237="","",H237+I237)</f>
        <v/>
      </c>
      <c r="K237" s="8" t="n"/>
      <c r="L237" s="8">
        <f>IF(H237="","",H237*Configuracion!$H$2)</f>
        <v/>
      </c>
      <c r="M237" s="8">
        <f>IF(H237="","",J237-K237-L237)</f>
        <v/>
      </c>
      <c r="N237" s="2" t="n"/>
      <c r="O237" s="2" t="n"/>
      <c r="P237" s="2" t="n"/>
    </row>
    <row r="238">
      <c r="A238" s="2" t="n"/>
      <c r="B238" s="2" t="n"/>
      <c r="C238" s="2" t="n"/>
      <c r="D238" s="10" t="n"/>
      <c r="E238" s="10" t="n"/>
      <c r="F238" s="2" t="n"/>
      <c r="G238" s="2" t="n"/>
      <c r="H238" s="8" t="n"/>
      <c r="I238" s="8">
        <f>IF(H238="","",H238*Configuracion!$G$2)</f>
        <v/>
      </c>
      <c r="J238" s="8">
        <f>IF(H238="","",H238+I238)</f>
        <v/>
      </c>
      <c r="K238" s="8" t="n"/>
      <c r="L238" s="8">
        <f>IF(H238="","",H238*Configuracion!$H$2)</f>
        <v/>
      </c>
      <c r="M238" s="8">
        <f>IF(H238="","",J238-K238-L238)</f>
        <v/>
      </c>
      <c r="N238" s="2" t="n"/>
      <c r="O238" s="2" t="n"/>
      <c r="P238" s="2" t="n"/>
    </row>
    <row r="239">
      <c r="A239" s="2" t="n"/>
      <c r="B239" s="2" t="n"/>
      <c r="C239" s="2" t="n"/>
      <c r="D239" s="10" t="n"/>
      <c r="E239" s="10" t="n"/>
      <c r="F239" s="2" t="n"/>
      <c r="G239" s="2" t="n"/>
      <c r="H239" s="8" t="n"/>
      <c r="I239" s="8">
        <f>IF(H239="","",H239*Configuracion!$G$2)</f>
        <v/>
      </c>
      <c r="J239" s="8">
        <f>IF(H239="","",H239+I239)</f>
        <v/>
      </c>
      <c r="K239" s="8" t="n"/>
      <c r="L239" s="8">
        <f>IF(H239="","",H239*Configuracion!$H$2)</f>
        <v/>
      </c>
      <c r="M239" s="8">
        <f>IF(H239="","",J239-K239-L239)</f>
        <v/>
      </c>
      <c r="N239" s="2" t="n"/>
      <c r="O239" s="2" t="n"/>
      <c r="P239" s="2" t="n"/>
    </row>
    <row r="240">
      <c r="A240" s="2" t="n"/>
      <c r="B240" s="2" t="n"/>
      <c r="C240" s="2" t="n"/>
      <c r="D240" s="10" t="n"/>
      <c r="E240" s="10" t="n"/>
      <c r="F240" s="2" t="n"/>
      <c r="G240" s="2" t="n"/>
      <c r="H240" s="8" t="n"/>
      <c r="I240" s="8">
        <f>IF(H240="","",H240*Configuracion!$G$2)</f>
        <v/>
      </c>
      <c r="J240" s="8">
        <f>IF(H240="","",H240+I240)</f>
        <v/>
      </c>
      <c r="K240" s="8" t="n"/>
      <c r="L240" s="8">
        <f>IF(H240="","",H240*Configuracion!$H$2)</f>
        <v/>
      </c>
      <c r="M240" s="8">
        <f>IF(H240="","",J240-K240-L240)</f>
        <v/>
      </c>
      <c r="N240" s="2" t="n"/>
      <c r="O240" s="2" t="n"/>
      <c r="P240" s="2" t="n"/>
    </row>
    <row r="241">
      <c r="A241" s="2" t="n"/>
      <c r="B241" s="2" t="n"/>
      <c r="C241" s="2" t="n"/>
      <c r="D241" s="10" t="n"/>
      <c r="E241" s="10" t="n"/>
      <c r="F241" s="2" t="n"/>
      <c r="G241" s="2" t="n"/>
      <c r="H241" s="8" t="n"/>
      <c r="I241" s="8">
        <f>IF(H241="","",H241*Configuracion!$G$2)</f>
        <v/>
      </c>
      <c r="J241" s="8">
        <f>IF(H241="","",H241+I241)</f>
        <v/>
      </c>
      <c r="K241" s="8" t="n"/>
      <c r="L241" s="8">
        <f>IF(H241="","",H241*Configuracion!$H$2)</f>
        <v/>
      </c>
      <c r="M241" s="8">
        <f>IF(H241="","",J241-K241-L241)</f>
        <v/>
      </c>
      <c r="N241" s="2" t="n"/>
      <c r="O241" s="2" t="n"/>
      <c r="P241" s="2" t="n"/>
    </row>
    <row r="242">
      <c r="A242" s="2" t="n"/>
      <c r="B242" s="2" t="n"/>
      <c r="C242" s="2" t="n"/>
      <c r="D242" s="10" t="n"/>
      <c r="E242" s="10" t="n"/>
      <c r="F242" s="2" t="n"/>
      <c r="G242" s="2" t="n"/>
      <c r="H242" s="8" t="n"/>
      <c r="I242" s="8">
        <f>IF(H242="","",H242*Configuracion!$G$2)</f>
        <v/>
      </c>
      <c r="J242" s="8">
        <f>IF(H242="","",H242+I242)</f>
        <v/>
      </c>
      <c r="K242" s="8" t="n"/>
      <c r="L242" s="8">
        <f>IF(H242="","",H242*Configuracion!$H$2)</f>
        <v/>
      </c>
      <c r="M242" s="8">
        <f>IF(H242="","",J242-K242-L242)</f>
        <v/>
      </c>
      <c r="N242" s="2" t="n"/>
      <c r="O242" s="2" t="n"/>
      <c r="P242" s="2" t="n"/>
    </row>
    <row r="243">
      <c r="A243" s="2" t="n"/>
      <c r="B243" s="2" t="n"/>
      <c r="C243" s="2" t="n"/>
      <c r="D243" s="10" t="n"/>
      <c r="E243" s="10" t="n"/>
      <c r="F243" s="2" t="n"/>
      <c r="G243" s="2" t="n"/>
      <c r="H243" s="8" t="n"/>
      <c r="I243" s="8">
        <f>IF(H243="","",H243*Configuracion!$G$2)</f>
        <v/>
      </c>
      <c r="J243" s="8">
        <f>IF(H243="","",H243+I243)</f>
        <v/>
      </c>
      <c r="K243" s="8" t="n"/>
      <c r="L243" s="8">
        <f>IF(H243="","",H243*Configuracion!$H$2)</f>
        <v/>
      </c>
      <c r="M243" s="8">
        <f>IF(H243="","",J243-K243-L243)</f>
        <v/>
      </c>
      <c r="N243" s="2" t="n"/>
      <c r="O243" s="2" t="n"/>
      <c r="P243" s="2" t="n"/>
    </row>
    <row r="244">
      <c r="A244" s="2" t="n"/>
      <c r="B244" s="2" t="n"/>
      <c r="C244" s="2" t="n"/>
      <c r="D244" s="10" t="n"/>
      <c r="E244" s="10" t="n"/>
      <c r="F244" s="2" t="n"/>
      <c r="G244" s="2" t="n"/>
      <c r="H244" s="8" t="n"/>
      <c r="I244" s="8">
        <f>IF(H244="","",H244*Configuracion!$G$2)</f>
        <v/>
      </c>
      <c r="J244" s="8">
        <f>IF(H244="","",H244+I244)</f>
        <v/>
      </c>
      <c r="K244" s="8" t="n"/>
      <c r="L244" s="8">
        <f>IF(H244="","",H244*Configuracion!$H$2)</f>
        <v/>
      </c>
      <c r="M244" s="8">
        <f>IF(H244="","",J244-K244-L244)</f>
        <v/>
      </c>
      <c r="N244" s="2" t="n"/>
      <c r="O244" s="2" t="n"/>
      <c r="P244" s="2" t="n"/>
    </row>
    <row r="245">
      <c r="A245" s="2" t="n"/>
      <c r="B245" s="2" t="n"/>
      <c r="C245" s="2" t="n"/>
      <c r="D245" s="10" t="n"/>
      <c r="E245" s="10" t="n"/>
      <c r="F245" s="2" t="n"/>
      <c r="G245" s="2" t="n"/>
      <c r="H245" s="8" t="n"/>
      <c r="I245" s="8">
        <f>IF(H245="","",H245*Configuracion!$G$2)</f>
        <v/>
      </c>
      <c r="J245" s="8">
        <f>IF(H245="","",H245+I245)</f>
        <v/>
      </c>
      <c r="K245" s="8" t="n"/>
      <c r="L245" s="8">
        <f>IF(H245="","",H245*Configuracion!$H$2)</f>
        <v/>
      </c>
      <c r="M245" s="8">
        <f>IF(H245="","",J245-K245-L245)</f>
        <v/>
      </c>
      <c r="N245" s="2" t="n"/>
      <c r="O245" s="2" t="n"/>
      <c r="P245" s="2" t="n"/>
    </row>
    <row r="246">
      <c r="A246" s="2" t="n"/>
      <c r="B246" s="2" t="n"/>
      <c r="C246" s="2" t="n"/>
      <c r="D246" s="10" t="n"/>
      <c r="E246" s="10" t="n"/>
      <c r="F246" s="2" t="n"/>
      <c r="G246" s="2" t="n"/>
      <c r="H246" s="8" t="n"/>
      <c r="I246" s="8">
        <f>IF(H246="","",H246*Configuracion!$G$2)</f>
        <v/>
      </c>
      <c r="J246" s="8">
        <f>IF(H246="","",H246+I246)</f>
        <v/>
      </c>
      <c r="K246" s="8" t="n"/>
      <c r="L246" s="8">
        <f>IF(H246="","",H246*Configuracion!$H$2)</f>
        <v/>
      </c>
      <c r="M246" s="8">
        <f>IF(H246="","",J246-K246-L246)</f>
        <v/>
      </c>
      <c r="N246" s="2" t="n"/>
      <c r="O246" s="2" t="n"/>
      <c r="P246" s="2" t="n"/>
    </row>
    <row r="247">
      <c r="A247" s="2" t="n"/>
      <c r="B247" s="2" t="n"/>
      <c r="C247" s="2" t="n"/>
      <c r="D247" s="10" t="n"/>
      <c r="E247" s="10" t="n"/>
      <c r="F247" s="2" t="n"/>
      <c r="G247" s="2" t="n"/>
      <c r="H247" s="8" t="n"/>
      <c r="I247" s="8">
        <f>IF(H247="","",H247*Configuracion!$G$2)</f>
        <v/>
      </c>
      <c r="J247" s="8">
        <f>IF(H247="","",H247+I247)</f>
        <v/>
      </c>
      <c r="K247" s="8" t="n"/>
      <c r="L247" s="8">
        <f>IF(H247="","",H247*Configuracion!$H$2)</f>
        <v/>
      </c>
      <c r="M247" s="8">
        <f>IF(H247="","",J247-K247-L247)</f>
        <v/>
      </c>
      <c r="N247" s="2" t="n"/>
      <c r="O247" s="2" t="n"/>
      <c r="P247" s="2" t="n"/>
    </row>
    <row r="248">
      <c r="A248" s="2" t="n"/>
      <c r="B248" s="2" t="n"/>
      <c r="C248" s="2" t="n"/>
      <c r="D248" s="10" t="n"/>
      <c r="E248" s="10" t="n"/>
      <c r="F248" s="2" t="n"/>
      <c r="G248" s="2" t="n"/>
      <c r="H248" s="8" t="n"/>
      <c r="I248" s="8">
        <f>IF(H248="","",H248*Configuracion!$G$2)</f>
        <v/>
      </c>
      <c r="J248" s="8">
        <f>IF(H248="","",H248+I248)</f>
        <v/>
      </c>
      <c r="K248" s="8" t="n"/>
      <c r="L248" s="8">
        <f>IF(H248="","",H248*Configuracion!$H$2)</f>
        <v/>
      </c>
      <c r="M248" s="8">
        <f>IF(H248="","",J248-K248-L248)</f>
        <v/>
      </c>
      <c r="N248" s="2" t="n"/>
      <c r="O248" s="2" t="n"/>
      <c r="P248" s="2" t="n"/>
    </row>
    <row r="249">
      <c r="A249" s="2" t="n"/>
      <c r="B249" s="2" t="n"/>
      <c r="C249" s="2" t="n"/>
      <c r="D249" s="10" t="n"/>
      <c r="E249" s="10" t="n"/>
      <c r="F249" s="2" t="n"/>
      <c r="G249" s="2" t="n"/>
      <c r="H249" s="8" t="n"/>
      <c r="I249" s="8">
        <f>IF(H249="","",H249*Configuracion!$G$2)</f>
        <v/>
      </c>
      <c r="J249" s="8">
        <f>IF(H249="","",H249+I249)</f>
        <v/>
      </c>
      <c r="K249" s="8" t="n"/>
      <c r="L249" s="8">
        <f>IF(H249="","",H249*Configuracion!$H$2)</f>
        <v/>
      </c>
      <c r="M249" s="8">
        <f>IF(H249="","",J249-K249-L249)</f>
        <v/>
      </c>
      <c r="N249" s="2" t="n"/>
      <c r="O249" s="2" t="n"/>
      <c r="P249" s="2" t="n"/>
    </row>
    <row r="250">
      <c r="A250" s="2" t="n"/>
      <c r="B250" s="2" t="n"/>
      <c r="C250" s="2" t="n"/>
      <c r="D250" s="10" t="n"/>
      <c r="E250" s="10" t="n"/>
      <c r="F250" s="2" t="n"/>
      <c r="G250" s="2" t="n"/>
      <c r="H250" s="8" t="n"/>
      <c r="I250" s="8">
        <f>IF(H250="","",H250*Configuracion!$G$2)</f>
        <v/>
      </c>
      <c r="J250" s="8">
        <f>IF(H250="","",H250+I250)</f>
        <v/>
      </c>
      <c r="K250" s="8" t="n"/>
      <c r="L250" s="8">
        <f>IF(H250="","",H250*Configuracion!$H$2)</f>
        <v/>
      </c>
      <c r="M250" s="8">
        <f>IF(H250="","",J250-K250-L250)</f>
        <v/>
      </c>
      <c r="N250" s="2" t="n"/>
      <c r="O250" s="2" t="n"/>
      <c r="P250" s="2" t="n"/>
    </row>
  </sheetData>
  <dataValidations count="2">
    <dataValidation sqref="F2:F250" showDropDown="0" showInputMessage="0" showErrorMessage="0" allowBlank="1" type="list">
      <formula1>"Factura afecta,Factura exenta,Boleta,Recibo,Otro"</formula1>
    </dataValidation>
    <dataValidation sqref="N2:N250" showDropDown="0" showInputMessage="0" showErrorMessage="0" allowBlank="1" type="list">
      <formula1>"Pendiente,Pagado,Vencido,Parcial,Anulado"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1" customWidth="1" min="5" max="5"/>
    <col width="12" customWidth="1" min="6" max="6"/>
    <col width="38" customWidth="1" min="7" max="7"/>
    <col width="24" customWidth="1" min="8" max="8"/>
    <col width="12" customWidth="1" min="9" max="9"/>
    <col width="13" customWidth="1" min="10" max="10"/>
    <col width="20" customWidth="1" min="11" max="11"/>
    <col width="14" customWidth="1" min="12" max="12"/>
    <col width="15" customWidth="1" min="13" max="13"/>
  </cols>
  <sheetData>
    <row r="1">
      <c r="A1" s="4" t="inlineStr">
        <is>
          <t>ID_Egreso</t>
        </is>
      </c>
      <c r="B1" s="4" t="inlineStr">
        <is>
          <t>Fecha</t>
        </is>
      </c>
      <c r="C1" s="4" t="inlineStr">
        <is>
          <t>Categoria</t>
        </is>
      </c>
      <c r="D1" s="4" t="inlineStr">
        <is>
          <t>Concepto</t>
        </is>
      </c>
      <c r="E1" s="4" t="inlineStr">
        <is>
          <t>Proveedor</t>
        </is>
      </c>
      <c r="F1" s="4" t="inlineStr">
        <is>
          <t>Monto_Neto</t>
        </is>
      </c>
      <c r="G1" s="4" t="inlineStr">
        <is>
          <t>IVA</t>
        </is>
      </c>
      <c r="H1" s="4" t="inlineStr">
        <is>
          <t>Monto_Total</t>
        </is>
      </c>
      <c r="I1" s="4" t="inlineStr">
        <is>
          <t>Medio_Pago</t>
        </is>
      </c>
      <c r="J1" s="4" t="inlineStr">
        <is>
          <t>Estado_Pago</t>
        </is>
      </c>
      <c r="K1" s="4" t="inlineStr">
        <is>
          <t>Documento_Respaldo</t>
        </is>
      </c>
      <c r="L1" s="4" t="inlineStr">
        <is>
          <t>Es_Deducible</t>
        </is>
      </c>
      <c r="M1" s="4" t="inlineStr">
        <is>
          <t>Observaciones</t>
        </is>
      </c>
    </row>
    <row r="2">
      <c r="A2" s="2" t="n"/>
      <c r="B2" s="10" t="n"/>
      <c r="C2" s="2" t="n"/>
      <c r="D2" s="2" t="n"/>
      <c r="E2" s="2" t="n"/>
      <c r="F2" s="8" t="n"/>
      <c r="G2" s="8">
        <f>IF(F2="","",F2*Configuracion!$G$2)</f>
        <v/>
      </c>
      <c r="H2" s="8">
        <f>IF(F2="","",F2+G2)</f>
        <v/>
      </c>
      <c r="I2" s="2" t="n"/>
      <c r="J2" s="2" t="n"/>
      <c r="K2" s="2" t="n"/>
      <c r="L2" s="2" t="n"/>
      <c r="M2" s="2" t="n"/>
    </row>
    <row r="3">
      <c r="A3" s="2" t="n"/>
      <c r="B3" s="10" t="n"/>
      <c r="C3" s="2" t="n"/>
      <c r="D3" s="2" t="n"/>
      <c r="E3" s="2" t="n"/>
      <c r="F3" s="8" t="n"/>
      <c r="G3" s="8">
        <f>IF(F3="","",F3*Configuracion!$G$2)</f>
        <v/>
      </c>
      <c r="H3" s="8">
        <f>IF(F3="","",F3+G3)</f>
        <v/>
      </c>
      <c r="I3" s="2" t="n"/>
      <c r="J3" s="2" t="n"/>
      <c r="K3" s="2" t="n"/>
      <c r="L3" s="2" t="n"/>
      <c r="M3" s="2" t="n"/>
    </row>
    <row r="4">
      <c r="A4" s="2" t="n"/>
      <c r="B4" s="10" t="n"/>
      <c r="C4" s="2" t="n"/>
      <c r="D4" s="2" t="n"/>
      <c r="E4" s="2" t="n"/>
      <c r="F4" s="8" t="n"/>
      <c r="G4" s="8">
        <f>IF(F4="","",F4*Configuracion!$G$2)</f>
        <v/>
      </c>
      <c r="H4" s="8">
        <f>IF(F4="","",F4+G4)</f>
        <v/>
      </c>
      <c r="I4" s="2" t="n"/>
      <c r="J4" s="2" t="n"/>
      <c r="K4" s="2" t="n"/>
      <c r="L4" s="2" t="n"/>
      <c r="M4" s="2" t="n"/>
    </row>
    <row r="5">
      <c r="A5" s="2" t="n"/>
      <c r="B5" s="10" t="n"/>
      <c r="C5" s="2" t="n"/>
      <c r="D5" s="2" t="n"/>
      <c r="E5" s="2" t="n"/>
      <c r="F5" s="8" t="n"/>
      <c r="G5" s="8">
        <f>IF(F5="","",F5*Configuracion!$G$2)</f>
        <v/>
      </c>
      <c r="H5" s="8">
        <f>IF(F5="","",F5+G5)</f>
        <v/>
      </c>
      <c r="I5" s="2" t="n"/>
      <c r="J5" s="2" t="n"/>
      <c r="K5" s="2" t="n"/>
      <c r="L5" s="2" t="n"/>
      <c r="M5" s="2" t="n"/>
    </row>
    <row r="6">
      <c r="A6" s="2" t="n"/>
      <c r="B6" s="10" t="n"/>
      <c r="C6" s="2" t="n"/>
      <c r="D6" s="2" t="n"/>
      <c r="E6" s="2" t="n"/>
      <c r="F6" s="8" t="n"/>
      <c r="G6" s="8">
        <f>IF(F6="","",F6*Configuracion!$G$2)</f>
        <v/>
      </c>
      <c r="H6" s="8">
        <f>IF(F6="","",F6+G6)</f>
        <v/>
      </c>
      <c r="I6" s="2" t="n"/>
      <c r="J6" s="2" t="n"/>
      <c r="K6" s="2" t="n"/>
      <c r="L6" s="2" t="n"/>
      <c r="M6" s="2" t="n"/>
    </row>
    <row r="7">
      <c r="A7" s="2" t="n"/>
      <c r="B7" s="10" t="n"/>
      <c r="C7" s="2" t="n"/>
      <c r="D7" s="2" t="n"/>
      <c r="E7" s="2" t="n"/>
      <c r="F7" s="8" t="n"/>
      <c r="G7" s="8">
        <f>IF(F7="","",F7*Configuracion!$G$2)</f>
        <v/>
      </c>
      <c r="H7" s="8">
        <f>IF(F7="","",F7+G7)</f>
        <v/>
      </c>
      <c r="I7" s="2" t="n"/>
      <c r="J7" s="2" t="n"/>
      <c r="K7" s="2" t="n"/>
      <c r="L7" s="2" t="n"/>
      <c r="M7" s="2" t="n"/>
    </row>
    <row r="8">
      <c r="A8" s="2" t="n"/>
      <c r="B8" s="10" t="n"/>
      <c r="C8" s="2" t="n"/>
      <c r="D8" s="2" t="n"/>
      <c r="E8" s="2" t="n"/>
      <c r="F8" s="8" t="n"/>
      <c r="G8" s="8">
        <f>IF(F8="","",F8*Configuracion!$G$2)</f>
        <v/>
      </c>
      <c r="H8" s="8">
        <f>IF(F8="","",F8+G8)</f>
        <v/>
      </c>
      <c r="I8" s="2" t="n"/>
      <c r="J8" s="2" t="n"/>
      <c r="K8" s="2" t="n"/>
      <c r="L8" s="2" t="n"/>
      <c r="M8" s="2" t="n"/>
    </row>
    <row r="9">
      <c r="A9" s="2" t="n"/>
      <c r="B9" s="10" t="n"/>
      <c r="C9" s="2" t="n"/>
      <c r="D9" s="2" t="n"/>
      <c r="E9" s="2" t="n"/>
      <c r="F9" s="8" t="n"/>
      <c r="G9" s="8">
        <f>IF(F9="","",F9*Configuracion!$G$2)</f>
        <v/>
      </c>
      <c r="H9" s="8">
        <f>IF(F9="","",F9+G9)</f>
        <v/>
      </c>
      <c r="I9" s="2" t="n"/>
      <c r="J9" s="2" t="n"/>
      <c r="K9" s="2" t="n"/>
      <c r="L9" s="2" t="n"/>
      <c r="M9" s="2" t="n"/>
    </row>
    <row r="10">
      <c r="A10" s="2" t="n"/>
      <c r="B10" s="10" t="n"/>
      <c r="C10" s="2" t="n"/>
      <c r="D10" s="2" t="n"/>
      <c r="E10" s="2" t="n"/>
      <c r="F10" s="8" t="n"/>
      <c r="G10" s="8">
        <f>IF(F10="","",F10*Configuracion!$G$2)</f>
        <v/>
      </c>
      <c r="H10" s="8">
        <f>IF(F10="","",F10+G10)</f>
        <v/>
      </c>
      <c r="I10" s="2" t="n"/>
      <c r="J10" s="2" t="n"/>
      <c r="K10" s="2" t="n"/>
      <c r="L10" s="2" t="n"/>
      <c r="M10" s="2" t="n"/>
    </row>
    <row r="11">
      <c r="A11" s="2" t="n"/>
      <c r="B11" s="10" t="n"/>
      <c r="C11" s="2" t="n"/>
      <c r="D11" s="2" t="n"/>
      <c r="E11" s="2" t="n"/>
      <c r="F11" s="8" t="n"/>
      <c r="G11" s="8">
        <f>IF(F11="","",F11*Configuracion!$G$2)</f>
        <v/>
      </c>
      <c r="H11" s="8">
        <f>IF(F11="","",F11+G11)</f>
        <v/>
      </c>
      <c r="I11" s="2" t="n"/>
      <c r="J11" s="2" t="n"/>
      <c r="K11" s="2" t="n"/>
      <c r="L11" s="2" t="n"/>
      <c r="M11" s="2" t="n"/>
    </row>
    <row r="12">
      <c r="A12" s="2" t="n"/>
      <c r="B12" s="10" t="n"/>
      <c r="C12" s="2" t="n"/>
      <c r="D12" s="2" t="n"/>
      <c r="E12" s="2" t="n"/>
      <c r="F12" s="8" t="n"/>
      <c r="G12" s="8">
        <f>IF(F12="","",F12*Configuracion!$G$2)</f>
        <v/>
      </c>
      <c r="H12" s="8">
        <f>IF(F12="","",F12+G12)</f>
        <v/>
      </c>
      <c r="I12" s="2" t="n"/>
      <c r="J12" s="2" t="n"/>
      <c r="K12" s="2" t="n"/>
      <c r="L12" s="2" t="n"/>
      <c r="M12" s="2" t="n"/>
    </row>
    <row r="13">
      <c r="A13" s="2" t="n"/>
      <c r="B13" s="10" t="n"/>
      <c r="C13" s="2" t="n"/>
      <c r="D13" s="2" t="n"/>
      <c r="E13" s="2" t="n"/>
      <c r="F13" s="8" t="n"/>
      <c r="G13" s="8">
        <f>IF(F13="","",F13*Configuracion!$G$2)</f>
        <v/>
      </c>
      <c r="H13" s="8">
        <f>IF(F13="","",F13+G13)</f>
        <v/>
      </c>
      <c r="I13" s="2" t="n"/>
      <c r="J13" s="2" t="n"/>
      <c r="K13" s="2" t="n"/>
      <c r="L13" s="2" t="n"/>
      <c r="M13" s="2" t="n"/>
    </row>
    <row r="14">
      <c r="A14" s="2" t="n"/>
      <c r="B14" s="10" t="n"/>
      <c r="C14" s="2" t="n"/>
      <c r="D14" s="2" t="n"/>
      <c r="E14" s="2" t="n"/>
      <c r="F14" s="8" t="n"/>
      <c r="G14" s="8">
        <f>IF(F14="","",F14*Configuracion!$G$2)</f>
        <v/>
      </c>
      <c r="H14" s="8">
        <f>IF(F14="","",F14+G14)</f>
        <v/>
      </c>
      <c r="I14" s="2" t="n"/>
      <c r="J14" s="2" t="n"/>
      <c r="K14" s="2" t="n"/>
      <c r="L14" s="2" t="n"/>
      <c r="M14" s="2" t="n"/>
    </row>
    <row r="15">
      <c r="A15" s="2" t="n"/>
      <c r="B15" s="10" t="n"/>
      <c r="C15" s="2" t="n"/>
      <c r="D15" s="2" t="n"/>
      <c r="E15" s="2" t="n"/>
      <c r="F15" s="8" t="n"/>
      <c r="G15" s="8">
        <f>IF(F15="","",F15*Configuracion!$G$2)</f>
        <v/>
      </c>
      <c r="H15" s="8">
        <f>IF(F15="","",F15+G15)</f>
        <v/>
      </c>
      <c r="I15" s="2" t="n"/>
      <c r="J15" s="2" t="n"/>
      <c r="K15" s="2" t="n"/>
      <c r="L15" s="2" t="n"/>
      <c r="M15" s="2" t="n"/>
    </row>
    <row r="16">
      <c r="A16" s="2" t="n"/>
      <c r="B16" s="10" t="n"/>
      <c r="C16" s="2" t="n"/>
      <c r="D16" s="2" t="n"/>
      <c r="E16" s="2" t="n"/>
      <c r="F16" s="8" t="n"/>
      <c r="G16" s="8">
        <f>IF(F16="","",F16*Configuracion!$G$2)</f>
        <v/>
      </c>
      <c r="H16" s="8">
        <f>IF(F16="","",F16+G16)</f>
        <v/>
      </c>
      <c r="I16" s="2" t="n"/>
      <c r="J16" s="2" t="n"/>
      <c r="K16" s="2" t="n"/>
      <c r="L16" s="2" t="n"/>
      <c r="M16" s="2" t="n"/>
    </row>
    <row r="17">
      <c r="A17" s="2" t="n"/>
      <c r="B17" s="10" t="n"/>
      <c r="C17" s="2" t="n"/>
      <c r="D17" s="2" t="n"/>
      <c r="E17" s="2" t="n"/>
      <c r="F17" s="8" t="n"/>
      <c r="G17" s="8">
        <f>IF(F17="","",F17*Configuracion!$G$2)</f>
        <v/>
      </c>
      <c r="H17" s="8">
        <f>IF(F17="","",F17+G17)</f>
        <v/>
      </c>
      <c r="I17" s="2" t="n"/>
      <c r="J17" s="2" t="n"/>
      <c r="K17" s="2" t="n"/>
      <c r="L17" s="2" t="n"/>
      <c r="M17" s="2" t="n"/>
    </row>
    <row r="18">
      <c r="A18" s="2" t="n"/>
      <c r="B18" s="10" t="n"/>
      <c r="C18" s="2" t="n"/>
      <c r="D18" s="2" t="n"/>
      <c r="E18" s="2" t="n"/>
      <c r="F18" s="8" t="n"/>
      <c r="G18" s="8">
        <f>IF(F18="","",F18*Configuracion!$G$2)</f>
        <v/>
      </c>
      <c r="H18" s="8">
        <f>IF(F18="","",F18+G18)</f>
        <v/>
      </c>
      <c r="I18" s="2" t="n"/>
      <c r="J18" s="2" t="n"/>
      <c r="K18" s="2" t="n"/>
      <c r="L18" s="2" t="n"/>
      <c r="M18" s="2" t="n"/>
    </row>
    <row r="19">
      <c r="A19" s="2" t="n"/>
      <c r="B19" s="10" t="n"/>
      <c r="C19" s="2" t="n"/>
      <c r="D19" s="2" t="n"/>
      <c r="E19" s="2" t="n"/>
      <c r="F19" s="8" t="n"/>
      <c r="G19" s="8">
        <f>IF(F19="","",F19*Configuracion!$G$2)</f>
        <v/>
      </c>
      <c r="H19" s="8">
        <f>IF(F19="","",F19+G19)</f>
        <v/>
      </c>
      <c r="I19" s="2" t="n"/>
      <c r="J19" s="2" t="n"/>
      <c r="K19" s="2" t="n"/>
      <c r="L19" s="2" t="n"/>
      <c r="M19" s="2" t="n"/>
    </row>
    <row r="20">
      <c r="A20" s="2" t="n"/>
      <c r="B20" s="10" t="n"/>
      <c r="C20" s="2" t="n"/>
      <c r="D20" s="2" t="n"/>
      <c r="E20" s="2" t="n"/>
      <c r="F20" s="8" t="n"/>
      <c r="G20" s="8">
        <f>IF(F20="","",F20*Configuracion!$G$2)</f>
        <v/>
      </c>
      <c r="H20" s="8">
        <f>IF(F20="","",F20+G20)</f>
        <v/>
      </c>
      <c r="I20" s="2" t="n"/>
      <c r="J20" s="2" t="n"/>
      <c r="K20" s="2" t="n"/>
      <c r="L20" s="2" t="n"/>
      <c r="M20" s="2" t="n"/>
    </row>
    <row r="21">
      <c r="A21" s="2" t="n"/>
      <c r="B21" s="10" t="n"/>
      <c r="C21" s="2" t="n"/>
      <c r="D21" s="2" t="n"/>
      <c r="E21" s="2" t="n"/>
      <c r="F21" s="8" t="n"/>
      <c r="G21" s="8">
        <f>IF(F21="","",F21*Configuracion!$G$2)</f>
        <v/>
      </c>
      <c r="H21" s="8">
        <f>IF(F21="","",F21+G21)</f>
        <v/>
      </c>
      <c r="I21" s="2" t="n"/>
      <c r="J21" s="2" t="n"/>
      <c r="K21" s="2" t="n"/>
      <c r="L21" s="2" t="n"/>
      <c r="M21" s="2" t="n"/>
    </row>
    <row r="22">
      <c r="A22" s="2" t="n"/>
      <c r="B22" s="10" t="n"/>
      <c r="C22" s="2" t="n"/>
      <c r="D22" s="2" t="n"/>
      <c r="E22" s="2" t="n"/>
      <c r="F22" s="8" t="n"/>
      <c r="G22" s="8">
        <f>IF(F22="","",F22*Configuracion!$G$2)</f>
        <v/>
      </c>
      <c r="H22" s="8">
        <f>IF(F22="","",F22+G22)</f>
        <v/>
      </c>
      <c r="I22" s="2" t="n"/>
      <c r="J22" s="2" t="n"/>
      <c r="K22" s="2" t="n"/>
      <c r="L22" s="2" t="n"/>
      <c r="M22" s="2" t="n"/>
    </row>
    <row r="23">
      <c r="A23" s="2" t="n"/>
      <c r="B23" s="10" t="n"/>
      <c r="C23" s="2" t="n"/>
      <c r="D23" s="2" t="n"/>
      <c r="E23" s="2" t="n"/>
      <c r="F23" s="8" t="n"/>
      <c r="G23" s="8">
        <f>IF(F23="","",F23*Configuracion!$G$2)</f>
        <v/>
      </c>
      <c r="H23" s="8">
        <f>IF(F23="","",F23+G23)</f>
        <v/>
      </c>
      <c r="I23" s="2" t="n"/>
      <c r="J23" s="2" t="n"/>
      <c r="K23" s="2" t="n"/>
      <c r="L23" s="2" t="n"/>
      <c r="M23" s="2" t="n"/>
    </row>
    <row r="24">
      <c r="A24" s="2" t="n"/>
      <c r="B24" s="10" t="n"/>
      <c r="C24" s="2" t="n"/>
      <c r="D24" s="2" t="n"/>
      <c r="E24" s="2" t="n"/>
      <c r="F24" s="8" t="n"/>
      <c r="G24" s="8">
        <f>IF(F24="","",F24*Configuracion!$G$2)</f>
        <v/>
      </c>
      <c r="H24" s="8">
        <f>IF(F24="","",F24+G24)</f>
        <v/>
      </c>
      <c r="I24" s="2" t="n"/>
      <c r="J24" s="2" t="n"/>
      <c r="K24" s="2" t="n"/>
      <c r="L24" s="2" t="n"/>
      <c r="M24" s="2" t="n"/>
    </row>
    <row r="25">
      <c r="A25" s="2" t="n"/>
      <c r="B25" s="10" t="n"/>
      <c r="C25" s="2" t="n"/>
      <c r="D25" s="2" t="n"/>
      <c r="E25" s="2" t="n"/>
      <c r="F25" s="8" t="n"/>
      <c r="G25" s="8">
        <f>IF(F25="","",F25*Configuracion!$G$2)</f>
        <v/>
      </c>
      <c r="H25" s="8">
        <f>IF(F25="","",F25+G25)</f>
        <v/>
      </c>
      <c r="I25" s="2" t="n"/>
      <c r="J25" s="2" t="n"/>
      <c r="K25" s="2" t="n"/>
      <c r="L25" s="2" t="n"/>
      <c r="M25" s="2" t="n"/>
    </row>
    <row r="26">
      <c r="A26" s="2" t="n"/>
      <c r="B26" s="10" t="n"/>
      <c r="C26" s="2" t="n"/>
      <c r="D26" s="2" t="n"/>
      <c r="E26" s="2" t="n"/>
      <c r="F26" s="8" t="n"/>
      <c r="G26" s="8">
        <f>IF(F26="","",F26*Configuracion!$G$2)</f>
        <v/>
      </c>
      <c r="H26" s="8">
        <f>IF(F26="","",F26+G26)</f>
        <v/>
      </c>
      <c r="I26" s="2" t="n"/>
      <c r="J26" s="2" t="n"/>
      <c r="K26" s="2" t="n"/>
      <c r="L26" s="2" t="n"/>
      <c r="M26" s="2" t="n"/>
    </row>
    <row r="27">
      <c r="A27" s="2" t="n"/>
      <c r="B27" s="10" t="n"/>
      <c r="C27" s="2" t="n"/>
      <c r="D27" s="2" t="n"/>
      <c r="E27" s="2" t="n"/>
      <c r="F27" s="8" t="n"/>
      <c r="G27" s="8">
        <f>IF(F27="","",F27*Configuracion!$G$2)</f>
        <v/>
      </c>
      <c r="H27" s="8">
        <f>IF(F27="","",F27+G27)</f>
        <v/>
      </c>
      <c r="I27" s="2" t="n"/>
      <c r="J27" s="2" t="n"/>
      <c r="K27" s="2" t="n"/>
      <c r="L27" s="2" t="n"/>
      <c r="M27" s="2" t="n"/>
    </row>
    <row r="28">
      <c r="A28" s="2" t="n"/>
      <c r="B28" s="10" t="n"/>
      <c r="C28" s="2" t="n"/>
      <c r="D28" s="2" t="n"/>
      <c r="E28" s="2" t="n"/>
      <c r="F28" s="8" t="n"/>
      <c r="G28" s="8">
        <f>IF(F28="","",F28*Configuracion!$G$2)</f>
        <v/>
      </c>
      <c r="H28" s="8">
        <f>IF(F28="","",F28+G28)</f>
        <v/>
      </c>
      <c r="I28" s="2" t="n"/>
      <c r="J28" s="2" t="n"/>
      <c r="K28" s="2" t="n"/>
      <c r="L28" s="2" t="n"/>
      <c r="M28" s="2" t="n"/>
    </row>
    <row r="29">
      <c r="A29" s="2" t="n"/>
      <c r="B29" s="10" t="n"/>
      <c r="C29" s="2" t="n"/>
      <c r="D29" s="2" t="n"/>
      <c r="E29" s="2" t="n"/>
      <c r="F29" s="8" t="n"/>
      <c r="G29" s="8">
        <f>IF(F29="","",F29*Configuracion!$G$2)</f>
        <v/>
      </c>
      <c r="H29" s="8">
        <f>IF(F29="","",F29+G29)</f>
        <v/>
      </c>
      <c r="I29" s="2" t="n"/>
      <c r="J29" s="2" t="n"/>
      <c r="K29" s="2" t="n"/>
      <c r="L29" s="2" t="n"/>
      <c r="M29" s="2" t="n"/>
    </row>
    <row r="30">
      <c r="A30" s="2" t="n"/>
      <c r="B30" s="10" t="n"/>
      <c r="C30" s="2" t="n"/>
      <c r="D30" s="2" t="n"/>
      <c r="E30" s="2" t="n"/>
      <c r="F30" s="8" t="n"/>
      <c r="G30" s="8">
        <f>IF(F30="","",F30*Configuracion!$G$2)</f>
        <v/>
      </c>
      <c r="H30" s="8">
        <f>IF(F30="","",F30+G30)</f>
        <v/>
      </c>
      <c r="I30" s="2" t="n"/>
      <c r="J30" s="2" t="n"/>
      <c r="K30" s="2" t="n"/>
      <c r="L30" s="2" t="n"/>
      <c r="M30" s="2" t="n"/>
    </row>
    <row r="31">
      <c r="A31" s="2" t="n"/>
      <c r="B31" s="10" t="n"/>
      <c r="C31" s="2" t="n"/>
      <c r="D31" s="2" t="n"/>
      <c r="E31" s="2" t="n"/>
      <c r="F31" s="8" t="n"/>
      <c r="G31" s="8">
        <f>IF(F31="","",F31*Configuracion!$G$2)</f>
        <v/>
      </c>
      <c r="H31" s="8">
        <f>IF(F31="","",F31+G31)</f>
        <v/>
      </c>
      <c r="I31" s="2" t="n"/>
      <c r="J31" s="2" t="n"/>
      <c r="K31" s="2" t="n"/>
      <c r="L31" s="2" t="n"/>
      <c r="M31" s="2" t="n"/>
    </row>
    <row r="32">
      <c r="A32" s="2" t="n"/>
      <c r="B32" s="10" t="n"/>
      <c r="C32" s="2" t="n"/>
      <c r="D32" s="2" t="n"/>
      <c r="E32" s="2" t="n"/>
      <c r="F32" s="8" t="n"/>
      <c r="G32" s="8">
        <f>IF(F32="","",F32*Configuracion!$G$2)</f>
        <v/>
      </c>
      <c r="H32" s="8">
        <f>IF(F32="","",F32+G32)</f>
        <v/>
      </c>
      <c r="I32" s="2" t="n"/>
      <c r="J32" s="2" t="n"/>
      <c r="K32" s="2" t="n"/>
      <c r="L32" s="2" t="n"/>
      <c r="M32" s="2" t="n"/>
    </row>
    <row r="33">
      <c r="A33" s="2" t="n"/>
      <c r="B33" s="10" t="n"/>
      <c r="C33" s="2" t="n"/>
      <c r="D33" s="2" t="n"/>
      <c r="E33" s="2" t="n"/>
      <c r="F33" s="8" t="n"/>
      <c r="G33" s="8">
        <f>IF(F33="","",F33*Configuracion!$G$2)</f>
        <v/>
      </c>
      <c r="H33" s="8">
        <f>IF(F33="","",F33+G33)</f>
        <v/>
      </c>
      <c r="I33" s="2" t="n"/>
      <c r="J33" s="2" t="n"/>
      <c r="K33" s="2" t="n"/>
      <c r="L33" s="2" t="n"/>
      <c r="M33" s="2" t="n"/>
    </row>
    <row r="34">
      <c r="A34" s="2" t="n"/>
      <c r="B34" s="10" t="n"/>
      <c r="C34" s="2" t="n"/>
      <c r="D34" s="2" t="n"/>
      <c r="E34" s="2" t="n"/>
      <c r="F34" s="8" t="n"/>
      <c r="G34" s="8">
        <f>IF(F34="","",F34*Configuracion!$G$2)</f>
        <v/>
      </c>
      <c r="H34" s="8">
        <f>IF(F34="","",F34+G34)</f>
        <v/>
      </c>
      <c r="I34" s="2" t="n"/>
      <c r="J34" s="2" t="n"/>
      <c r="K34" s="2" t="n"/>
      <c r="L34" s="2" t="n"/>
      <c r="M34" s="2" t="n"/>
    </row>
    <row r="35">
      <c r="A35" s="2" t="n"/>
      <c r="B35" s="10" t="n"/>
      <c r="C35" s="2" t="n"/>
      <c r="D35" s="2" t="n"/>
      <c r="E35" s="2" t="n"/>
      <c r="F35" s="8" t="n"/>
      <c r="G35" s="8">
        <f>IF(F35="","",F35*Configuracion!$G$2)</f>
        <v/>
      </c>
      <c r="H35" s="8">
        <f>IF(F35="","",F35+G35)</f>
        <v/>
      </c>
      <c r="I35" s="2" t="n"/>
      <c r="J35" s="2" t="n"/>
      <c r="K35" s="2" t="n"/>
      <c r="L35" s="2" t="n"/>
      <c r="M35" s="2" t="n"/>
    </row>
    <row r="36">
      <c r="A36" s="2" t="n"/>
      <c r="B36" s="10" t="n"/>
      <c r="C36" s="2" t="n"/>
      <c r="D36" s="2" t="n"/>
      <c r="E36" s="2" t="n"/>
      <c r="F36" s="8" t="n"/>
      <c r="G36" s="8">
        <f>IF(F36="","",F36*Configuracion!$G$2)</f>
        <v/>
      </c>
      <c r="H36" s="8">
        <f>IF(F36="","",F36+G36)</f>
        <v/>
      </c>
      <c r="I36" s="2" t="n"/>
      <c r="J36" s="2" t="n"/>
      <c r="K36" s="2" t="n"/>
      <c r="L36" s="2" t="n"/>
      <c r="M36" s="2" t="n"/>
    </row>
    <row r="37">
      <c r="A37" s="2" t="n"/>
      <c r="B37" s="10" t="n"/>
      <c r="C37" s="2" t="n"/>
      <c r="D37" s="2" t="n"/>
      <c r="E37" s="2" t="n"/>
      <c r="F37" s="8" t="n"/>
      <c r="G37" s="8">
        <f>IF(F37="","",F37*Configuracion!$G$2)</f>
        <v/>
      </c>
      <c r="H37" s="8">
        <f>IF(F37="","",F37+G37)</f>
        <v/>
      </c>
      <c r="I37" s="2" t="n"/>
      <c r="J37" s="2" t="n"/>
      <c r="K37" s="2" t="n"/>
      <c r="L37" s="2" t="n"/>
      <c r="M37" s="2" t="n"/>
    </row>
    <row r="38">
      <c r="A38" s="2" t="n"/>
      <c r="B38" s="10" t="n"/>
      <c r="C38" s="2" t="n"/>
      <c r="D38" s="2" t="n"/>
      <c r="E38" s="2" t="n"/>
      <c r="F38" s="8" t="n"/>
      <c r="G38" s="8">
        <f>IF(F38="","",F38*Configuracion!$G$2)</f>
        <v/>
      </c>
      <c r="H38" s="8">
        <f>IF(F38="","",F38+G38)</f>
        <v/>
      </c>
      <c r="I38" s="2" t="n"/>
      <c r="J38" s="2" t="n"/>
      <c r="K38" s="2" t="n"/>
      <c r="L38" s="2" t="n"/>
      <c r="M38" s="2" t="n"/>
    </row>
    <row r="39">
      <c r="A39" s="2" t="n"/>
      <c r="B39" s="10" t="n"/>
      <c r="C39" s="2" t="n"/>
      <c r="D39" s="2" t="n"/>
      <c r="E39" s="2" t="n"/>
      <c r="F39" s="8" t="n"/>
      <c r="G39" s="8">
        <f>IF(F39="","",F39*Configuracion!$G$2)</f>
        <v/>
      </c>
      <c r="H39" s="8">
        <f>IF(F39="","",F39+G39)</f>
        <v/>
      </c>
      <c r="I39" s="2" t="n"/>
      <c r="J39" s="2" t="n"/>
      <c r="K39" s="2" t="n"/>
      <c r="L39" s="2" t="n"/>
      <c r="M39" s="2" t="n"/>
    </row>
    <row r="40">
      <c r="A40" s="2" t="n"/>
      <c r="B40" s="10" t="n"/>
      <c r="C40" s="2" t="n"/>
      <c r="D40" s="2" t="n"/>
      <c r="E40" s="2" t="n"/>
      <c r="F40" s="8" t="n"/>
      <c r="G40" s="8">
        <f>IF(F40="","",F40*Configuracion!$G$2)</f>
        <v/>
      </c>
      <c r="H40" s="8">
        <f>IF(F40="","",F40+G40)</f>
        <v/>
      </c>
      <c r="I40" s="2" t="n"/>
      <c r="J40" s="2" t="n"/>
      <c r="K40" s="2" t="n"/>
      <c r="L40" s="2" t="n"/>
      <c r="M40" s="2" t="n"/>
    </row>
    <row r="41">
      <c r="A41" s="2" t="n"/>
      <c r="B41" s="10" t="n"/>
      <c r="C41" s="2" t="n"/>
      <c r="D41" s="2" t="n"/>
      <c r="E41" s="2" t="n"/>
      <c r="F41" s="8" t="n"/>
      <c r="G41" s="8">
        <f>IF(F41="","",F41*Configuracion!$G$2)</f>
        <v/>
      </c>
      <c r="H41" s="8">
        <f>IF(F41="","",F41+G41)</f>
        <v/>
      </c>
      <c r="I41" s="2" t="n"/>
      <c r="J41" s="2" t="n"/>
      <c r="K41" s="2" t="n"/>
      <c r="L41" s="2" t="n"/>
      <c r="M41" s="2" t="n"/>
    </row>
    <row r="42">
      <c r="A42" s="2" t="n"/>
      <c r="B42" s="10" t="n"/>
      <c r="C42" s="2" t="n"/>
      <c r="D42" s="2" t="n"/>
      <c r="E42" s="2" t="n"/>
      <c r="F42" s="8" t="n"/>
      <c r="G42" s="8">
        <f>IF(F42="","",F42*Configuracion!$G$2)</f>
        <v/>
      </c>
      <c r="H42" s="8">
        <f>IF(F42="","",F42+G42)</f>
        <v/>
      </c>
      <c r="I42" s="2" t="n"/>
      <c r="J42" s="2" t="n"/>
      <c r="K42" s="2" t="n"/>
      <c r="L42" s="2" t="n"/>
      <c r="M42" s="2" t="n"/>
    </row>
    <row r="43">
      <c r="A43" s="2" t="n"/>
      <c r="B43" s="10" t="n"/>
      <c r="C43" s="2" t="n"/>
      <c r="D43" s="2" t="n"/>
      <c r="E43" s="2" t="n"/>
      <c r="F43" s="8" t="n"/>
      <c r="G43" s="8">
        <f>IF(F43="","",F43*Configuracion!$G$2)</f>
        <v/>
      </c>
      <c r="H43" s="8">
        <f>IF(F43="","",F43+G43)</f>
        <v/>
      </c>
      <c r="I43" s="2" t="n"/>
      <c r="J43" s="2" t="n"/>
      <c r="K43" s="2" t="n"/>
      <c r="L43" s="2" t="n"/>
      <c r="M43" s="2" t="n"/>
    </row>
    <row r="44">
      <c r="A44" s="2" t="n"/>
      <c r="B44" s="10" t="n"/>
      <c r="C44" s="2" t="n"/>
      <c r="D44" s="2" t="n"/>
      <c r="E44" s="2" t="n"/>
      <c r="F44" s="8" t="n"/>
      <c r="G44" s="8">
        <f>IF(F44="","",F44*Configuracion!$G$2)</f>
        <v/>
      </c>
      <c r="H44" s="8">
        <f>IF(F44="","",F44+G44)</f>
        <v/>
      </c>
      <c r="I44" s="2" t="n"/>
      <c r="J44" s="2" t="n"/>
      <c r="K44" s="2" t="n"/>
      <c r="L44" s="2" t="n"/>
      <c r="M44" s="2" t="n"/>
    </row>
    <row r="45">
      <c r="A45" s="2" t="n"/>
      <c r="B45" s="10" t="n"/>
      <c r="C45" s="2" t="n"/>
      <c r="D45" s="2" t="n"/>
      <c r="E45" s="2" t="n"/>
      <c r="F45" s="8" t="n"/>
      <c r="G45" s="8">
        <f>IF(F45="","",F45*Configuracion!$G$2)</f>
        <v/>
      </c>
      <c r="H45" s="8">
        <f>IF(F45="","",F45+G45)</f>
        <v/>
      </c>
      <c r="I45" s="2" t="n"/>
      <c r="J45" s="2" t="n"/>
      <c r="K45" s="2" t="n"/>
      <c r="L45" s="2" t="n"/>
      <c r="M45" s="2" t="n"/>
    </row>
    <row r="46">
      <c r="A46" s="2" t="n"/>
      <c r="B46" s="10" t="n"/>
      <c r="C46" s="2" t="n"/>
      <c r="D46" s="2" t="n"/>
      <c r="E46" s="2" t="n"/>
      <c r="F46" s="8" t="n"/>
      <c r="G46" s="8">
        <f>IF(F46="","",F46*Configuracion!$G$2)</f>
        <v/>
      </c>
      <c r="H46" s="8">
        <f>IF(F46="","",F46+G46)</f>
        <v/>
      </c>
      <c r="I46" s="2" t="n"/>
      <c r="J46" s="2" t="n"/>
      <c r="K46" s="2" t="n"/>
      <c r="L46" s="2" t="n"/>
      <c r="M46" s="2" t="n"/>
    </row>
    <row r="47">
      <c r="A47" s="2" t="n"/>
      <c r="B47" s="10" t="n"/>
      <c r="C47" s="2" t="n"/>
      <c r="D47" s="2" t="n"/>
      <c r="E47" s="2" t="n"/>
      <c r="F47" s="8" t="n"/>
      <c r="G47" s="8">
        <f>IF(F47="","",F47*Configuracion!$G$2)</f>
        <v/>
      </c>
      <c r="H47" s="8">
        <f>IF(F47="","",F47+G47)</f>
        <v/>
      </c>
      <c r="I47" s="2" t="n"/>
      <c r="J47" s="2" t="n"/>
      <c r="K47" s="2" t="n"/>
      <c r="L47" s="2" t="n"/>
      <c r="M47" s="2" t="n"/>
    </row>
    <row r="48">
      <c r="A48" s="2" t="n"/>
      <c r="B48" s="10" t="n"/>
      <c r="C48" s="2" t="n"/>
      <c r="D48" s="2" t="n"/>
      <c r="E48" s="2" t="n"/>
      <c r="F48" s="8" t="n"/>
      <c r="G48" s="8">
        <f>IF(F48="","",F48*Configuracion!$G$2)</f>
        <v/>
      </c>
      <c r="H48" s="8">
        <f>IF(F48="","",F48+G48)</f>
        <v/>
      </c>
      <c r="I48" s="2" t="n"/>
      <c r="J48" s="2" t="n"/>
      <c r="K48" s="2" t="n"/>
      <c r="L48" s="2" t="n"/>
      <c r="M48" s="2" t="n"/>
    </row>
    <row r="49">
      <c r="A49" s="2" t="n"/>
      <c r="B49" s="10" t="n"/>
      <c r="C49" s="2" t="n"/>
      <c r="D49" s="2" t="n"/>
      <c r="E49" s="2" t="n"/>
      <c r="F49" s="8" t="n"/>
      <c r="G49" s="8">
        <f>IF(F49="","",F49*Configuracion!$G$2)</f>
        <v/>
      </c>
      <c r="H49" s="8">
        <f>IF(F49="","",F49+G49)</f>
        <v/>
      </c>
      <c r="I49" s="2" t="n"/>
      <c r="J49" s="2" t="n"/>
      <c r="K49" s="2" t="n"/>
      <c r="L49" s="2" t="n"/>
      <c r="M49" s="2" t="n"/>
    </row>
    <row r="50">
      <c r="A50" s="2" t="n"/>
      <c r="B50" s="10" t="n"/>
      <c r="C50" s="2" t="n"/>
      <c r="D50" s="2" t="n"/>
      <c r="E50" s="2" t="n"/>
      <c r="F50" s="8" t="n"/>
      <c r="G50" s="8">
        <f>IF(F50="","",F50*Configuracion!$G$2)</f>
        <v/>
      </c>
      <c r="H50" s="8">
        <f>IF(F50="","",F50+G50)</f>
        <v/>
      </c>
      <c r="I50" s="2" t="n"/>
      <c r="J50" s="2" t="n"/>
      <c r="K50" s="2" t="n"/>
      <c r="L50" s="2" t="n"/>
      <c r="M50" s="2" t="n"/>
    </row>
    <row r="51">
      <c r="A51" s="2" t="n"/>
      <c r="B51" s="10" t="n"/>
      <c r="C51" s="2" t="n"/>
      <c r="D51" s="2" t="n"/>
      <c r="E51" s="2" t="n"/>
      <c r="F51" s="8" t="n"/>
      <c r="G51" s="8">
        <f>IF(F51="","",F51*Configuracion!$G$2)</f>
        <v/>
      </c>
      <c r="H51" s="8">
        <f>IF(F51="","",F51+G51)</f>
        <v/>
      </c>
      <c r="I51" s="2" t="n"/>
      <c r="J51" s="2" t="n"/>
      <c r="K51" s="2" t="n"/>
      <c r="L51" s="2" t="n"/>
      <c r="M51" s="2" t="n"/>
    </row>
    <row r="52">
      <c r="A52" s="2" t="n"/>
      <c r="B52" s="10" t="n"/>
      <c r="C52" s="2" t="n"/>
      <c r="D52" s="2" t="n"/>
      <c r="E52" s="2" t="n"/>
      <c r="F52" s="8" t="n"/>
      <c r="G52" s="8">
        <f>IF(F52="","",F52*Configuracion!$G$2)</f>
        <v/>
      </c>
      <c r="H52" s="8">
        <f>IF(F52="","",F52+G52)</f>
        <v/>
      </c>
      <c r="I52" s="2" t="n"/>
      <c r="J52" s="2" t="n"/>
      <c r="K52" s="2" t="n"/>
      <c r="L52" s="2" t="n"/>
      <c r="M52" s="2" t="n"/>
    </row>
    <row r="53">
      <c r="A53" s="2" t="n"/>
      <c r="B53" s="10" t="n"/>
      <c r="C53" s="2" t="n"/>
      <c r="D53" s="2" t="n"/>
      <c r="E53" s="2" t="n"/>
      <c r="F53" s="8" t="n"/>
      <c r="G53" s="8">
        <f>IF(F53="","",F53*Configuracion!$G$2)</f>
        <v/>
      </c>
      <c r="H53" s="8">
        <f>IF(F53="","",F53+G53)</f>
        <v/>
      </c>
      <c r="I53" s="2" t="n"/>
      <c r="J53" s="2" t="n"/>
      <c r="K53" s="2" t="n"/>
      <c r="L53" s="2" t="n"/>
      <c r="M53" s="2" t="n"/>
    </row>
    <row r="54">
      <c r="A54" s="2" t="n"/>
      <c r="B54" s="10" t="n"/>
      <c r="C54" s="2" t="n"/>
      <c r="D54" s="2" t="n"/>
      <c r="E54" s="2" t="n"/>
      <c r="F54" s="8" t="n"/>
      <c r="G54" s="8">
        <f>IF(F54="","",F54*Configuracion!$G$2)</f>
        <v/>
      </c>
      <c r="H54" s="8">
        <f>IF(F54="","",F54+G54)</f>
        <v/>
      </c>
      <c r="I54" s="2" t="n"/>
      <c r="J54" s="2" t="n"/>
      <c r="K54" s="2" t="n"/>
      <c r="L54" s="2" t="n"/>
      <c r="M54" s="2" t="n"/>
    </row>
    <row r="55">
      <c r="A55" s="2" t="n"/>
      <c r="B55" s="10" t="n"/>
      <c r="C55" s="2" t="n"/>
      <c r="D55" s="2" t="n"/>
      <c r="E55" s="2" t="n"/>
      <c r="F55" s="8" t="n"/>
      <c r="G55" s="8">
        <f>IF(F55="","",F55*Configuracion!$G$2)</f>
        <v/>
      </c>
      <c r="H55" s="8">
        <f>IF(F55="","",F55+G55)</f>
        <v/>
      </c>
      <c r="I55" s="2" t="n"/>
      <c r="J55" s="2" t="n"/>
      <c r="K55" s="2" t="n"/>
      <c r="L55" s="2" t="n"/>
      <c r="M55" s="2" t="n"/>
    </row>
    <row r="56">
      <c r="A56" s="2" t="n"/>
      <c r="B56" s="10" t="n"/>
      <c r="C56" s="2" t="n"/>
      <c r="D56" s="2" t="n"/>
      <c r="E56" s="2" t="n"/>
      <c r="F56" s="8" t="n"/>
      <c r="G56" s="8">
        <f>IF(F56="","",F56*Configuracion!$G$2)</f>
        <v/>
      </c>
      <c r="H56" s="8">
        <f>IF(F56="","",F56+G56)</f>
        <v/>
      </c>
      <c r="I56" s="2" t="n"/>
      <c r="J56" s="2" t="n"/>
      <c r="K56" s="2" t="n"/>
      <c r="L56" s="2" t="n"/>
      <c r="M56" s="2" t="n"/>
    </row>
    <row r="57">
      <c r="A57" s="2" t="n"/>
      <c r="B57" s="10" t="n"/>
      <c r="C57" s="2" t="n"/>
      <c r="D57" s="2" t="n"/>
      <c r="E57" s="2" t="n"/>
      <c r="F57" s="8" t="n"/>
      <c r="G57" s="8">
        <f>IF(F57="","",F57*Configuracion!$G$2)</f>
        <v/>
      </c>
      <c r="H57" s="8">
        <f>IF(F57="","",F57+G57)</f>
        <v/>
      </c>
      <c r="I57" s="2" t="n"/>
      <c r="J57" s="2" t="n"/>
      <c r="K57" s="2" t="n"/>
      <c r="L57" s="2" t="n"/>
      <c r="M57" s="2" t="n"/>
    </row>
    <row r="58">
      <c r="A58" s="2" t="n"/>
      <c r="B58" s="10" t="n"/>
      <c r="C58" s="2" t="n"/>
      <c r="D58" s="2" t="n"/>
      <c r="E58" s="2" t="n"/>
      <c r="F58" s="8" t="n"/>
      <c r="G58" s="8">
        <f>IF(F58="","",F58*Configuracion!$G$2)</f>
        <v/>
      </c>
      <c r="H58" s="8">
        <f>IF(F58="","",F58+G58)</f>
        <v/>
      </c>
      <c r="I58" s="2" t="n"/>
      <c r="J58" s="2" t="n"/>
      <c r="K58" s="2" t="n"/>
      <c r="L58" s="2" t="n"/>
      <c r="M58" s="2" t="n"/>
    </row>
    <row r="59">
      <c r="A59" s="2" t="n"/>
      <c r="B59" s="10" t="n"/>
      <c r="C59" s="2" t="n"/>
      <c r="D59" s="2" t="n"/>
      <c r="E59" s="2" t="n"/>
      <c r="F59" s="8" t="n"/>
      <c r="G59" s="8">
        <f>IF(F59="","",F59*Configuracion!$G$2)</f>
        <v/>
      </c>
      <c r="H59" s="8">
        <f>IF(F59="","",F59+G59)</f>
        <v/>
      </c>
      <c r="I59" s="2" t="n"/>
      <c r="J59" s="2" t="n"/>
      <c r="K59" s="2" t="n"/>
      <c r="L59" s="2" t="n"/>
      <c r="M59" s="2" t="n"/>
    </row>
    <row r="60">
      <c r="A60" s="2" t="n"/>
      <c r="B60" s="10" t="n"/>
      <c r="C60" s="2" t="n"/>
      <c r="D60" s="2" t="n"/>
      <c r="E60" s="2" t="n"/>
      <c r="F60" s="8" t="n"/>
      <c r="G60" s="8">
        <f>IF(F60="","",F60*Configuracion!$G$2)</f>
        <v/>
      </c>
      <c r="H60" s="8">
        <f>IF(F60="","",F60+G60)</f>
        <v/>
      </c>
      <c r="I60" s="2" t="n"/>
      <c r="J60" s="2" t="n"/>
      <c r="K60" s="2" t="n"/>
      <c r="L60" s="2" t="n"/>
      <c r="M60" s="2" t="n"/>
    </row>
    <row r="61">
      <c r="A61" s="2" t="n"/>
      <c r="B61" s="10" t="n"/>
      <c r="C61" s="2" t="n"/>
      <c r="D61" s="2" t="n"/>
      <c r="E61" s="2" t="n"/>
      <c r="F61" s="8" t="n"/>
      <c r="G61" s="8">
        <f>IF(F61="","",F61*Configuracion!$G$2)</f>
        <v/>
      </c>
      <c r="H61" s="8">
        <f>IF(F61="","",F61+G61)</f>
        <v/>
      </c>
      <c r="I61" s="2" t="n"/>
      <c r="J61" s="2" t="n"/>
      <c r="K61" s="2" t="n"/>
      <c r="L61" s="2" t="n"/>
      <c r="M61" s="2" t="n"/>
    </row>
    <row r="62">
      <c r="A62" s="2" t="n"/>
      <c r="B62" s="10" t="n"/>
      <c r="C62" s="2" t="n"/>
      <c r="D62" s="2" t="n"/>
      <c r="E62" s="2" t="n"/>
      <c r="F62" s="8" t="n"/>
      <c r="G62" s="8">
        <f>IF(F62="","",F62*Configuracion!$G$2)</f>
        <v/>
      </c>
      <c r="H62" s="8">
        <f>IF(F62="","",F62+G62)</f>
        <v/>
      </c>
      <c r="I62" s="2" t="n"/>
      <c r="J62" s="2" t="n"/>
      <c r="K62" s="2" t="n"/>
      <c r="L62" s="2" t="n"/>
      <c r="M62" s="2" t="n"/>
    </row>
    <row r="63">
      <c r="A63" s="2" t="n"/>
      <c r="B63" s="10" t="n"/>
      <c r="C63" s="2" t="n"/>
      <c r="D63" s="2" t="n"/>
      <c r="E63" s="2" t="n"/>
      <c r="F63" s="8" t="n"/>
      <c r="G63" s="8">
        <f>IF(F63="","",F63*Configuracion!$G$2)</f>
        <v/>
      </c>
      <c r="H63" s="8">
        <f>IF(F63="","",F63+G63)</f>
        <v/>
      </c>
      <c r="I63" s="2" t="n"/>
      <c r="J63" s="2" t="n"/>
      <c r="K63" s="2" t="n"/>
      <c r="L63" s="2" t="n"/>
      <c r="M63" s="2" t="n"/>
    </row>
    <row r="64">
      <c r="A64" s="2" t="n"/>
      <c r="B64" s="10" t="n"/>
      <c r="C64" s="2" t="n"/>
      <c r="D64" s="2" t="n"/>
      <c r="E64" s="2" t="n"/>
      <c r="F64" s="8" t="n"/>
      <c r="G64" s="8">
        <f>IF(F64="","",F64*Configuracion!$G$2)</f>
        <v/>
      </c>
      <c r="H64" s="8">
        <f>IF(F64="","",F64+G64)</f>
        <v/>
      </c>
      <c r="I64" s="2" t="n"/>
      <c r="J64" s="2" t="n"/>
      <c r="K64" s="2" t="n"/>
      <c r="L64" s="2" t="n"/>
      <c r="M64" s="2" t="n"/>
    </row>
    <row r="65">
      <c r="A65" s="2" t="n"/>
      <c r="B65" s="10" t="n"/>
      <c r="C65" s="2" t="n"/>
      <c r="D65" s="2" t="n"/>
      <c r="E65" s="2" t="n"/>
      <c r="F65" s="8" t="n"/>
      <c r="G65" s="8">
        <f>IF(F65="","",F65*Configuracion!$G$2)</f>
        <v/>
      </c>
      <c r="H65" s="8">
        <f>IF(F65="","",F65+G65)</f>
        <v/>
      </c>
      <c r="I65" s="2" t="n"/>
      <c r="J65" s="2" t="n"/>
      <c r="K65" s="2" t="n"/>
      <c r="L65" s="2" t="n"/>
      <c r="M65" s="2" t="n"/>
    </row>
    <row r="66">
      <c r="A66" s="2" t="n"/>
      <c r="B66" s="10" t="n"/>
      <c r="C66" s="2" t="n"/>
      <c r="D66" s="2" t="n"/>
      <c r="E66" s="2" t="n"/>
      <c r="F66" s="8" t="n"/>
      <c r="G66" s="8">
        <f>IF(F66="","",F66*Configuracion!$G$2)</f>
        <v/>
      </c>
      <c r="H66" s="8">
        <f>IF(F66="","",F66+G66)</f>
        <v/>
      </c>
      <c r="I66" s="2" t="n"/>
      <c r="J66" s="2" t="n"/>
      <c r="K66" s="2" t="n"/>
      <c r="L66" s="2" t="n"/>
      <c r="M66" s="2" t="n"/>
    </row>
    <row r="67">
      <c r="A67" s="2" t="n"/>
      <c r="B67" s="10" t="n"/>
      <c r="C67" s="2" t="n"/>
      <c r="D67" s="2" t="n"/>
      <c r="E67" s="2" t="n"/>
      <c r="F67" s="8" t="n"/>
      <c r="G67" s="8">
        <f>IF(F67="","",F67*Configuracion!$G$2)</f>
        <v/>
      </c>
      <c r="H67" s="8">
        <f>IF(F67="","",F67+G67)</f>
        <v/>
      </c>
      <c r="I67" s="2" t="n"/>
      <c r="J67" s="2" t="n"/>
      <c r="K67" s="2" t="n"/>
      <c r="L67" s="2" t="n"/>
      <c r="M67" s="2" t="n"/>
    </row>
    <row r="68">
      <c r="A68" s="2" t="n"/>
      <c r="B68" s="10" t="n"/>
      <c r="C68" s="2" t="n"/>
      <c r="D68" s="2" t="n"/>
      <c r="E68" s="2" t="n"/>
      <c r="F68" s="8" t="n"/>
      <c r="G68" s="8">
        <f>IF(F68="","",F68*Configuracion!$G$2)</f>
        <v/>
      </c>
      <c r="H68" s="8">
        <f>IF(F68="","",F68+G68)</f>
        <v/>
      </c>
      <c r="I68" s="2" t="n"/>
      <c r="J68" s="2" t="n"/>
      <c r="K68" s="2" t="n"/>
      <c r="L68" s="2" t="n"/>
      <c r="M68" s="2" t="n"/>
    </row>
    <row r="69">
      <c r="A69" s="2" t="n"/>
      <c r="B69" s="10" t="n"/>
      <c r="C69" s="2" t="n"/>
      <c r="D69" s="2" t="n"/>
      <c r="E69" s="2" t="n"/>
      <c r="F69" s="8" t="n"/>
      <c r="G69" s="8">
        <f>IF(F69="","",F69*Configuracion!$G$2)</f>
        <v/>
      </c>
      <c r="H69" s="8">
        <f>IF(F69="","",F69+G69)</f>
        <v/>
      </c>
      <c r="I69" s="2" t="n"/>
      <c r="J69" s="2" t="n"/>
      <c r="K69" s="2" t="n"/>
      <c r="L69" s="2" t="n"/>
      <c r="M69" s="2" t="n"/>
    </row>
    <row r="70">
      <c r="A70" s="2" t="n"/>
      <c r="B70" s="10" t="n"/>
      <c r="C70" s="2" t="n"/>
      <c r="D70" s="2" t="n"/>
      <c r="E70" s="2" t="n"/>
      <c r="F70" s="8" t="n"/>
      <c r="G70" s="8">
        <f>IF(F70="","",F70*Configuracion!$G$2)</f>
        <v/>
      </c>
      <c r="H70" s="8">
        <f>IF(F70="","",F70+G70)</f>
        <v/>
      </c>
      <c r="I70" s="2" t="n"/>
      <c r="J70" s="2" t="n"/>
      <c r="K70" s="2" t="n"/>
      <c r="L70" s="2" t="n"/>
      <c r="M70" s="2" t="n"/>
    </row>
    <row r="71">
      <c r="A71" s="2" t="n"/>
      <c r="B71" s="10" t="n"/>
      <c r="C71" s="2" t="n"/>
      <c r="D71" s="2" t="n"/>
      <c r="E71" s="2" t="n"/>
      <c r="F71" s="8" t="n"/>
      <c r="G71" s="8">
        <f>IF(F71="","",F71*Configuracion!$G$2)</f>
        <v/>
      </c>
      <c r="H71" s="8">
        <f>IF(F71="","",F71+G71)</f>
        <v/>
      </c>
      <c r="I71" s="2" t="n"/>
      <c r="J71" s="2" t="n"/>
      <c r="K71" s="2" t="n"/>
      <c r="L71" s="2" t="n"/>
      <c r="M71" s="2" t="n"/>
    </row>
    <row r="72">
      <c r="A72" s="2" t="n"/>
      <c r="B72" s="10" t="n"/>
      <c r="C72" s="2" t="n"/>
      <c r="D72" s="2" t="n"/>
      <c r="E72" s="2" t="n"/>
      <c r="F72" s="8" t="n"/>
      <c r="G72" s="8">
        <f>IF(F72="","",F72*Configuracion!$G$2)</f>
        <v/>
      </c>
      <c r="H72" s="8">
        <f>IF(F72="","",F72+G72)</f>
        <v/>
      </c>
      <c r="I72" s="2" t="n"/>
      <c r="J72" s="2" t="n"/>
      <c r="K72" s="2" t="n"/>
      <c r="L72" s="2" t="n"/>
      <c r="M72" s="2" t="n"/>
    </row>
    <row r="73">
      <c r="A73" s="2" t="n"/>
      <c r="B73" s="10" t="n"/>
      <c r="C73" s="2" t="n"/>
      <c r="D73" s="2" t="n"/>
      <c r="E73" s="2" t="n"/>
      <c r="F73" s="8" t="n"/>
      <c r="G73" s="8">
        <f>IF(F73="","",F73*Configuracion!$G$2)</f>
        <v/>
      </c>
      <c r="H73" s="8">
        <f>IF(F73="","",F73+G73)</f>
        <v/>
      </c>
      <c r="I73" s="2" t="n"/>
      <c r="J73" s="2" t="n"/>
      <c r="K73" s="2" t="n"/>
      <c r="L73" s="2" t="n"/>
      <c r="M73" s="2" t="n"/>
    </row>
    <row r="74">
      <c r="A74" s="2" t="n"/>
      <c r="B74" s="10" t="n"/>
      <c r="C74" s="2" t="n"/>
      <c r="D74" s="2" t="n"/>
      <c r="E74" s="2" t="n"/>
      <c r="F74" s="8" t="n"/>
      <c r="G74" s="8">
        <f>IF(F74="","",F74*Configuracion!$G$2)</f>
        <v/>
      </c>
      <c r="H74" s="8">
        <f>IF(F74="","",F74+G74)</f>
        <v/>
      </c>
      <c r="I74" s="2" t="n"/>
      <c r="J74" s="2" t="n"/>
      <c r="K74" s="2" t="n"/>
      <c r="L74" s="2" t="n"/>
      <c r="M74" s="2" t="n"/>
    </row>
    <row r="75">
      <c r="A75" s="2" t="n"/>
      <c r="B75" s="10" t="n"/>
      <c r="C75" s="2" t="n"/>
      <c r="D75" s="2" t="n"/>
      <c r="E75" s="2" t="n"/>
      <c r="F75" s="8" t="n"/>
      <c r="G75" s="8">
        <f>IF(F75="","",F75*Configuracion!$G$2)</f>
        <v/>
      </c>
      <c r="H75" s="8">
        <f>IF(F75="","",F75+G75)</f>
        <v/>
      </c>
      <c r="I75" s="2" t="n"/>
      <c r="J75" s="2" t="n"/>
      <c r="K75" s="2" t="n"/>
      <c r="L75" s="2" t="n"/>
      <c r="M75" s="2" t="n"/>
    </row>
    <row r="76">
      <c r="A76" s="2" t="n"/>
      <c r="B76" s="10" t="n"/>
      <c r="C76" s="2" t="n"/>
      <c r="D76" s="2" t="n"/>
      <c r="E76" s="2" t="n"/>
      <c r="F76" s="8" t="n"/>
      <c r="G76" s="8">
        <f>IF(F76="","",F76*Configuracion!$G$2)</f>
        <v/>
      </c>
      <c r="H76" s="8">
        <f>IF(F76="","",F76+G76)</f>
        <v/>
      </c>
      <c r="I76" s="2" t="n"/>
      <c r="J76" s="2" t="n"/>
      <c r="K76" s="2" t="n"/>
      <c r="L76" s="2" t="n"/>
      <c r="M76" s="2" t="n"/>
    </row>
    <row r="77">
      <c r="A77" s="2" t="n"/>
      <c r="B77" s="10" t="n"/>
      <c r="C77" s="2" t="n"/>
      <c r="D77" s="2" t="n"/>
      <c r="E77" s="2" t="n"/>
      <c r="F77" s="8" t="n"/>
      <c r="G77" s="8">
        <f>IF(F77="","",F77*Configuracion!$G$2)</f>
        <v/>
      </c>
      <c r="H77" s="8">
        <f>IF(F77="","",F77+G77)</f>
        <v/>
      </c>
      <c r="I77" s="2" t="n"/>
      <c r="J77" s="2" t="n"/>
      <c r="K77" s="2" t="n"/>
      <c r="L77" s="2" t="n"/>
      <c r="M77" s="2" t="n"/>
    </row>
    <row r="78">
      <c r="A78" s="2" t="n"/>
      <c r="B78" s="10" t="n"/>
      <c r="C78" s="2" t="n"/>
      <c r="D78" s="2" t="n"/>
      <c r="E78" s="2" t="n"/>
      <c r="F78" s="8" t="n"/>
      <c r="G78" s="8">
        <f>IF(F78="","",F78*Configuracion!$G$2)</f>
        <v/>
      </c>
      <c r="H78" s="8">
        <f>IF(F78="","",F78+G78)</f>
        <v/>
      </c>
      <c r="I78" s="2" t="n"/>
      <c r="J78" s="2" t="n"/>
      <c r="K78" s="2" t="n"/>
      <c r="L78" s="2" t="n"/>
      <c r="M78" s="2" t="n"/>
    </row>
    <row r="79">
      <c r="A79" s="2" t="n"/>
      <c r="B79" s="10" t="n"/>
      <c r="C79" s="2" t="n"/>
      <c r="D79" s="2" t="n"/>
      <c r="E79" s="2" t="n"/>
      <c r="F79" s="8" t="n"/>
      <c r="G79" s="8">
        <f>IF(F79="","",F79*Configuracion!$G$2)</f>
        <v/>
      </c>
      <c r="H79" s="8">
        <f>IF(F79="","",F79+G79)</f>
        <v/>
      </c>
      <c r="I79" s="2" t="n"/>
      <c r="J79" s="2" t="n"/>
      <c r="K79" s="2" t="n"/>
      <c r="L79" s="2" t="n"/>
      <c r="M79" s="2" t="n"/>
    </row>
    <row r="80">
      <c r="A80" s="2" t="n"/>
      <c r="B80" s="10" t="n"/>
      <c r="C80" s="2" t="n"/>
      <c r="D80" s="2" t="n"/>
      <c r="E80" s="2" t="n"/>
      <c r="F80" s="8" t="n"/>
      <c r="G80" s="8">
        <f>IF(F80="","",F80*Configuracion!$G$2)</f>
        <v/>
      </c>
      <c r="H80" s="8">
        <f>IF(F80="","",F80+G80)</f>
        <v/>
      </c>
      <c r="I80" s="2" t="n"/>
      <c r="J80" s="2" t="n"/>
      <c r="K80" s="2" t="n"/>
      <c r="L80" s="2" t="n"/>
      <c r="M80" s="2" t="n"/>
    </row>
    <row r="81">
      <c r="A81" s="2" t="n"/>
      <c r="B81" s="10" t="n"/>
      <c r="C81" s="2" t="n"/>
      <c r="D81" s="2" t="n"/>
      <c r="E81" s="2" t="n"/>
      <c r="F81" s="8" t="n"/>
      <c r="G81" s="8">
        <f>IF(F81="","",F81*Configuracion!$G$2)</f>
        <v/>
      </c>
      <c r="H81" s="8">
        <f>IF(F81="","",F81+G81)</f>
        <v/>
      </c>
      <c r="I81" s="2" t="n"/>
      <c r="J81" s="2" t="n"/>
      <c r="K81" s="2" t="n"/>
      <c r="L81" s="2" t="n"/>
      <c r="M81" s="2" t="n"/>
    </row>
    <row r="82">
      <c r="A82" s="2" t="n"/>
      <c r="B82" s="10" t="n"/>
      <c r="C82" s="2" t="n"/>
      <c r="D82" s="2" t="n"/>
      <c r="E82" s="2" t="n"/>
      <c r="F82" s="8" t="n"/>
      <c r="G82" s="8">
        <f>IF(F82="","",F82*Configuracion!$G$2)</f>
        <v/>
      </c>
      <c r="H82" s="8">
        <f>IF(F82="","",F82+G82)</f>
        <v/>
      </c>
      <c r="I82" s="2" t="n"/>
      <c r="J82" s="2" t="n"/>
      <c r="K82" s="2" t="n"/>
      <c r="L82" s="2" t="n"/>
      <c r="M82" s="2" t="n"/>
    </row>
    <row r="83">
      <c r="A83" s="2" t="n"/>
      <c r="B83" s="10" t="n"/>
      <c r="C83" s="2" t="n"/>
      <c r="D83" s="2" t="n"/>
      <c r="E83" s="2" t="n"/>
      <c r="F83" s="8" t="n"/>
      <c r="G83" s="8">
        <f>IF(F83="","",F83*Configuracion!$G$2)</f>
        <v/>
      </c>
      <c r="H83" s="8">
        <f>IF(F83="","",F83+G83)</f>
        <v/>
      </c>
      <c r="I83" s="2" t="n"/>
      <c r="J83" s="2" t="n"/>
      <c r="K83" s="2" t="n"/>
      <c r="L83" s="2" t="n"/>
      <c r="M83" s="2" t="n"/>
    </row>
    <row r="84">
      <c r="A84" s="2" t="n"/>
      <c r="B84" s="10" t="n"/>
      <c r="C84" s="2" t="n"/>
      <c r="D84" s="2" t="n"/>
      <c r="E84" s="2" t="n"/>
      <c r="F84" s="8" t="n"/>
      <c r="G84" s="8">
        <f>IF(F84="","",F84*Configuracion!$G$2)</f>
        <v/>
      </c>
      <c r="H84" s="8">
        <f>IF(F84="","",F84+G84)</f>
        <v/>
      </c>
      <c r="I84" s="2" t="n"/>
      <c r="J84" s="2" t="n"/>
      <c r="K84" s="2" t="n"/>
      <c r="L84" s="2" t="n"/>
      <c r="M84" s="2" t="n"/>
    </row>
    <row r="85">
      <c r="A85" s="2" t="n"/>
      <c r="B85" s="10" t="n"/>
      <c r="C85" s="2" t="n"/>
      <c r="D85" s="2" t="n"/>
      <c r="E85" s="2" t="n"/>
      <c r="F85" s="8" t="n"/>
      <c r="G85" s="8">
        <f>IF(F85="","",F85*Configuracion!$G$2)</f>
        <v/>
      </c>
      <c r="H85" s="8">
        <f>IF(F85="","",F85+G85)</f>
        <v/>
      </c>
      <c r="I85" s="2" t="n"/>
      <c r="J85" s="2" t="n"/>
      <c r="K85" s="2" t="n"/>
      <c r="L85" s="2" t="n"/>
      <c r="M85" s="2" t="n"/>
    </row>
    <row r="86">
      <c r="A86" s="2" t="n"/>
      <c r="B86" s="10" t="n"/>
      <c r="C86" s="2" t="n"/>
      <c r="D86" s="2" t="n"/>
      <c r="E86" s="2" t="n"/>
      <c r="F86" s="8" t="n"/>
      <c r="G86" s="8">
        <f>IF(F86="","",F86*Configuracion!$G$2)</f>
        <v/>
      </c>
      <c r="H86" s="8">
        <f>IF(F86="","",F86+G86)</f>
        <v/>
      </c>
      <c r="I86" s="2" t="n"/>
      <c r="J86" s="2" t="n"/>
      <c r="K86" s="2" t="n"/>
      <c r="L86" s="2" t="n"/>
      <c r="M86" s="2" t="n"/>
    </row>
    <row r="87">
      <c r="A87" s="2" t="n"/>
      <c r="B87" s="10" t="n"/>
      <c r="C87" s="2" t="n"/>
      <c r="D87" s="2" t="n"/>
      <c r="E87" s="2" t="n"/>
      <c r="F87" s="8" t="n"/>
      <c r="G87" s="8">
        <f>IF(F87="","",F87*Configuracion!$G$2)</f>
        <v/>
      </c>
      <c r="H87" s="8">
        <f>IF(F87="","",F87+G87)</f>
        <v/>
      </c>
      <c r="I87" s="2" t="n"/>
      <c r="J87" s="2" t="n"/>
      <c r="K87" s="2" t="n"/>
      <c r="L87" s="2" t="n"/>
      <c r="M87" s="2" t="n"/>
    </row>
    <row r="88">
      <c r="A88" s="2" t="n"/>
      <c r="B88" s="10" t="n"/>
      <c r="C88" s="2" t="n"/>
      <c r="D88" s="2" t="n"/>
      <c r="E88" s="2" t="n"/>
      <c r="F88" s="8" t="n"/>
      <c r="G88" s="8">
        <f>IF(F88="","",F88*Configuracion!$G$2)</f>
        <v/>
      </c>
      <c r="H88" s="8">
        <f>IF(F88="","",F88+G88)</f>
        <v/>
      </c>
      <c r="I88" s="2" t="n"/>
      <c r="J88" s="2" t="n"/>
      <c r="K88" s="2" t="n"/>
      <c r="L88" s="2" t="n"/>
      <c r="M88" s="2" t="n"/>
    </row>
    <row r="89">
      <c r="A89" s="2" t="n"/>
      <c r="B89" s="10" t="n"/>
      <c r="C89" s="2" t="n"/>
      <c r="D89" s="2" t="n"/>
      <c r="E89" s="2" t="n"/>
      <c r="F89" s="8" t="n"/>
      <c r="G89" s="8">
        <f>IF(F89="","",F89*Configuracion!$G$2)</f>
        <v/>
      </c>
      <c r="H89" s="8">
        <f>IF(F89="","",F89+G89)</f>
        <v/>
      </c>
      <c r="I89" s="2" t="n"/>
      <c r="J89" s="2" t="n"/>
      <c r="K89" s="2" t="n"/>
      <c r="L89" s="2" t="n"/>
      <c r="M89" s="2" t="n"/>
    </row>
    <row r="90">
      <c r="A90" s="2" t="n"/>
      <c r="B90" s="10" t="n"/>
      <c r="C90" s="2" t="n"/>
      <c r="D90" s="2" t="n"/>
      <c r="E90" s="2" t="n"/>
      <c r="F90" s="8" t="n"/>
      <c r="G90" s="8">
        <f>IF(F90="","",F90*Configuracion!$G$2)</f>
        <v/>
      </c>
      <c r="H90" s="8">
        <f>IF(F90="","",F90+G90)</f>
        <v/>
      </c>
      <c r="I90" s="2" t="n"/>
      <c r="J90" s="2" t="n"/>
      <c r="K90" s="2" t="n"/>
      <c r="L90" s="2" t="n"/>
      <c r="M90" s="2" t="n"/>
    </row>
    <row r="91">
      <c r="A91" s="2" t="n"/>
      <c r="B91" s="10" t="n"/>
      <c r="C91" s="2" t="n"/>
      <c r="D91" s="2" t="n"/>
      <c r="E91" s="2" t="n"/>
      <c r="F91" s="8" t="n"/>
      <c r="G91" s="8">
        <f>IF(F91="","",F91*Configuracion!$G$2)</f>
        <v/>
      </c>
      <c r="H91" s="8">
        <f>IF(F91="","",F91+G91)</f>
        <v/>
      </c>
      <c r="I91" s="2" t="n"/>
      <c r="J91" s="2" t="n"/>
      <c r="K91" s="2" t="n"/>
      <c r="L91" s="2" t="n"/>
      <c r="M91" s="2" t="n"/>
    </row>
    <row r="92">
      <c r="A92" s="2" t="n"/>
      <c r="B92" s="10" t="n"/>
      <c r="C92" s="2" t="n"/>
      <c r="D92" s="2" t="n"/>
      <c r="E92" s="2" t="n"/>
      <c r="F92" s="8" t="n"/>
      <c r="G92" s="8">
        <f>IF(F92="","",F92*Configuracion!$G$2)</f>
        <v/>
      </c>
      <c r="H92" s="8">
        <f>IF(F92="","",F92+G92)</f>
        <v/>
      </c>
      <c r="I92" s="2" t="n"/>
      <c r="J92" s="2" t="n"/>
      <c r="K92" s="2" t="n"/>
      <c r="L92" s="2" t="n"/>
      <c r="M92" s="2" t="n"/>
    </row>
    <row r="93">
      <c r="A93" s="2" t="n"/>
      <c r="B93" s="10" t="n"/>
      <c r="C93" s="2" t="n"/>
      <c r="D93" s="2" t="n"/>
      <c r="E93" s="2" t="n"/>
      <c r="F93" s="8" t="n"/>
      <c r="G93" s="8">
        <f>IF(F93="","",F93*Configuracion!$G$2)</f>
        <v/>
      </c>
      <c r="H93" s="8">
        <f>IF(F93="","",F93+G93)</f>
        <v/>
      </c>
      <c r="I93" s="2" t="n"/>
      <c r="J93" s="2" t="n"/>
      <c r="K93" s="2" t="n"/>
      <c r="L93" s="2" t="n"/>
      <c r="M93" s="2" t="n"/>
    </row>
    <row r="94">
      <c r="A94" s="2" t="n"/>
      <c r="B94" s="10" t="n"/>
      <c r="C94" s="2" t="n"/>
      <c r="D94" s="2" t="n"/>
      <c r="E94" s="2" t="n"/>
      <c r="F94" s="8" t="n"/>
      <c r="G94" s="8">
        <f>IF(F94="","",F94*Configuracion!$G$2)</f>
        <v/>
      </c>
      <c r="H94" s="8">
        <f>IF(F94="","",F94+G94)</f>
        <v/>
      </c>
      <c r="I94" s="2" t="n"/>
      <c r="J94" s="2" t="n"/>
      <c r="K94" s="2" t="n"/>
      <c r="L94" s="2" t="n"/>
      <c r="M94" s="2" t="n"/>
    </row>
    <row r="95">
      <c r="A95" s="2" t="n"/>
      <c r="B95" s="10" t="n"/>
      <c r="C95" s="2" t="n"/>
      <c r="D95" s="2" t="n"/>
      <c r="E95" s="2" t="n"/>
      <c r="F95" s="8" t="n"/>
      <c r="G95" s="8">
        <f>IF(F95="","",F95*Configuracion!$G$2)</f>
        <v/>
      </c>
      <c r="H95" s="8">
        <f>IF(F95="","",F95+G95)</f>
        <v/>
      </c>
      <c r="I95" s="2" t="n"/>
      <c r="J95" s="2" t="n"/>
      <c r="K95" s="2" t="n"/>
      <c r="L95" s="2" t="n"/>
      <c r="M95" s="2" t="n"/>
    </row>
    <row r="96">
      <c r="A96" s="2" t="n"/>
      <c r="B96" s="10" t="n"/>
      <c r="C96" s="2" t="n"/>
      <c r="D96" s="2" t="n"/>
      <c r="E96" s="2" t="n"/>
      <c r="F96" s="8" t="n"/>
      <c r="G96" s="8">
        <f>IF(F96="","",F96*Configuracion!$G$2)</f>
        <v/>
      </c>
      <c r="H96" s="8">
        <f>IF(F96="","",F96+G96)</f>
        <v/>
      </c>
      <c r="I96" s="2" t="n"/>
      <c r="J96" s="2" t="n"/>
      <c r="K96" s="2" t="n"/>
      <c r="L96" s="2" t="n"/>
      <c r="M96" s="2" t="n"/>
    </row>
    <row r="97">
      <c r="A97" s="2" t="n"/>
      <c r="B97" s="10" t="n"/>
      <c r="C97" s="2" t="n"/>
      <c r="D97" s="2" t="n"/>
      <c r="E97" s="2" t="n"/>
      <c r="F97" s="8" t="n"/>
      <c r="G97" s="8">
        <f>IF(F97="","",F97*Configuracion!$G$2)</f>
        <v/>
      </c>
      <c r="H97" s="8">
        <f>IF(F97="","",F97+G97)</f>
        <v/>
      </c>
      <c r="I97" s="2" t="n"/>
      <c r="J97" s="2" t="n"/>
      <c r="K97" s="2" t="n"/>
      <c r="L97" s="2" t="n"/>
      <c r="M97" s="2" t="n"/>
    </row>
    <row r="98">
      <c r="A98" s="2" t="n"/>
      <c r="B98" s="10" t="n"/>
      <c r="C98" s="2" t="n"/>
      <c r="D98" s="2" t="n"/>
      <c r="E98" s="2" t="n"/>
      <c r="F98" s="8" t="n"/>
      <c r="G98" s="8">
        <f>IF(F98="","",F98*Configuracion!$G$2)</f>
        <v/>
      </c>
      <c r="H98" s="8">
        <f>IF(F98="","",F98+G98)</f>
        <v/>
      </c>
      <c r="I98" s="2" t="n"/>
      <c r="J98" s="2" t="n"/>
      <c r="K98" s="2" t="n"/>
      <c r="L98" s="2" t="n"/>
      <c r="M98" s="2" t="n"/>
    </row>
    <row r="99">
      <c r="A99" s="2" t="n"/>
      <c r="B99" s="10" t="n"/>
      <c r="C99" s="2" t="n"/>
      <c r="D99" s="2" t="n"/>
      <c r="E99" s="2" t="n"/>
      <c r="F99" s="8" t="n"/>
      <c r="G99" s="8">
        <f>IF(F99="","",F99*Configuracion!$G$2)</f>
        <v/>
      </c>
      <c r="H99" s="8">
        <f>IF(F99="","",F99+G99)</f>
        <v/>
      </c>
      <c r="I99" s="2" t="n"/>
      <c r="J99" s="2" t="n"/>
      <c r="K99" s="2" t="n"/>
      <c r="L99" s="2" t="n"/>
      <c r="M99" s="2" t="n"/>
    </row>
    <row r="100">
      <c r="A100" s="2" t="n"/>
      <c r="B100" s="10" t="n"/>
      <c r="C100" s="2" t="n"/>
      <c r="D100" s="2" t="n"/>
      <c r="E100" s="2" t="n"/>
      <c r="F100" s="8" t="n"/>
      <c r="G100" s="8">
        <f>IF(F100="","",F100*Configuracion!$G$2)</f>
        <v/>
      </c>
      <c r="H100" s="8">
        <f>IF(F100="","",F100+G100)</f>
        <v/>
      </c>
      <c r="I100" s="2" t="n"/>
      <c r="J100" s="2" t="n"/>
      <c r="K100" s="2" t="n"/>
      <c r="L100" s="2" t="n"/>
      <c r="M100" s="2" t="n"/>
    </row>
    <row r="101">
      <c r="A101" s="2" t="n"/>
      <c r="B101" s="10" t="n"/>
      <c r="C101" s="2" t="n"/>
      <c r="D101" s="2" t="n"/>
      <c r="E101" s="2" t="n"/>
      <c r="F101" s="8" t="n"/>
      <c r="G101" s="8">
        <f>IF(F101="","",F101*Configuracion!$G$2)</f>
        <v/>
      </c>
      <c r="H101" s="8">
        <f>IF(F101="","",F101+G101)</f>
        <v/>
      </c>
      <c r="I101" s="2" t="n"/>
      <c r="J101" s="2" t="n"/>
      <c r="K101" s="2" t="n"/>
      <c r="L101" s="2" t="n"/>
      <c r="M101" s="2" t="n"/>
    </row>
    <row r="102">
      <c r="A102" s="2" t="n"/>
      <c r="B102" s="10" t="n"/>
      <c r="C102" s="2" t="n"/>
      <c r="D102" s="2" t="n"/>
      <c r="E102" s="2" t="n"/>
      <c r="F102" s="8" t="n"/>
      <c r="G102" s="8">
        <f>IF(F102="","",F102*Configuracion!$G$2)</f>
        <v/>
      </c>
      <c r="H102" s="8">
        <f>IF(F102="","",F102+G102)</f>
        <v/>
      </c>
      <c r="I102" s="2" t="n"/>
      <c r="J102" s="2" t="n"/>
      <c r="K102" s="2" t="n"/>
      <c r="L102" s="2" t="n"/>
      <c r="M102" s="2" t="n"/>
    </row>
    <row r="103">
      <c r="A103" s="2" t="n"/>
      <c r="B103" s="10" t="n"/>
      <c r="C103" s="2" t="n"/>
      <c r="D103" s="2" t="n"/>
      <c r="E103" s="2" t="n"/>
      <c r="F103" s="8" t="n"/>
      <c r="G103" s="8">
        <f>IF(F103="","",F103*Configuracion!$G$2)</f>
        <v/>
      </c>
      <c r="H103" s="8">
        <f>IF(F103="","",F103+G103)</f>
        <v/>
      </c>
      <c r="I103" s="2" t="n"/>
      <c r="J103" s="2" t="n"/>
      <c r="K103" s="2" t="n"/>
      <c r="L103" s="2" t="n"/>
      <c r="M103" s="2" t="n"/>
    </row>
    <row r="104">
      <c r="A104" s="2" t="n"/>
      <c r="B104" s="10" t="n"/>
      <c r="C104" s="2" t="n"/>
      <c r="D104" s="2" t="n"/>
      <c r="E104" s="2" t="n"/>
      <c r="F104" s="8" t="n"/>
      <c r="G104" s="8">
        <f>IF(F104="","",F104*Configuracion!$G$2)</f>
        <v/>
      </c>
      <c r="H104" s="8">
        <f>IF(F104="","",F104+G104)</f>
        <v/>
      </c>
      <c r="I104" s="2" t="n"/>
      <c r="J104" s="2" t="n"/>
      <c r="K104" s="2" t="n"/>
      <c r="L104" s="2" t="n"/>
      <c r="M104" s="2" t="n"/>
    </row>
    <row r="105">
      <c r="A105" s="2" t="n"/>
      <c r="B105" s="10" t="n"/>
      <c r="C105" s="2" t="n"/>
      <c r="D105" s="2" t="n"/>
      <c r="E105" s="2" t="n"/>
      <c r="F105" s="8" t="n"/>
      <c r="G105" s="8">
        <f>IF(F105="","",F105*Configuracion!$G$2)</f>
        <v/>
      </c>
      <c r="H105" s="8">
        <f>IF(F105="","",F105+G105)</f>
        <v/>
      </c>
      <c r="I105" s="2" t="n"/>
      <c r="J105" s="2" t="n"/>
      <c r="K105" s="2" t="n"/>
      <c r="L105" s="2" t="n"/>
      <c r="M105" s="2" t="n"/>
    </row>
    <row r="106">
      <c r="A106" s="2" t="n"/>
      <c r="B106" s="10" t="n"/>
      <c r="C106" s="2" t="n"/>
      <c r="D106" s="2" t="n"/>
      <c r="E106" s="2" t="n"/>
      <c r="F106" s="8" t="n"/>
      <c r="G106" s="8">
        <f>IF(F106="","",F106*Configuracion!$G$2)</f>
        <v/>
      </c>
      <c r="H106" s="8">
        <f>IF(F106="","",F106+G106)</f>
        <v/>
      </c>
      <c r="I106" s="2" t="n"/>
      <c r="J106" s="2" t="n"/>
      <c r="K106" s="2" t="n"/>
      <c r="L106" s="2" t="n"/>
      <c r="M106" s="2" t="n"/>
    </row>
    <row r="107">
      <c r="A107" s="2" t="n"/>
      <c r="B107" s="10" t="n"/>
      <c r="C107" s="2" t="n"/>
      <c r="D107" s="2" t="n"/>
      <c r="E107" s="2" t="n"/>
      <c r="F107" s="8" t="n"/>
      <c r="G107" s="8">
        <f>IF(F107="","",F107*Configuracion!$G$2)</f>
        <v/>
      </c>
      <c r="H107" s="8">
        <f>IF(F107="","",F107+G107)</f>
        <v/>
      </c>
      <c r="I107" s="2" t="n"/>
      <c r="J107" s="2" t="n"/>
      <c r="K107" s="2" t="n"/>
      <c r="L107" s="2" t="n"/>
      <c r="M107" s="2" t="n"/>
    </row>
    <row r="108">
      <c r="A108" s="2" t="n"/>
      <c r="B108" s="10" t="n"/>
      <c r="C108" s="2" t="n"/>
      <c r="D108" s="2" t="n"/>
      <c r="E108" s="2" t="n"/>
      <c r="F108" s="8" t="n"/>
      <c r="G108" s="8">
        <f>IF(F108="","",F108*Configuracion!$G$2)</f>
        <v/>
      </c>
      <c r="H108" s="8">
        <f>IF(F108="","",F108+G108)</f>
        <v/>
      </c>
      <c r="I108" s="2" t="n"/>
      <c r="J108" s="2" t="n"/>
      <c r="K108" s="2" t="n"/>
      <c r="L108" s="2" t="n"/>
      <c r="M108" s="2" t="n"/>
    </row>
    <row r="109">
      <c r="A109" s="2" t="n"/>
      <c r="B109" s="10" t="n"/>
      <c r="C109" s="2" t="n"/>
      <c r="D109" s="2" t="n"/>
      <c r="E109" s="2" t="n"/>
      <c r="F109" s="8" t="n"/>
      <c r="G109" s="8">
        <f>IF(F109="","",F109*Configuracion!$G$2)</f>
        <v/>
      </c>
      <c r="H109" s="8">
        <f>IF(F109="","",F109+G109)</f>
        <v/>
      </c>
      <c r="I109" s="2" t="n"/>
      <c r="J109" s="2" t="n"/>
      <c r="K109" s="2" t="n"/>
      <c r="L109" s="2" t="n"/>
      <c r="M109" s="2" t="n"/>
    </row>
    <row r="110">
      <c r="A110" s="2" t="n"/>
      <c r="B110" s="10" t="n"/>
      <c r="C110" s="2" t="n"/>
      <c r="D110" s="2" t="n"/>
      <c r="E110" s="2" t="n"/>
      <c r="F110" s="8" t="n"/>
      <c r="G110" s="8">
        <f>IF(F110="","",F110*Configuracion!$G$2)</f>
        <v/>
      </c>
      <c r="H110" s="8">
        <f>IF(F110="","",F110+G110)</f>
        <v/>
      </c>
      <c r="I110" s="2" t="n"/>
      <c r="J110" s="2" t="n"/>
      <c r="K110" s="2" t="n"/>
      <c r="L110" s="2" t="n"/>
      <c r="M110" s="2" t="n"/>
    </row>
    <row r="111">
      <c r="A111" s="2" t="n"/>
      <c r="B111" s="10" t="n"/>
      <c r="C111" s="2" t="n"/>
      <c r="D111" s="2" t="n"/>
      <c r="E111" s="2" t="n"/>
      <c r="F111" s="8" t="n"/>
      <c r="G111" s="8">
        <f>IF(F111="","",F111*Configuracion!$G$2)</f>
        <v/>
      </c>
      <c r="H111" s="8">
        <f>IF(F111="","",F111+G111)</f>
        <v/>
      </c>
      <c r="I111" s="2" t="n"/>
      <c r="J111" s="2" t="n"/>
      <c r="K111" s="2" t="n"/>
      <c r="L111" s="2" t="n"/>
      <c r="M111" s="2" t="n"/>
    </row>
    <row r="112">
      <c r="A112" s="2" t="n"/>
      <c r="B112" s="10" t="n"/>
      <c r="C112" s="2" t="n"/>
      <c r="D112" s="2" t="n"/>
      <c r="E112" s="2" t="n"/>
      <c r="F112" s="8" t="n"/>
      <c r="G112" s="8">
        <f>IF(F112="","",F112*Configuracion!$G$2)</f>
        <v/>
      </c>
      <c r="H112" s="8">
        <f>IF(F112="","",F112+G112)</f>
        <v/>
      </c>
      <c r="I112" s="2" t="n"/>
      <c r="J112" s="2" t="n"/>
      <c r="K112" s="2" t="n"/>
      <c r="L112" s="2" t="n"/>
      <c r="M112" s="2" t="n"/>
    </row>
    <row r="113">
      <c r="A113" s="2" t="n"/>
      <c r="B113" s="10" t="n"/>
      <c r="C113" s="2" t="n"/>
      <c r="D113" s="2" t="n"/>
      <c r="E113" s="2" t="n"/>
      <c r="F113" s="8" t="n"/>
      <c r="G113" s="8">
        <f>IF(F113="","",F113*Configuracion!$G$2)</f>
        <v/>
      </c>
      <c r="H113" s="8">
        <f>IF(F113="","",F113+G113)</f>
        <v/>
      </c>
      <c r="I113" s="2" t="n"/>
      <c r="J113" s="2" t="n"/>
      <c r="K113" s="2" t="n"/>
      <c r="L113" s="2" t="n"/>
      <c r="M113" s="2" t="n"/>
    </row>
    <row r="114">
      <c r="A114" s="2" t="n"/>
      <c r="B114" s="10" t="n"/>
      <c r="C114" s="2" t="n"/>
      <c r="D114" s="2" t="n"/>
      <c r="E114" s="2" t="n"/>
      <c r="F114" s="8" t="n"/>
      <c r="G114" s="8">
        <f>IF(F114="","",F114*Configuracion!$G$2)</f>
        <v/>
      </c>
      <c r="H114" s="8">
        <f>IF(F114="","",F114+G114)</f>
        <v/>
      </c>
      <c r="I114" s="2" t="n"/>
      <c r="J114" s="2" t="n"/>
      <c r="K114" s="2" t="n"/>
      <c r="L114" s="2" t="n"/>
      <c r="M114" s="2" t="n"/>
    </row>
    <row r="115">
      <c r="A115" s="2" t="n"/>
      <c r="B115" s="10" t="n"/>
      <c r="C115" s="2" t="n"/>
      <c r="D115" s="2" t="n"/>
      <c r="E115" s="2" t="n"/>
      <c r="F115" s="8" t="n"/>
      <c r="G115" s="8">
        <f>IF(F115="","",F115*Configuracion!$G$2)</f>
        <v/>
      </c>
      <c r="H115" s="8">
        <f>IF(F115="","",F115+G115)</f>
        <v/>
      </c>
      <c r="I115" s="2" t="n"/>
      <c r="J115" s="2" t="n"/>
      <c r="K115" s="2" t="n"/>
      <c r="L115" s="2" t="n"/>
      <c r="M115" s="2" t="n"/>
    </row>
    <row r="116">
      <c r="A116" s="2" t="n"/>
      <c r="B116" s="10" t="n"/>
      <c r="C116" s="2" t="n"/>
      <c r="D116" s="2" t="n"/>
      <c r="E116" s="2" t="n"/>
      <c r="F116" s="8" t="n"/>
      <c r="G116" s="8">
        <f>IF(F116="","",F116*Configuracion!$G$2)</f>
        <v/>
      </c>
      <c r="H116" s="8">
        <f>IF(F116="","",F116+G116)</f>
        <v/>
      </c>
      <c r="I116" s="2" t="n"/>
      <c r="J116" s="2" t="n"/>
      <c r="K116" s="2" t="n"/>
      <c r="L116" s="2" t="n"/>
      <c r="M116" s="2" t="n"/>
    </row>
    <row r="117">
      <c r="A117" s="2" t="n"/>
      <c r="B117" s="10" t="n"/>
      <c r="C117" s="2" t="n"/>
      <c r="D117" s="2" t="n"/>
      <c r="E117" s="2" t="n"/>
      <c r="F117" s="8" t="n"/>
      <c r="G117" s="8">
        <f>IF(F117="","",F117*Configuracion!$G$2)</f>
        <v/>
      </c>
      <c r="H117" s="8">
        <f>IF(F117="","",F117+G117)</f>
        <v/>
      </c>
      <c r="I117" s="2" t="n"/>
      <c r="J117" s="2" t="n"/>
      <c r="K117" s="2" t="n"/>
      <c r="L117" s="2" t="n"/>
      <c r="M117" s="2" t="n"/>
    </row>
    <row r="118">
      <c r="A118" s="2" t="n"/>
      <c r="B118" s="10" t="n"/>
      <c r="C118" s="2" t="n"/>
      <c r="D118" s="2" t="n"/>
      <c r="E118" s="2" t="n"/>
      <c r="F118" s="8" t="n"/>
      <c r="G118" s="8">
        <f>IF(F118="","",F118*Configuracion!$G$2)</f>
        <v/>
      </c>
      <c r="H118" s="8">
        <f>IF(F118="","",F118+G118)</f>
        <v/>
      </c>
      <c r="I118" s="2" t="n"/>
      <c r="J118" s="2" t="n"/>
      <c r="K118" s="2" t="n"/>
      <c r="L118" s="2" t="n"/>
      <c r="M118" s="2" t="n"/>
    </row>
    <row r="119">
      <c r="A119" s="2" t="n"/>
      <c r="B119" s="10" t="n"/>
      <c r="C119" s="2" t="n"/>
      <c r="D119" s="2" t="n"/>
      <c r="E119" s="2" t="n"/>
      <c r="F119" s="8" t="n"/>
      <c r="G119" s="8">
        <f>IF(F119="","",F119*Configuracion!$G$2)</f>
        <v/>
      </c>
      <c r="H119" s="8">
        <f>IF(F119="","",F119+G119)</f>
        <v/>
      </c>
      <c r="I119" s="2" t="n"/>
      <c r="J119" s="2" t="n"/>
      <c r="K119" s="2" t="n"/>
      <c r="L119" s="2" t="n"/>
      <c r="M119" s="2" t="n"/>
    </row>
    <row r="120">
      <c r="A120" s="2" t="n"/>
      <c r="B120" s="10" t="n"/>
      <c r="C120" s="2" t="n"/>
      <c r="D120" s="2" t="n"/>
      <c r="E120" s="2" t="n"/>
      <c r="F120" s="8" t="n"/>
      <c r="G120" s="8">
        <f>IF(F120="","",F120*Configuracion!$G$2)</f>
        <v/>
      </c>
      <c r="H120" s="8">
        <f>IF(F120="","",F120+G120)</f>
        <v/>
      </c>
      <c r="I120" s="2" t="n"/>
      <c r="J120" s="2" t="n"/>
      <c r="K120" s="2" t="n"/>
      <c r="L120" s="2" t="n"/>
      <c r="M120" s="2" t="n"/>
    </row>
    <row r="121">
      <c r="A121" s="2" t="n"/>
      <c r="B121" s="10" t="n"/>
      <c r="C121" s="2" t="n"/>
      <c r="D121" s="2" t="n"/>
      <c r="E121" s="2" t="n"/>
      <c r="F121" s="8" t="n"/>
      <c r="G121" s="8">
        <f>IF(F121="","",F121*Configuracion!$G$2)</f>
        <v/>
      </c>
      <c r="H121" s="8">
        <f>IF(F121="","",F121+G121)</f>
        <v/>
      </c>
      <c r="I121" s="2" t="n"/>
      <c r="J121" s="2" t="n"/>
      <c r="K121" s="2" t="n"/>
      <c r="L121" s="2" t="n"/>
      <c r="M121" s="2" t="n"/>
    </row>
    <row r="122">
      <c r="A122" s="2" t="n"/>
      <c r="B122" s="10" t="n"/>
      <c r="C122" s="2" t="n"/>
      <c r="D122" s="2" t="n"/>
      <c r="E122" s="2" t="n"/>
      <c r="F122" s="8" t="n"/>
      <c r="G122" s="8">
        <f>IF(F122="","",F122*Configuracion!$G$2)</f>
        <v/>
      </c>
      <c r="H122" s="8">
        <f>IF(F122="","",F122+G122)</f>
        <v/>
      </c>
      <c r="I122" s="2" t="n"/>
      <c r="J122" s="2" t="n"/>
      <c r="K122" s="2" t="n"/>
      <c r="L122" s="2" t="n"/>
      <c r="M122" s="2" t="n"/>
    </row>
    <row r="123">
      <c r="A123" s="2" t="n"/>
      <c r="B123" s="10" t="n"/>
      <c r="C123" s="2" t="n"/>
      <c r="D123" s="2" t="n"/>
      <c r="E123" s="2" t="n"/>
      <c r="F123" s="8" t="n"/>
      <c r="G123" s="8">
        <f>IF(F123="","",F123*Configuracion!$G$2)</f>
        <v/>
      </c>
      <c r="H123" s="8">
        <f>IF(F123="","",F123+G123)</f>
        <v/>
      </c>
      <c r="I123" s="2" t="n"/>
      <c r="J123" s="2" t="n"/>
      <c r="K123" s="2" t="n"/>
      <c r="L123" s="2" t="n"/>
      <c r="M123" s="2" t="n"/>
    </row>
    <row r="124">
      <c r="A124" s="2" t="n"/>
      <c r="B124" s="10" t="n"/>
      <c r="C124" s="2" t="n"/>
      <c r="D124" s="2" t="n"/>
      <c r="E124" s="2" t="n"/>
      <c r="F124" s="8" t="n"/>
      <c r="G124" s="8">
        <f>IF(F124="","",F124*Configuracion!$G$2)</f>
        <v/>
      </c>
      <c r="H124" s="8">
        <f>IF(F124="","",F124+G124)</f>
        <v/>
      </c>
      <c r="I124" s="2" t="n"/>
      <c r="J124" s="2" t="n"/>
      <c r="K124" s="2" t="n"/>
      <c r="L124" s="2" t="n"/>
      <c r="M124" s="2" t="n"/>
    </row>
    <row r="125">
      <c r="A125" s="2" t="n"/>
      <c r="B125" s="10" t="n"/>
      <c r="C125" s="2" t="n"/>
      <c r="D125" s="2" t="n"/>
      <c r="E125" s="2" t="n"/>
      <c r="F125" s="8" t="n"/>
      <c r="G125" s="8">
        <f>IF(F125="","",F125*Configuracion!$G$2)</f>
        <v/>
      </c>
      <c r="H125" s="8">
        <f>IF(F125="","",F125+G125)</f>
        <v/>
      </c>
      <c r="I125" s="2" t="n"/>
      <c r="J125" s="2" t="n"/>
      <c r="K125" s="2" t="n"/>
      <c r="L125" s="2" t="n"/>
      <c r="M125" s="2" t="n"/>
    </row>
    <row r="126">
      <c r="A126" s="2" t="n"/>
      <c r="B126" s="10" t="n"/>
      <c r="C126" s="2" t="n"/>
      <c r="D126" s="2" t="n"/>
      <c r="E126" s="2" t="n"/>
      <c r="F126" s="8" t="n"/>
      <c r="G126" s="8">
        <f>IF(F126="","",F126*Configuracion!$G$2)</f>
        <v/>
      </c>
      <c r="H126" s="8">
        <f>IF(F126="","",F126+G126)</f>
        <v/>
      </c>
      <c r="I126" s="2" t="n"/>
      <c r="J126" s="2" t="n"/>
      <c r="K126" s="2" t="n"/>
      <c r="L126" s="2" t="n"/>
      <c r="M126" s="2" t="n"/>
    </row>
    <row r="127">
      <c r="A127" s="2" t="n"/>
      <c r="B127" s="10" t="n"/>
      <c r="C127" s="2" t="n"/>
      <c r="D127" s="2" t="n"/>
      <c r="E127" s="2" t="n"/>
      <c r="F127" s="8" t="n"/>
      <c r="G127" s="8">
        <f>IF(F127="","",F127*Configuracion!$G$2)</f>
        <v/>
      </c>
      <c r="H127" s="8">
        <f>IF(F127="","",F127+G127)</f>
        <v/>
      </c>
      <c r="I127" s="2" t="n"/>
      <c r="J127" s="2" t="n"/>
      <c r="K127" s="2" t="n"/>
      <c r="L127" s="2" t="n"/>
      <c r="M127" s="2" t="n"/>
    </row>
    <row r="128">
      <c r="A128" s="2" t="n"/>
      <c r="B128" s="10" t="n"/>
      <c r="C128" s="2" t="n"/>
      <c r="D128" s="2" t="n"/>
      <c r="E128" s="2" t="n"/>
      <c r="F128" s="8" t="n"/>
      <c r="G128" s="8">
        <f>IF(F128="","",F128*Configuracion!$G$2)</f>
        <v/>
      </c>
      <c r="H128" s="8">
        <f>IF(F128="","",F128+G128)</f>
        <v/>
      </c>
      <c r="I128" s="2" t="n"/>
      <c r="J128" s="2" t="n"/>
      <c r="K128" s="2" t="n"/>
      <c r="L128" s="2" t="n"/>
      <c r="M128" s="2" t="n"/>
    </row>
    <row r="129">
      <c r="A129" s="2" t="n"/>
      <c r="B129" s="10" t="n"/>
      <c r="C129" s="2" t="n"/>
      <c r="D129" s="2" t="n"/>
      <c r="E129" s="2" t="n"/>
      <c r="F129" s="8" t="n"/>
      <c r="G129" s="8">
        <f>IF(F129="","",F129*Configuracion!$G$2)</f>
        <v/>
      </c>
      <c r="H129" s="8">
        <f>IF(F129="","",F129+G129)</f>
        <v/>
      </c>
      <c r="I129" s="2" t="n"/>
      <c r="J129" s="2" t="n"/>
      <c r="K129" s="2" t="n"/>
      <c r="L129" s="2" t="n"/>
      <c r="M129" s="2" t="n"/>
    </row>
    <row r="130">
      <c r="A130" s="2" t="n"/>
      <c r="B130" s="10" t="n"/>
      <c r="C130" s="2" t="n"/>
      <c r="D130" s="2" t="n"/>
      <c r="E130" s="2" t="n"/>
      <c r="F130" s="8" t="n"/>
      <c r="G130" s="8">
        <f>IF(F130="","",F130*Configuracion!$G$2)</f>
        <v/>
      </c>
      <c r="H130" s="8">
        <f>IF(F130="","",F130+G130)</f>
        <v/>
      </c>
      <c r="I130" s="2" t="n"/>
      <c r="J130" s="2" t="n"/>
      <c r="K130" s="2" t="n"/>
      <c r="L130" s="2" t="n"/>
      <c r="M130" s="2" t="n"/>
    </row>
    <row r="131">
      <c r="A131" s="2" t="n"/>
      <c r="B131" s="10" t="n"/>
      <c r="C131" s="2" t="n"/>
      <c r="D131" s="2" t="n"/>
      <c r="E131" s="2" t="n"/>
      <c r="F131" s="8" t="n"/>
      <c r="G131" s="8">
        <f>IF(F131="","",F131*Configuracion!$G$2)</f>
        <v/>
      </c>
      <c r="H131" s="8">
        <f>IF(F131="","",F131+G131)</f>
        <v/>
      </c>
      <c r="I131" s="2" t="n"/>
      <c r="J131" s="2" t="n"/>
      <c r="K131" s="2" t="n"/>
      <c r="L131" s="2" t="n"/>
      <c r="M131" s="2" t="n"/>
    </row>
    <row r="132">
      <c r="A132" s="2" t="n"/>
      <c r="B132" s="10" t="n"/>
      <c r="C132" s="2" t="n"/>
      <c r="D132" s="2" t="n"/>
      <c r="E132" s="2" t="n"/>
      <c r="F132" s="8" t="n"/>
      <c r="G132" s="8">
        <f>IF(F132="","",F132*Configuracion!$G$2)</f>
        <v/>
      </c>
      <c r="H132" s="8">
        <f>IF(F132="","",F132+G132)</f>
        <v/>
      </c>
      <c r="I132" s="2" t="n"/>
      <c r="J132" s="2" t="n"/>
      <c r="K132" s="2" t="n"/>
      <c r="L132" s="2" t="n"/>
      <c r="M132" s="2" t="n"/>
    </row>
    <row r="133">
      <c r="A133" s="2" t="n"/>
      <c r="B133" s="10" t="n"/>
      <c r="C133" s="2" t="n"/>
      <c r="D133" s="2" t="n"/>
      <c r="E133" s="2" t="n"/>
      <c r="F133" s="8" t="n"/>
      <c r="G133" s="8">
        <f>IF(F133="","",F133*Configuracion!$G$2)</f>
        <v/>
      </c>
      <c r="H133" s="8">
        <f>IF(F133="","",F133+G133)</f>
        <v/>
      </c>
      <c r="I133" s="2" t="n"/>
      <c r="J133" s="2" t="n"/>
      <c r="K133" s="2" t="n"/>
      <c r="L133" s="2" t="n"/>
      <c r="M133" s="2" t="n"/>
    </row>
    <row r="134">
      <c r="A134" s="2" t="n"/>
      <c r="B134" s="10" t="n"/>
      <c r="C134" s="2" t="n"/>
      <c r="D134" s="2" t="n"/>
      <c r="E134" s="2" t="n"/>
      <c r="F134" s="8" t="n"/>
      <c r="G134" s="8">
        <f>IF(F134="","",F134*Configuracion!$G$2)</f>
        <v/>
      </c>
      <c r="H134" s="8">
        <f>IF(F134="","",F134+G134)</f>
        <v/>
      </c>
      <c r="I134" s="2" t="n"/>
      <c r="J134" s="2" t="n"/>
      <c r="K134" s="2" t="n"/>
      <c r="L134" s="2" t="n"/>
      <c r="M134" s="2" t="n"/>
    </row>
    <row r="135">
      <c r="A135" s="2" t="n"/>
      <c r="B135" s="10" t="n"/>
      <c r="C135" s="2" t="n"/>
      <c r="D135" s="2" t="n"/>
      <c r="E135" s="2" t="n"/>
      <c r="F135" s="8" t="n"/>
      <c r="G135" s="8">
        <f>IF(F135="","",F135*Configuracion!$G$2)</f>
        <v/>
      </c>
      <c r="H135" s="8">
        <f>IF(F135="","",F135+G135)</f>
        <v/>
      </c>
      <c r="I135" s="2" t="n"/>
      <c r="J135" s="2" t="n"/>
      <c r="K135" s="2" t="n"/>
      <c r="L135" s="2" t="n"/>
      <c r="M135" s="2" t="n"/>
    </row>
    <row r="136">
      <c r="A136" s="2" t="n"/>
      <c r="B136" s="10" t="n"/>
      <c r="C136" s="2" t="n"/>
      <c r="D136" s="2" t="n"/>
      <c r="E136" s="2" t="n"/>
      <c r="F136" s="8" t="n"/>
      <c r="G136" s="8">
        <f>IF(F136="","",F136*Configuracion!$G$2)</f>
        <v/>
      </c>
      <c r="H136" s="8">
        <f>IF(F136="","",F136+G136)</f>
        <v/>
      </c>
      <c r="I136" s="2" t="n"/>
      <c r="J136" s="2" t="n"/>
      <c r="K136" s="2" t="n"/>
      <c r="L136" s="2" t="n"/>
      <c r="M136" s="2" t="n"/>
    </row>
    <row r="137">
      <c r="A137" s="2" t="n"/>
      <c r="B137" s="10" t="n"/>
      <c r="C137" s="2" t="n"/>
      <c r="D137" s="2" t="n"/>
      <c r="E137" s="2" t="n"/>
      <c r="F137" s="8" t="n"/>
      <c r="G137" s="8">
        <f>IF(F137="","",F137*Configuracion!$G$2)</f>
        <v/>
      </c>
      <c r="H137" s="8">
        <f>IF(F137="","",F137+G137)</f>
        <v/>
      </c>
      <c r="I137" s="2" t="n"/>
      <c r="J137" s="2" t="n"/>
      <c r="K137" s="2" t="n"/>
      <c r="L137" s="2" t="n"/>
      <c r="M137" s="2" t="n"/>
    </row>
    <row r="138">
      <c r="A138" s="2" t="n"/>
      <c r="B138" s="10" t="n"/>
      <c r="C138" s="2" t="n"/>
      <c r="D138" s="2" t="n"/>
      <c r="E138" s="2" t="n"/>
      <c r="F138" s="8" t="n"/>
      <c r="G138" s="8">
        <f>IF(F138="","",F138*Configuracion!$G$2)</f>
        <v/>
      </c>
      <c r="H138" s="8">
        <f>IF(F138="","",F138+G138)</f>
        <v/>
      </c>
      <c r="I138" s="2" t="n"/>
      <c r="J138" s="2" t="n"/>
      <c r="K138" s="2" t="n"/>
      <c r="L138" s="2" t="n"/>
      <c r="M138" s="2" t="n"/>
    </row>
    <row r="139">
      <c r="A139" s="2" t="n"/>
      <c r="B139" s="10" t="n"/>
      <c r="C139" s="2" t="n"/>
      <c r="D139" s="2" t="n"/>
      <c r="E139" s="2" t="n"/>
      <c r="F139" s="8" t="n"/>
      <c r="G139" s="8">
        <f>IF(F139="","",F139*Configuracion!$G$2)</f>
        <v/>
      </c>
      <c r="H139" s="8">
        <f>IF(F139="","",F139+G139)</f>
        <v/>
      </c>
      <c r="I139" s="2" t="n"/>
      <c r="J139" s="2" t="n"/>
      <c r="K139" s="2" t="n"/>
      <c r="L139" s="2" t="n"/>
      <c r="M139" s="2" t="n"/>
    </row>
    <row r="140">
      <c r="A140" s="2" t="n"/>
      <c r="B140" s="10" t="n"/>
      <c r="C140" s="2" t="n"/>
      <c r="D140" s="2" t="n"/>
      <c r="E140" s="2" t="n"/>
      <c r="F140" s="8" t="n"/>
      <c r="G140" s="8">
        <f>IF(F140="","",F140*Configuracion!$G$2)</f>
        <v/>
      </c>
      <c r="H140" s="8">
        <f>IF(F140="","",F140+G140)</f>
        <v/>
      </c>
      <c r="I140" s="2" t="n"/>
      <c r="J140" s="2" t="n"/>
      <c r="K140" s="2" t="n"/>
      <c r="L140" s="2" t="n"/>
      <c r="M140" s="2" t="n"/>
    </row>
    <row r="141">
      <c r="A141" s="2" t="n"/>
      <c r="B141" s="10" t="n"/>
      <c r="C141" s="2" t="n"/>
      <c r="D141" s="2" t="n"/>
      <c r="E141" s="2" t="n"/>
      <c r="F141" s="8" t="n"/>
      <c r="G141" s="8">
        <f>IF(F141="","",F141*Configuracion!$G$2)</f>
        <v/>
      </c>
      <c r="H141" s="8">
        <f>IF(F141="","",F141+G141)</f>
        <v/>
      </c>
      <c r="I141" s="2" t="n"/>
      <c r="J141" s="2" t="n"/>
      <c r="K141" s="2" t="n"/>
      <c r="L141" s="2" t="n"/>
      <c r="M141" s="2" t="n"/>
    </row>
    <row r="142">
      <c r="A142" s="2" t="n"/>
      <c r="B142" s="10" t="n"/>
      <c r="C142" s="2" t="n"/>
      <c r="D142" s="2" t="n"/>
      <c r="E142" s="2" t="n"/>
      <c r="F142" s="8" t="n"/>
      <c r="G142" s="8">
        <f>IF(F142="","",F142*Configuracion!$G$2)</f>
        <v/>
      </c>
      <c r="H142" s="8">
        <f>IF(F142="","",F142+G142)</f>
        <v/>
      </c>
      <c r="I142" s="2" t="n"/>
      <c r="J142" s="2" t="n"/>
      <c r="K142" s="2" t="n"/>
      <c r="L142" s="2" t="n"/>
      <c r="M142" s="2" t="n"/>
    </row>
    <row r="143">
      <c r="A143" s="2" t="n"/>
      <c r="B143" s="10" t="n"/>
      <c r="C143" s="2" t="n"/>
      <c r="D143" s="2" t="n"/>
      <c r="E143" s="2" t="n"/>
      <c r="F143" s="8" t="n"/>
      <c r="G143" s="8">
        <f>IF(F143="","",F143*Configuracion!$G$2)</f>
        <v/>
      </c>
      <c r="H143" s="8">
        <f>IF(F143="","",F143+G143)</f>
        <v/>
      </c>
      <c r="I143" s="2" t="n"/>
      <c r="J143" s="2" t="n"/>
      <c r="K143" s="2" t="n"/>
      <c r="L143" s="2" t="n"/>
      <c r="M143" s="2" t="n"/>
    </row>
    <row r="144">
      <c r="A144" s="2" t="n"/>
      <c r="B144" s="10" t="n"/>
      <c r="C144" s="2" t="n"/>
      <c r="D144" s="2" t="n"/>
      <c r="E144" s="2" t="n"/>
      <c r="F144" s="8" t="n"/>
      <c r="G144" s="8">
        <f>IF(F144="","",F144*Configuracion!$G$2)</f>
        <v/>
      </c>
      <c r="H144" s="8">
        <f>IF(F144="","",F144+G144)</f>
        <v/>
      </c>
      <c r="I144" s="2" t="n"/>
      <c r="J144" s="2" t="n"/>
      <c r="K144" s="2" t="n"/>
      <c r="L144" s="2" t="n"/>
      <c r="M144" s="2" t="n"/>
    </row>
    <row r="145">
      <c r="A145" s="2" t="n"/>
      <c r="B145" s="10" t="n"/>
      <c r="C145" s="2" t="n"/>
      <c r="D145" s="2" t="n"/>
      <c r="E145" s="2" t="n"/>
      <c r="F145" s="8" t="n"/>
      <c r="G145" s="8">
        <f>IF(F145="","",F145*Configuracion!$G$2)</f>
        <v/>
      </c>
      <c r="H145" s="8">
        <f>IF(F145="","",F145+G145)</f>
        <v/>
      </c>
      <c r="I145" s="2" t="n"/>
      <c r="J145" s="2" t="n"/>
      <c r="K145" s="2" t="n"/>
      <c r="L145" s="2" t="n"/>
      <c r="M145" s="2" t="n"/>
    </row>
    <row r="146">
      <c r="A146" s="2" t="n"/>
      <c r="B146" s="10" t="n"/>
      <c r="C146" s="2" t="n"/>
      <c r="D146" s="2" t="n"/>
      <c r="E146" s="2" t="n"/>
      <c r="F146" s="8" t="n"/>
      <c r="G146" s="8">
        <f>IF(F146="","",F146*Configuracion!$G$2)</f>
        <v/>
      </c>
      <c r="H146" s="8">
        <f>IF(F146="","",F146+G146)</f>
        <v/>
      </c>
      <c r="I146" s="2" t="n"/>
      <c r="J146" s="2" t="n"/>
      <c r="K146" s="2" t="n"/>
      <c r="L146" s="2" t="n"/>
      <c r="M146" s="2" t="n"/>
    </row>
    <row r="147">
      <c r="A147" s="2" t="n"/>
      <c r="B147" s="10" t="n"/>
      <c r="C147" s="2" t="n"/>
      <c r="D147" s="2" t="n"/>
      <c r="E147" s="2" t="n"/>
      <c r="F147" s="8" t="n"/>
      <c r="G147" s="8">
        <f>IF(F147="","",F147*Configuracion!$G$2)</f>
        <v/>
      </c>
      <c r="H147" s="8">
        <f>IF(F147="","",F147+G147)</f>
        <v/>
      </c>
      <c r="I147" s="2" t="n"/>
      <c r="J147" s="2" t="n"/>
      <c r="K147" s="2" t="n"/>
      <c r="L147" s="2" t="n"/>
      <c r="M147" s="2" t="n"/>
    </row>
    <row r="148">
      <c r="A148" s="2" t="n"/>
      <c r="B148" s="10" t="n"/>
      <c r="C148" s="2" t="n"/>
      <c r="D148" s="2" t="n"/>
      <c r="E148" s="2" t="n"/>
      <c r="F148" s="8" t="n"/>
      <c r="G148" s="8">
        <f>IF(F148="","",F148*Configuracion!$G$2)</f>
        <v/>
      </c>
      <c r="H148" s="8">
        <f>IF(F148="","",F148+G148)</f>
        <v/>
      </c>
      <c r="I148" s="2" t="n"/>
      <c r="J148" s="2" t="n"/>
      <c r="K148" s="2" t="n"/>
      <c r="L148" s="2" t="n"/>
      <c r="M148" s="2" t="n"/>
    </row>
    <row r="149">
      <c r="A149" s="2" t="n"/>
      <c r="B149" s="10" t="n"/>
      <c r="C149" s="2" t="n"/>
      <c r="D149" s="2" t="n"/>
      <c r="E149" s="2" t="n"/>
      <c r="F149" s="8" t="n"/>
      <c r="G149" s="8">
        <f>IF(F149="","",F149*Configuracion!$G$2)</f>
        <v/>
      </c>
      <c r="H149" s="8">
        <f>IF(F149="","",F149+G149)</f>
        <v/>
      </c>
      <c r="I149" s="2" t="n"/>
      <c r="J149" s="2" t="n"/>
      <c r="K149" s="2" t="n"/>
      <c r="L149" s="2" t="n"/>
      <c r="M149" s="2" t="n"/>
    </row>
    <row r="150">
      <c r="A150" s="2" t="n"/>
      <c r="B150" s="10" t="n"/>
      <c r="C150" s="2" t="n"/>
      <c r="D150" s="2" t="n"/>
      <c r="E150" s="2" t="n"/>
      <c r="F150" s="8" t="n"/>
      <c r="G150" s="8">
        <f>IF(F150="","",F150*Configuracion!$G$2)</f>
        <v/>
      </c>
      <c r="H150" s="8">
        <f>IF(F150="","",F150+G150)</f>
        <v/>
      </c>
      <c r="I150" s="2" t="n"/>
      <c r="J150" s="2" t="n"/>
      <c r="K150" s="2" t="n"/>
      <c r="L150" s="2" t="n"/>
      <c r="M150" s="2" t="n"/>
    </row>
    <row r="151">
      <c r="A151" s="2" t="n"/>
      <c r="B151" s="10" t="n"/>
      <c r="C151" s="2" t="n"/>
      <c r="D151" s="2" t="n"/>
      <c r="E151" s="2" t="n"/>
      <c r="F151" s="8" t="n"/>
      <c r="G151" s="8">
        <f>IF(F151="","",F151*Configuracion!$G$2)</f>
        <v/>
      </c>
      <c r="H151" s="8">
        <f>IF(F151="","",F151+G151)</f>
        <v/>
      </c>
      <c r="I151" s="2" t="n"/>
      <c r="J151" s="2" t="n"/>
      <c r="K151" s="2" t="n"/>
      <c r="L151" s="2" t="n"/>
      <c r="M151" s="2" t="n"/>
    </row>
    <row r="152">
      <c r="A152" s="2" t="n"/>
      <c r="B152" s="10" t="n"/>
      <c r="C152" s="2" t="n"/>
      <c r="D152" s="2" t="n"/>
      <c r="E152" s="2" t="n"/>
      <c r="F152" s="8" t="n"/>
      <c r="G152" s="8">
        <f>IF(F152="","",F152*Configuracion!$G$2)</f>
        <v/>
      </c>
      <c r="H152" s="8">
        <f>IF(F152="","",F152+G152)</f>
        <v/>
      </c>
      <c r="I152" s="2" t="n"/>
      <c r="J152" s="2" t="n"/>
      <c r="K152" s="2" t="n"/>
      <c r="L152" s="2" t="n"/>
      <c r="M152" s="2" t="n"/>
    </row>
    <row r="153">
      <c r="A153" s="2" t="n"/>
      <c r="B153" s="10" t="n"/>
      <c r="C153" s="2" t="n"/>
      <c r="D153" s="2" t="n"/>
      <c r="E153" s="2" t="n"/>
      <c r="F153" s="8" t="n"/>
      <c r="G153" s="8">
        <f>IF(F153="","",F153*Configuracion!$G$2)</f>
        <v/>
      </c>
      <c r="H153" s="8">
        <f>IF(F153="","",F153+G153)</f>
        <v/>
      </c>
      <c r="I153" s="2" t="n"/>
      <c r="J153" s="2" t="n"/>
      <c r="K153" s="2" t="n"/>
      <c r="L153" s="2" t="n"/>
      <c r="M153" s="2" t="n"/>
    </row>
    <row r="154">
      <c r="A154" s="2" t="n"/>
      <c r="B154" s="10" t="n"/>
      <c r="C154" s="2" t="n"/>
      <c r="D154" s="2" t="n"/>
      <c r="E154" s="2" t="n"/>
      <c r="F154" s="8" t="n"/>
      <c r="G154" s="8">
        <f>IF(F154="","",F154*Configuracion!$G$2)</f>
        <v/>
      </c>
      <c r="H154" s="8">
        <f>IF(F154="","",F154+G154)</f>
        <v/>
      </c>
      <c r="I154" s="2" t="n"/>
      <c r="J154" s="2" t="n"/>
      <c r="K154" s="2" t="n"/>
      <c r="L154" s="2" t="n"/>
      <c r="M154" s="2" t="n"/>
    </row>
    <row r="155">
      <c r="A155" s="2" t="n"/>
      <c r="B155" s="10" t="n"/>
      <c r="C155" s="2" t="n"/>
      <c r="D155" s="2" t="n"/>
      <c r="E155" s="2" t="n"/>
      <c r="F155" s="8" t="n"/>
      <c r="G155" s="8">
        <f>IF(F155="","",F155*Configuracion!$G$2)</f>
        <v/>
      </c>
      <c r="H155" s="8">
        <f>IF(F155="","",F155+G155)</f>
        <v/>
      </c>
      <c r="I155" s="2" t="n"/>
      <c r="J155" s="2" t="n"/>
      <c r="K155" s="2" t="n"/>
      <c r="L155" s="2" t="n"/>
      <c r="M155" s="2" t="n"/>
    </row>
    <row r="156">
      <c r="A156" s="2" t="n"/>
      <c r="B156" s="10" t="n"/>
      <c r="C156" s="2" t="n"/>
      <c r="D156" s="2" t="n"/>
      <c r="E156" s="2" t="n"/>
      <c r="F156" s="8" t="n"/>
      <c r="G156" s="8">
        <f>IF(F156="","",F156*Configuracion!$G$2)</f>
        <v/>
      </c>
      <c r="H156" s="8">
        <f>IF(F156="","",F156+G156)</f>
        <v/>
      </c>
      <c r="I156" s="2" t="n"/>
      <c r="J156" s="2" t="n"/>
      <c r="K156" s="2" t="n"/>
      <c r="L156" s="2" t="n"/>
      <c r="M156" s="2" t="n"/>
    </row>
    <row r="157">
      <c r="A157" s="2" t="n"/>
      <c r="B157" s="10" t="n"/>
      <c r="C157" s="2" t="n"/>
      <c r="D157" s="2" t="n"/>
      <c r="E157" s="2" t="n"/>
      <c r="F157" s="8" t="n"/>
      <c r="G157" s="8">
        <f>IF(F157="","",F157*Configuracion!$G$2)</f>
        <v/>
      </c>
      <c r="H157" s="8">
        <f>IF(F157="","",F157+G157)</f>
        <v/>
      </c>
      <c r="I157" s="2" t="n"/>
      <c r="J157" s="2" t="n"/>
      <c r="K157" s="2" t="n"/>
      <c r="L157" s="2" t="n"/>
      <c r="M157" s="2" t="n"/>
    </row>
    <row r="158">
      <c r="A158" s="2" t="n"/>
      <c r="B158" s="10" t="n"/>
      <c r="C158" s="2" t="n"/>
      <c r="D158" s="2" t="n"/>
      <c r="E158" s="2" t="n"/>
      <c r="F158" s="8" t="n"/>
      <c r="G158" s="8">
        <f>IF(F158="","",F158*Configuracion!$G$2)</f>
        <v/>
      </c>
      <c r="H158" s="8">
        <f>IF(F158="","",F158+G158)</f>
        <v/>
      </c>
      <c r="I158" s="2" t="n"/>
      <c r="J158" s="2" t="n"/>
      <c r="K158" s="2" t="n"/>
      <c r="L158" s="2" t="n"/>
      <c r="M158" s="2" t="n"/>
    </row>
    <row r="159">
      <c r="A159" s="2" t="n"/>
      <c r="B159" s="10" t="n"/>
      <c r="C159" s="2" t="n"/>
      <c r="D159" s="2" t="n"/>
      <c r="E159" s="2" t="n"/>
      <c r="F159" s="8" t="n"/>
      <c r="G159" s="8">
        <f>IF(F159="","",F159*Configuracion!$G$2)</f>
        <v/>
      </c>
      <c r="H159" s="8">
        <f>IF(F159="","",F159+G159)</f>
        <v/>
      </c>
      <c r="I159" s="2" t="n"/>
      <c r="J159" s="2" t="n"/>
      <c r="K159" s="2" t="n"/>
      <c r="L159" s="2" t="n"/>
      <c r="M159" s="2" t="n"/>
    </row>
    <row r="160">
      <c r="A160" s="2" t="n"/>
      <c r="B160" s="10" t="n"/>
      <c r="C160" s="2" t="n"/>
      <c r="D160" s="2" t="n"/>
      <c r="E160" s="2" t="n"/>
      <c r="F160" s="8" t="n"/>
      <c r="G160" s="8">
        <f>IF(F160="","",F160*Configuracion!$G$2)</f>
        <v/>
      </c>
      <c r="H160" s="8">
        <f>IF(F160="","",F160+G160)</f>
        <v/>
      </c>
      <c r="I160" s="2" t="n"/>
      <c r="J160" s="2" t="n"/>
      <c r="K160" s="2" t="n"/>
      <c r="L160" s="2" t="n"/>
      <c r="M160" s="2" t="n"/>
    </row>
    <row r="161">
      <c r="A161" s="2" t="n"/>
      <c r="B161" s="10" t="n"/>
      <c r="C161" s="2" t="n"/>
      <c r="D161" s="2" t="n"/>
      <c r="E161" s="2" t="n"/>
      <c r="F161" s="8" t="n"/>
      <c r="G161" s="8">
        <f>IF(F161="","",F161*Configuracion!$G$2)</f>
        <v/>
      </c>
      <c r="H161" s="8">
        <f>IF(F161="","",F161+G161)</f>
        <v/>
      </c>
      <c r="I161" s="2" t="n"/>
      <c r="J161" s="2" t="n"/>
      <c r="K161" s="2" t="n"/>
      <c r="L161" s="2" t="n"/>
      <c r="M161" s="2" t="n"/>
    </row>
    <row r="162">
      <c r="A162" s="2" t="n"/>
      <c r="B162" s="10" t="n"/>
      <c r="C162" s="2" t="n"/>
      <c r="D162" s="2" t="n"/>
      <c r="E162" s="2" t="n"/>
      <c r="F162" s="8" t="n"/>
      <c r="G162" s="8">
        <f>IF(F162="","",F162*Configuracion!$G$2)</f>
        <v/>
      </c>
      <c r="H162" s="8">
        <f>IF(F162="","",F162+G162)</f>
        <v/>
      </c>
      <c r="I162" s="2" t="n"/>
      <c r="J162" s="2" t="n"/>
      <c r="K162" s="2" t="n"/>
      <c r="L162" s="2" t="n"/>
      <c r="M162" s="2" t="n"/>
    </row>
    <row r="163">
      <c r="A163" s="2" t="n"/>
      <c r="B163" s="10" t="n"/>
      <c r="C163" s="2" t="n"/>
      <c r="D163" s="2" t="n"/>
      <c r="E163" s="2" t="n"/>
      <c r="F163" s="8" t="n"/>
      <c r="G163" s="8">
        <f>IF(F163="","",F163*Configuracion!$G$2)</f>
        <v/>
      </c>
      <c r="H163" s="8">
        <f>IF(F163="","",F163+G163)</f>
        <v/>
      </c>
      <c r="I163" s="2" t="n"/>
      <c r="J163" s="2" t="n"/>
      <c r="K163" s="2" t="n"/>
      <c r="L163" s="2" t="n"/>
      <c r="M163" s="2" t="n"/>
    </row>
    <row r="164">
      <c r="A164" s="2" t="n"/>
      <c r="B164" s="10" t="n"/>
      <c r="C164" s="2" t="n"/>
      <c r="D164" s="2" t="n"/>
      <c r="E164" s="2" t="n"/>
      <c r="F164" s="8" t="n"/>
      <c r="G164" s="8">
        <f>IF(F164="","",F164*Configuracion!$G$2)</f>
        <v/>
      </c>
      <c r="H164" s="8">
        <f>IF(F164="","",F164+G164)</f>
        <v/>
      </c>
      <c r="I164" s="2" t="n"/>
      <c r="J164" s="2" t="n"/>
      <c r="K164" s="2" t="n"/>
      <c r="L164" s="2" t="n"/>
      <c r="M164" s="2" t="n"/>
    </row>
    <row r="165">
      <c r="A165" s="2" t="n"/>
      <c r="B165" s="10" t="n"/>
      <c r="C165" s="2" t="n"/>
      <c r="D165" s="2" t="n"/>
      <c r="E165" s="2" t="n"/>
      <c r="F165" s="8" t="n"/>
      <c r="G165" s="8">
        <f>IF(F165="","",F165*Configuracion!$G$2)</f>
        <v/>
      </c>
      <c r="H165" s="8">
        <f>IF(F165="","",F165+G165)</f>
        <v/>
      </c>
      <c r="I165" s="2" t="n"/>
      <c r="J165" s="2" t="n"/>
      <c r="K165" s="2" t="n"/>
      <c r="L165" s="2" t="n"/>
      <c r="M165" s="2" t="n"/>
    </row>
    <row r="166">
      <c r="A166" s="2" t="n"/>
      <c r="B166" s="10" t="n"/>
      <c r="C166" s="2" t="n"/>
      <c r="D166" s="2" t="n"/>
      <c r="E166" s="2" t="n"/>
      <c r="F166" s="8" t="n"/>
      <c r="G166" s="8">
        <f>IF(F166="","",F166*Configuracion!$G$2)</f>
        <v/>
      </c>
      <c r="H166" s="8">
        <f>IF(F166="","",F166+G166)</f>
        <v/>
      </c>
      <c r="I166" s="2" t="n"/>
      <c r="J166" s="2" t="n"/>
      <c r="K166" s="2" t="n"/>
      <c r="L166" s="2" t="n"/>
      <c r="M166" s="2" t="n"/>
    </row>
    <row r="167">
      <c r="A167" s="2" t="n"/>
      <c r="B167" s="10" t="n"/>
      <c r="C167" s="2" t="n"/>
      <c r="D167" s="2" t="n"/>
      <c r="E167" s="2" t="n"/>
      <c r="F167" s="8" t="n"/>
      <c r="G167" s="8">
        <f>IF(F167="","",F167*Configuracion!$G$2)</f>
        <v/>
      </c>
      <c r="H167" s="8">
        <f>IF(F167="","",F167+G167)</f>
        <v/>
      </c>
      <c r="I167" s="2" t="n"/>
      <c r="J167" s="2" t="n"/>
      <c r="K167" s="2" t="n"/>
      <c r="L167" s="2" t="n"/>
      <c r="M167" s="2" t="n"/>
    </row>
    <row r="168">
      <c r="A168" s="2" t="n"/>
      <c r="B168" s="10" t="n"/>
      <c r="C168" s="2" t="n"/>
      <c r="D168" s="2" t="n"/>
      <c r="E168" s="2" t="n"/>
      <c r="F168" s="8" t="n"/>
      <c r="G168" s="8">
        <f>IF(F168="","",F168*Configuracion!$G$2)</f>
        <v/>
      </c>
      <c r="H168" s="8">
        <f>IF(F168="","",F168+G168)</f>
        <v/>
      </c>
      <c r="I168" s="2" t="n"/>
      <c r="J168" s="2" t="n"/>
      <c r="K168" s="2" t="n"/>
      <c r="L168" s="2" t="n"/>
      <c r="M168" s="2" t="n"/>
    </row>
    <row r="169">
      <c r="A169" s="2" t="n"/>
      <c r="B169" s="10" t="n"/>
      <c r="C169" s="2" t="n"/>
      <c r="D169" s="2" t="n"/>
      <c r="E169" s="2" t="n"/>
      <c r="F169" s="8" t="n"/>
      <c r="G169" s="8">
        <f>IF(F169="","",F169*Configuracion!$G$2)</f>
        <v/>
      </c>
      <c r="H169" s="8">
        <f>IF(F169="","",F169+G169)</f>
        <v/>
      </c>
      <c r="I169" s="2" t="n"/>
      <c r="J169" s="2" t="n"/>
      <c r="K169" s="2" t="n"/>
      <c r="L169" s="2" t="n"/>
      <c r="M169" s="2" t="n"/>
    </row>
    <row r="170">
      <c r="A170" s="2" t="n"/>
      <c r="B170" s="10" t="n"/>
      <c r="C170" s="2" t="n"/>
      <c r="D170" s="2" t="n"/>
      <c r="E170" s="2" t="n"/>
      <c r="F170" s="8" t="n"/>
      <c r="G170" s="8">
        <f>IF(F170="","",F170*Configuracion!$G$2)</f>
        <v/>
      </c>
      <c r="H170" s="8">
        <f>IF(F170="","",F170+G170)</f>
        <v/>
      </c>
      <c r="I170" s="2" t="n"/>
      <c r="J170" s="2" t="n"/>
      <c r="K170" s="2" t="n"/>
      <c r="L170" s="2" t="n"/>
      <c r="M170" s="2" t="n"/>
    </row>
    <row r="171">
      <c r="A171" s="2" t="n"/>
      <c r="B171" s="10" t="n"/>
      <c r="C171" s="2" t="n"/>
      <c r="D171" s="2" t="n"/>
      <c r="E171" s="2" t="n"/>
      <c r="F171" s="8" t="n"/>
      <c r="G171" s="8">
        <f>IF(F171="","",F171*Configuracion!$G$2)</f>
        <v/>
      </c>
      <c r="H171" s="8">
        <f>IF(F171="","",F171+G171)</f>
        <v/>
      </c>
      <c r="I171" s="2" t="n"/>
      <c r="J171" s="2" t="n"/>
      <c r="K171" s="2" t="n"/>
      <c r="L171" s="2" t="n"/>
      <c r="M171" s="2" t="n"/>
    </row>
    <row r="172">
      <c r="A172" s="2" t="n"/>
      <c r="B172" s="10" t="n"/>
      <c r="C172" s="2" t="n"/>
      <c r="D172" s="2" t="n"/>
      <c r="E172" s="2" t="n"/>
      <c r="F172" s="8" t="n"/>
      <c r="G172" s="8">
        <f>IF(F172="","",F172*Configuracion!$G$2)</f>
        <v/>
      </c>
      <c r="H172" s="8">
        <f>IF(F172="","",F172+G172)</f>
        <v/>
      </c>
      <c r="I172" s="2" t="n"/>
      <c r="J172" s="2" t="n"/>
      <c r="K172" s="2" t="n"/>
      <c r="L172" s="2" t="n"/>
      <c r="M172" s="2" t="n"/>
    </row>
    <row r="173">
      <c r="A173" s="2" t="n"/>
      <c r="B173" s="10" t="n"/>
      <c r="C173" s="2" t="n"/>
      <c r="D173" s="2" t="n"/>
      <c r="E173" s="2" t="n"/>
      <c r="F173" s="8" t="n"/>
      <c r="G173" s="8">
        <f>IF(F173="","",F173*Configuracion!$G$2)</f>
        <v/>
      </c>
      <c r="H173" s="8">
        <f>IF(F173="","",F173+G173)</f>
        <v/>
      </c>
      <c r="I173" s="2" t="n"/>
      <c r="J173" s="2" t="n"/>
      <c r="K173" s="2" t="n"/>
      <c r="L173" s="2" t="n"/>
      <c r="M173" s="2" t="n"/>
    </row>
    <row r="174">
      <c r="A174" s="2" t="n"/>
      <c r="B174" s="10" t="n"/>
      <c r="C174" s="2" t="n"/>
      <c r="D174" s="2" t="n"/>
      <c r="E174" s="2" t="n"/>
      <c r="F174" s="8" t="n"/>
      <c r="G174" s="8">
        <f>IF(F174="","",F174*Configuracion!$G$2)</f>
        <v/>
      </c>
      <c r="H174" s="8">
        <f>IF(F174="","",F174+G174)</f>
        <v/>
      </c>
      <c r="I174" s="2" t="n"/>
      <c r="J174" s="2" t="n"/>
      <c r="K174" s="2" t="n"/>
      <c r="L174" s="2" t="n"/>
      <c r="M174" s="2" t="n"/>
    </row>
    <row r="175">
      <c r="A175" s="2" t="n"/>
      <c r="B175" s="10" t="n"/>
      <c r="C175" s="2" t="n"/>
      <c r="D175" s="2" t="n"/>
      <c r="E175" s="2" t="n"/>
      <c r="F175" s="8" t="n"/>
      <c r="G175" s="8">
        <f>IF(F175="","",F175*Configuracion!$G$2)</f>
        <v/>
      </c>
      <c r="H175" s="8">
        <f>IF(F175="","",F175+G175)</f>
        <v/>
      </c>
      <c r="I175" s="2" t="n"/>
      <c r="J175" s="2" t="n"/>
      <c r="K175" s="2" t="n"/>
      <c r="L175" s="2" t="n"/>
      <c r="M175" s="2" t="n"/>
    </row>
    <row r="176">
      <c r="A176" s="2" t="n"/>
      <c r="B176" s="10" t="n"/>
      <c r="C176" s="2" t="n"/>
      <c r="D176" s="2" t="n"/>
      <c r="E176" s="2" t="n"/>
      <c r="F176" s="8" t="n"/>
      <c r="G176" s="8">
        <f>IF(F176="","",F176*Configuracion!$G$2)</f>
        <v/>
      </c>
      <c r="H176" s="8">
        <f>IF(F176="","",F176+G176)</f>
        <v/>
      </c>
      <c r="I176" s="2" t="n"/>
      <c r="J176" s="2" t="n"/>
      <c r="K176" s="2" t="n"/>
      <c r="L176" s="2" t="n"/>
      <c r="M176" s="2" t="n"/>
    </row>
    <row r="177">
      <c r="A177" s="2" t="n"/>
      <c r="B177" s="10" t="n"/>
      <c r="C177" s="2" t="n"/>
      <c r="D177" s="2" t="n"/>
      <c r="E177" s="2" t="n"/>
      <c r="F177" s="8" t="n"/>
      <c r="G177" s="8">
        <f>IF(F177="","",F177*Configuracion!$G$2)</f>
        <v/>
      </c>
      <c r="H177" s="8">
        <f>IF(F177="","",F177+G177)</f>
        <v/>
      </c>
      <c r="I177" s="2" t="n"/>
      <c r="J177" s="2" t="n"/>
      <c r="K177" s="2" t="n"/>
      <c r="L177" s="2" t="n"/>
      <c r="M177" s="2" t="n"/>
    </row>
    <row r="178">
      <c r="A178" s="2" t="n"/>
      <c r="B178" s="10" t="n"/>
      <c r="C178" s="2" t="n"/>
      <c r="D178" s="2" t="n"/>
      <c r="E178" s="2" t="n"/>
      <c r="F178" s="8" t="n"/>
      <c r="G178" s="8">
        <f>IF(F178="","",F178*Configuracion!$G$2)</f>
        <v/>
      </c>
      <c r="H178" s="8">
        <f>IF(F178="","",F178+G178)</f>
        <v/>
      </c>
      <c r="I178" s="2" t="n"/>
      <c r="J178" s="2" t="n"/>
      <c r="K178" s="2" t="n"/>
      <c r="L178" s="2" t="n"/>
      <c r="M178" s="2" t="n"/>
    </row>
    <row r="179">
      <c r="A179" s="2" t="n"/>
      <c r="B179" s="10" t="n"/>
      <c r="C179" s="2" t="n"/>
      <c r="D179" s="2" t="n"/>
      <c r="E179" s="2" t="n"/>
      <c r="F179" s="8" t="n"/>
      <c r="G179" s="8">
        <f>IF(F179="","",F179*Configuracion!$G$2)</f>
        <v/>
      </c>
      <c r="H179" s="8">
        <f>IF(F179="","",F179+G179)</f>
        <v/>
      </c>
      <c r="I179" s="2" t="n"/>
      <c r="J179" s="2" t="n"/>
      <c r="K179" s="2" t="n"/>
      <c r="L179" s="2" t="n"/>
      <c r="M179" s="2" t="n"/>
    </row>
    <row r="180">
      <c r="A180" s="2" t="n"/>
      <c r="B180" s="10" t="n"/>
      <c r="C180" s="2" t="n"/>
      <c r="D180" s="2" t="n"/>
      <c r="E180" s="2" t="n"/>
      <c r="F180" s="8" t="n"/>
      <c r="G180" s="8">
        <f>IF(F180="","",F180*Configuracion!$G$2)</f>
        <v/>
      </c>
      <c r="H180" s="8">
        <f>IF(F180="","",F180+G180)</f>
        <v/>
      </c>
      <c r="I180" s="2" t="n"/>
      <c r="J180" s="2" t="n"/>
      <c r="K180" s="2" t="n"/>
      <c r="L180" s="2" t="n"/>
      <c r="M180" s="2" t="n"/>
    </row>
    <row r="181">
      <c r="A181" s="2" t="n"/>
      <c r="B181" s="10" t="n"/>
      <c r="C181" s="2" t="n"/>
      <c r="D181" s="2" t="n"/>
      <c r="E181" s="2" t="n"/>
      <c r="F181" s="8" t="n"/>
      <c r="G181" s="8">
        <f>IF(F181="","",F181*Configuracion!$G$2)</f>
        <v/>
      </c>
      <c r="H181" s="8">
        <f>IF(F181="","",F181+G181)</f>
        <v/>
      </c>
      <c r="I181" s="2" t="n"/>
      <c r="J181" s="2" t="n"/>
      <c r="K181" s="2" t="n"/>
      <c r="L181" s="2" t="n"/>
      <c r="M181" s="2" t="n"/>
    </row>
    <row r="182">
      <c r="A182" s="2" t="n"/>
      <c r="B182" s="10" t="n"/>
      <c r="C182" s="2" t="n"/>
      <c r="D182" s="2" t="n"/>
      <c r="E182" s="2" t="n"/>
      <c r="F182" s="8" t="n"/>
      <c r="G182" s="8">
        <f>IF(F182="","",F182*Configuracion!$G$2)</f>
        <v/>
      </c>
      <c r="H182" s="8">
        <f>IF(F182="","",F182+G182)</f>
        <v/>
      </c>
      <c r="I182" s="2" t="n"/>
      <c r="J182" s="2" t="n"/>
      <c r="K182" s="2" t="n"/>
      <c r="L182" s="2" t="n"/>
      <c r="M182" s="2" t="n"/>
    </row>
    <row r="183">
      <c r="A183" s="2" t="n"/>
      <c r="B183" s="10" t="n"/>
      <c r="C183" s="2" t="n"/>
      <c r="D183" s="2" t="n"/>
      <c r="E183" s="2" t="n"/>
      <c r="F183" s="8" t="n"/>
      <c r="G183" s="8">
        <f>IF(F183="","",F183*Configuracion!$G$2)</f>
        <v/>
      </c>
      <c r="H183" s="8">
        <f>IF(F183="","",F183+G183)</f>
        <v/>
      </c>
      <c r="I183" s="2" t="n"/>
      <c r="J183" s="2" t="n"/>
      <c r="K183" s="2" t="n"/>
      <c r="L183" s="2" t="n"/>
      <c r="M183" s="2" t="n"/>
    </row>
    <row r="184">
      <c r="A184" s="2" t="n"/>
      <c r="B184" s="10" t="n"/>
      <c r="C184" s="2" t="n"/>
      <c r="D184" s="2" t="n"/>
      <c r="E184" s="2" t="n"/>
      <c r="F184" s="8" t="n"/>
      <c r="G184" s="8">
        <f>IF(F184="","",F184*Configuracion!$G$2)</f>
        <v/>
      </c>
      <c r="H184" s="8">
        <f>IF(F184="","",F184+G184)</f>
        <v/>
      </c>
      <c r="I184" s="2" t="n"/>
      <c r="J184" s="2" t="n"/>
      <c r="K184" s="2" t="n"/>
      <c r="L184" s="2" t="n"/>
      <c r="M184" s="2" t="n"/>
    </row>
    <row r="185">
      <c r="A185" s="2" t="n"/>
      <c r="B185" s="10" t="n"/>
      <c r="C185" s="2" t="n"/>
      <c r="D185" s="2" t="n"/>
      <c r="E185" s="2" t="n"/>
      <c r="F185" s="8" t="n"/>
      <c r="G185" s="8">
        <f>IF(F185="","",F185*Configuracion!$G$2)</f>
        <v/>
      </c>
      <c r="H185" s="8">
        <f>IF(F185="","",F185+G185)</f>
        <v/>
      </c>
      <c r="I185" s="2" t="n"/>
      <c r="J185" s="2" t="n"/>
      <c r="K185" s="2" t="n"/>
      <c r="L185" s="2" t="n"/>
      <c r="M185" s="2" t="n"/>
    </row>
    <row r="186">
      <c r="A186" s="2" t="n"/>
      <c r="B186" s="10" t="n"/>
      <c r="C186" s="2" t="n"/>
      <c r="D186" s="2" t="n"/>
      <c r="E186" s="2" t="n"/>
      <c r="F186" s="8" t="n"/>
      <c r="G186" s="8">
        <f>IF(F186="","",F186*Configuracion!$G$2)</f>
        <v/>
      </c>
      <c r="H186" s="8">
        <f>IF(F186="","",F186+G186)</f>
        <v/>
      </c>
      <c r="I186" s="2" t="n"/>
      <c r="J186" s="2" t="n"/>
      <c r="K186" s="2" t="n"/>
      <c r="L186" s="2" t="n"/>
      <c r="M186" s="2" t="n"/>
    </row>
    <row r="187">
      <c r="A187" s="2" t="n"/>
      <c r="B187" s="10" t="n"/>
      <c r="C187" s="2" t="n"/>
      <c r="D187" s="2" t="n"/>
      <c r="E187" s="2" t="n"/>
      <c r="F187" s="8" t="n"/>
      <c r="G187" s="8">
        <f>IF(F187="","",F187*Configuracion!$G$2)</f>
        <v/>
      </c>
      <c r="H187" s="8">
        <f>IF(F187="","",F187+G187)</f>
        <v/>
      </c>
      <c r="I187" s="2" t="n"/>
      <c r="J187" s="2" t="n"/>
      <c r="K187" s="2" t="n"/>
      <c r="L187" s="2" t="n"/>
      <c r="M187" s="2" t="n"/>
    </row>
    <row r="188">
      <c r="A188" s="2" t="n"/>
      <c r="B188" s="10" t="n"/>
      <c r="C188" s="2" t="n"/>
      <c r="D188" s="2" t="n"/>
      <c r="E188" s="2" t="n"/>
      <c r="F188" s="8" t="n"/>
      <c r="G188" s="8">
        <f>IF(F188="","",F188*Configuracion!$G$2)</f>
        <v/>
      </c>
      <c r="H188" s="8">
        <f>IF(F188="","",F188+G188)</f>
        <v/>
      </c>
      <c r="I188" s="2" t="n"/>
      <c r="J188" s="2" t="n"/>
      <c r="K188" s="2" t="n"/>
      <c r="L188" s="2" t="n"/>
      <c r="M188" s="2" t="n"/>
    </row>
    <row r="189">
      <c r="A189" s="2" t="n"/>
      <c r="B189" s="10" t="n"/>
      <c r="C189" s="2" t="n"/>
      <c r="D189" s="2" t="n"/>
      <c r="E189" s="2" t="n"/>
      <c r="F189" s="8" t="n"/>
      <c r="G189" s="8">
        <f>IF(F189="","",F189*Configuracion!$G$2)</f>
        <v/>
      </c>
      <c r="H189" s="8">
        <f>IF(F189="","",F189+G189)</f>
        <v/>
      </c>
      <c r="I189" s="2" t="n"/>
      <c r="J189" s="2" t="n"/>
      <c r="K189" s="2" t="n"/>
      <c r="L189" s="2" t="n"/>
      <c r="M189" s="2" t="n"/>
    </row>
    <row r="190">
      <c r="A190" s="2" t="n"/>
      <c r="B190" s="10" t="n"/>
      <c r="C190" s="2" t="n"/>
      <c r="D190" s="2" t="n"/>
      <c r="E190" s="2" t="n"/>
      <c r="F190" s="8" t="n"/>
      <c r="G190" s="8">
        <f>IF(F190="","",F190*Configuracion!$G$2)</f>
        <v/>
      </c>
      <c r="H190" s="8">
        <f>IF(F190="","",F190+G190)</f>
        <v/>
      </c>
      <c r="I190" s="2" t="n"/>
      <c r="J190" s="2" t="n"/>
      <c r="K190" s="2" t="n"/>
      <c r="L190" s="2" t="n"/>
      <c r="M190" s="2" t="n"/>
    </row>
    <row r="191">
      <c r="A191" s="2" t="n"/>
      <c r="B191" s="10" t="n"/>
      <c r="C191" s="2" t="n"/>
      <c r="D191" s="2" t="n"/>
      <c r="E191" s="2" t="n"/>
      <c r="F191" s="8" t="n"/>
      <c r="G191" s="8">
        <f>IF(F191="","",F191*Configuracion!$G$2)</f>
        <v/>
      </c>
      <c r="H191" s="8">
        <f>IF(F191="","",F191+G191)</f>
        <v/>
      </c>
      <c r="I191" s="2" t="n"/>
      <c r="J191" s="2" t="n"/>
      <c r="K191" s="2" t="n"/>
      <c r="L191" s="2" t="n"/>
      <c r="M191" s="2" t="n"/>
    </row>
    <row r="192">
      <c r="A192" s="2" t="n"/>
      <c r="B192" s="10" t="n"/>
      <c r="C192" s="2" t="n"/>
      <c r="D192" s="2" t="n"/>
      <c r="E192" s="2" t="n"/>
      <c r="F192" s="8" t="n"/>
      <c r="G192" s="8">
        <f>IF(F192="","",F192*Configuracion!$G$2)</f>
        <v/>
      </c>
      <c r="H192" s="8">
        <f>IF(F192="","",F192+G192)</f>
        <v/>
      </c>
      <c r="I192" s="2" t="n"/>
      <c r="J192" s="2" t="n"/>
      <c r="K192" s="2" t="n"/>
      <c r="L192" s="2" t="n"/>
      <c r="M192" s="2" t="n"/>
    </row>
    <row r="193">
      <c r="A193" s="2" t="n"/>
      <c r="B193" s="10" t="n"/>
      <c r="C193" s="2" t="n"/>
      <c r="D193" s="2" t="n"/>
      <c r="E193" s="2" t="n"/>
      <c r="F193" s="8" t="n"/>
      <c r="G193" s="8">
        <f>IF(F193="","",F193*Configuracion!$G$2)</f>
        <v/>
      </c>
      <c r="H193" s="8">
        <f>IF(F193="","",F193+G193)</f>
        <v/>
      </c>
      <c r="I193" s="2" t="n"/>
      <c r="J193" s="2" t="n"/>
      <c r="K193" s="2" t="n"/>
      <c r="L193" s="2" t="n"/>
      <c r="M193" s="2" t="n"/>
    </row>
    <row r="194">
      <c r="A194" s="2" t="n"/>
      <c r="B194" s="10" t="n"/>
      <c r="C194" s="2" t="n"/>
      <c r="D194" s="2" t="n"/>
      <c r="E194" s="2" t="n"/>
      <c r="F194" s="8" t="n"/>
      <c r="G194" s="8">
        <f>IF(F194="","",F194*Configuracion!$G$2)</f>
        <v/>
      </c>
      <c r="H194" s="8">
        <f>IF(F194="","",F194+G194)</f>
        <v/>
      </c>
      <c r="I194" s="2" t="n"/>
      <c r="J194" s="2" t="n"/>
      <c r="K194" s="2" t="n"/>
      <c r="L194" s="2" t="n"/>
      <c r="M194" s="2" t="n"/>
    </row>
    <row r="195">
      <c r="A195" s="2" t="n"/>
      <c r="B195" s="10" t="n"/>
      <c r="C195" s="2" t="n"/>
      <c r="D195" s="2" t="n"/>
      <c r="E195" s="2" t="n"/>
      <c r="F195" s="8" t="n"/>
      <c r="G195" s="8">
        <f>IF(F195="","",F195*Configuracion!$G$2)</f>
        <v/>
      </c>
      <c r="H195" s="8">
        <f>IF(F195="","",F195+G195)</f>
        <v/>
      </c>
      <c r="I195" s="2" t="n"/>
      <c r="J195" s="2" t="n"/>
      <c r="K195" s="2" t="n"/>
      <c r="L195" s="2" t="n"/>
      <c r="M195" s="2" t="n"/>
    </row>
    <row r="196">
      <c r="A196" s="2" t="n"/>
      <c r="B196" s="10" t="n"/>
      <c r="C196" s="2" t="n"/>
      <c r="D196" s="2" t="n"/>
      <c r="E196" s="2" t="n"/>
      <c r="F196" s="8" t="n"/>
      <c r="G196" s="8">
        <f>IF(F196="","",F196*Configuracion!$G$2)</f>
        <v/>
      </c>
      <c r="H196" s="8">
        <f>IF(F196="","",F196+G196)</f>
        <v/>
      </c>
      <c r="I196" s="2" t="n"/>
      <c r="J196" s="2" t="n"/>
      <c r="K196" s="2" t="n"/>
      <c r="L196" s="2" t="n"/>
      <c r="M196" s="2" t="n"/>
    </row>
    <row r="197">
      <c r="A197" s="2" t="n"/>
      <c r="B197" s="10" t="n"/>
      <c r="C197" s="2" t="n"/>
      <c r="D197" s="2" t="n"/>
      <c r="E197" s="2" t="n"/>
      <c r="F197" s="8" t="n"/>
      <c r="G197" s="8">
        <f>IF(F197="","",F197*Configuracion!$G$2)</f>
        <v/>
      </c>
      <c r="H197" s="8">
        <f>IF(F197="","",F197+G197)</f>
        <v/>
      </c>
      <c r="I197" s="2" t="n"/>
      <c r="J197" s="2" t="n"/>
      <c r="K197" s="2" t="n"/>
      <c r="L197" s="2" t="n"/>
      <c r="M197" s="2" t="n"/>
    </row>
    <row r="198">
      <c r="A198" s="2" t="n"/>
      <c r="B198" s="10" t="n"/>
      <c r="C198" s="2" t="n"/>
      <c r="D198" s="2" t="n"/>
      <c r="E198" s="2" t="n"/>
      <c r="F198" s="8" t="n"/>
      <c r="G198" s="8">
        <f>IF(F198="","",F198*Configuracion!$G$2)</f>
        <v/>
      </c>
      <c r="H198" s="8">
        <f>IF(F198="","",F198+G198)</f>
        <v/>
      </c>
      <c r="I198" s="2" t="n"/>
      <c r="J198" s="2" t="n"/>
      <c r="K198" s="2" t="n"/>
      <c r="L198" s="2" t="n"/>
      <c r="M198" s="2" t="n"/>
    </row>
    <row r="199">
      <c r="A199" s="2" t="n"/>
      <c r="B199" s="10" t="n"/>
      <c r="C199" s="2" t="n"/>
      <c r="D199" s="2" t="n"/>
      <c r="E199" s="2" t="n"/>
      <c r="F199" s="8" t="n"/>
      <c r="G199" s="8">
        <f>IF(F199="","",F199*Configuracion!$G$2)</f>
        <v/>
      </c>
      <c r="H199" s="8">
        <f>IF(F199="","",F199+G199)</f>
        <v/>
      </c>
      <c r="I199" s="2" t="n"/>
      <c r="J199" s="2" t="n"/>
      <c r="K199" s="2" t="n"/>
      <c r="L199" s="2" t="n"/>
      <c r="M199" s="2" t="n"/>
    </row>
    <row r="200">
      <c r="A200" s="2" t="n"/>
      <c r="B200" s="10" t="n"/>
      <c r="C200" s="2" t="n"/>
      <c r="D200" s="2" t="n"/>
      <c r="E200" s="2" t="n"/>
      <c r="F200" s="8" t="n"/>
      <c r="G200" s="8">
        <f>IF(F200="","",F200*Configuracion!$G$2)</f>
        <v/>
      </c>
      <c r="H200" s="8">
        <f>IF(F200="","",F200+G200)</f>
        <v/>
      </c>
      <c r="I200" s="2" t="n"/>
      <c r="J200" s="2" t="n"/>
      <c r="K200" s="2" t="n"/>
      <c r="L200" s="2" t="n"/>
      <c r="M200" s="2" t="n"/>
    </row>
    <row r="201">
      <c r="A201" s="2" t="n"/>
      <c r="B201" s="10" t="n"/>
      <c r="C201" s="2" t="n"/>
      <c r="D201" s="2" t="n"/>
      <c r="E201" s="2" t="n"/>
      <c r="F201" s="8" t="n"/>
      <c r="G201" s="8">
        <f>IF(F201="","",F201*Configuracion!$G$2)</f>
        <v/>
      </c>
      <c r="H201" s="8">
        <f>IF(F201="","",F201+G201)</f>
        <v/>
      </c>
      <c r="I201" s="2" t="n"/>
      <c r="J201" s="2" t="n"/>
      <c r="K201" s="2" t="n"/>
      <c r="L201" s="2" t="n"/>
      <c r="M201" s="2" t="n"/>
    </row>
    <row r="202">
      <c r="A202" s="2" t="n"/>
      <c r="B202" s="10" t="n"/>
      <c r="C202" s="2" t="n"/>
      <c r="D202" s="2" t="n"/>
      <c r="E202" s="2" t="n"/>
      <c r="F202" s="8" t="n"/>
      <c r="G202" s="8">
        <f>IF(F202="","",F202*Configuracion!$G$2)</f>
        <v/>
      </c>
      <c r="H202" s="8">
        <f>IF(F202="","",F202+G202)</f>
        <v/>
      </c>
      <c r="I202" s="2" t="n"/>
      <c r="J202" s="2" t="n"/>
      <c r="K202" s="2" t="n"/>
      <c r="L202" s="2" t="n"/>
      <c r="M202" s="2" t="n"/>
    </row>
    <row r="203">
      <c r="A203" s="2" t="n"/>
      <c r="B203" s="10" t="n"/>
      <c r="C203" s="2" t="n"/>
      <c r="D203" s="2" t="n"/>
      <c r="E203" s="2" t="n"/>
      <c r="F203" s="8" t="n"/>
      <c r="G203" s="8">
        <f>IF(F203="","",F203*Configuracion!$G$2)</f>
        <v/>
      </c>
      <c r="H203" s="8">
        <f>IF(F203="","",F203+G203)</f>
        <v/>
      </c>
      <c r="I203" s="2" t="n"/>
      <c r="J203" s="2" t="n"/>
      <c r="K203" s="2" t="n"/>
      <c r="L203" s="2" t="n"/>
      <c r="M203" s="2" t="n"/>
    </row>
    <row r="204">
      <c r="A204" s="2" t="n"/>
      <c r="B204" s="10" t="n"/>
      <c r="C204" s="2" t="n"/>
      <c r="D204" s="2" t="n"/>
      <c r="E204" s="2" t="n"/>
      <c r="F204" s="8" t="n"/>
      <c r="G204" s="8">
        <f>IF(F204="","",F204*Configuracion!$G$2)</f>
        <v/>
      </c>
      <c r="H204" s="8">
        <f>IF(F204="","",F204+G204)</f>
        <v/>
      </c>
      <c r="I204" s="2" t="n"/>
      <c r="J204" s="2" t="n"/>
      <c r="K204" s="2" t="n"/>
      <c r="L204" s="2" t="n"/>
      <c r="M204" s="2" t="n"/>
    </row>
    <row r="205">
      <c r="A205" s="2" t="n"/>
      <c r="B205" s="10" t="n"/>
      <c r="C205" s="2" t="n"/>
      <c r="D205" s="2" t="n"/>
      <c r="E205" s="2" t="n"/>
      <c r="F205" s="8" t="n"/>
      <c r="G205" s="8">
        <f>IF(F205="","",F205*Configuracion!$G$2)</f>
        <v/>
      </c>
      <c r="H205" s="8">
        <f>IF(F205="","",F205+G205)</f>
        <v/>
      </c>
      <c r="I205" s="2" t="n"/>
      <c r="J205" s="2" t="n"/>
      <c r="K205" s="2" t="n"/>
      <c r="L205" s="2" t="n"/>
      <c r="M205" s="2" t="n"/>
    </row>
    <row r="206">
      <c r="A206" s="2" t="n"/>
      <c r="B206" s="10" t="n"/>
      <c r="C206" s="2" t="n"/>
      <c r="D206" s="2" t="n"/>
      <c r="E206" s="2" t="n"/>
      <c r="F206" s="8" t="n"/>
      <c r="G206" s="8">
        <f>IF(F206="","",F206*Configuracion!$G$2)</f>
        <v/>
      </c>
      <c r="H206" s="8">
        <f>IF(F206="","",F206+G206)</f>
        <v/>
      </c>
      <c r="I206" s="2" t="n"/>
      <c r="J206" s="2" t="n"/>
      <c r="K206" s="2" t="n"/>
      <c r="L206" s="2" t="n"/>
      <c r="M206" s="2" t="n"/>
    </row>
    <row r="207">
      <c r="A207" s="2" t="n"/>
      <c r="B207" s="10" t="n"/>
      <c r="C207" s="2" t="n"/>
      <c r="D207" s="2" t="n"/>
      <c r="E207" s="2" t="n"/>
      <c r="F207" s="8" t="n"/>
      <c r="G207" s="8">
        <f>IF(F207="","",F207*Configuracion!$G$2)</f>
        <v/>
      </c>
      <c r="H207" s="8">
        <f>IF(F207="","",F207+G207)</f>
        <v/>
      </c>
      <c r="I207" s="2" t="n"/>
      <c r="J207" s="2" t="n"/>
      <c r="K207" s="2" t="n"/>
      <c r="L207" s="2" t="n"/>
      <c r="M207" s="2" t="n"/>
    </row>
    <row r="208">
      <c r="A208" s="2" t="n"/>
      <c r="B208" s="10" t="n"/>
      <c r="C208" s="2" t="n"/>
      <c r="D208" s="2" t="n"/>
      <c r="E208" s="2" t="n"/>
      <c r="F208" s="8" t="n"/>
      <c r="G208" s="8">
        <f>IF(F208="","",F208*Configuracion!$G$2)</f>
        <v/>
      </c>
      <c r="H208" s="8">
        <f>IF(F208="","",F208+G208)</f>
        <v/>
      </c>
      <c r="I208" s="2" t="n"/>
      <c r="J208" s="2" t="n"/>
      <c r="K208" s="2" t="n"/>
      <c r="L208" s="2" t="n"/>
      <c r="M208" s="2" t="n"/>
    </row>
    <row r="209">
      <c r="A209" s="2" t="n"/>
      <c r="B209" s="10" t="n"/>
      <c r="C209" s="2" t="n"/>
      <c r="D209" s="2" t="n"/>
      <c r="E209" s="2" t="n"/>
      <c r="F209" s="8" t="n"/>
      <c r="G209" s="8">
        <f>IF(F209="","",F209*Configuracion!$G$2)</f>
        <v/>
      </c>
      <c r="H209" s="8">
        <f>IF(F209="","",F209+G209)</f>
        <v/>
      </c>
      <c r="I209" s="2" t="n"/>
      <c r="J209" s="2" t="n"/>
      <c r="K209" s="2" t="n"/>
      <c r="L209" s="2" t="n"/>
      <c r="M209" s="2" t="n"/>
    </row>
    <row r="210">
      <c r="A210" s="2" t="n"/>
      <c r="B210" s="10" t="n"/>
      <c r="C210" s="2" t="n"/>
      <c r="D210" s="2" t="n"/>
      <c r="E210" s="2" t="n"/>
      <c r="F210" s="8" t="n"/>
      <c r="G210" s="8">
        <f>IF(F210="","",F210*Configuracion!$G$2)</f>
        <v/>
      </c>
      <c r="H210" s="8">
        <f>IF(F210="","",F210+G210)</f>
        <v/>
      </c>
      <c r="I210" s="2" t="n"/>
      <c r="J210" s="2" t="n"/>
      <c r="K210" s="2" t="n"/>
      <c r="L210" s="2" t="n"/>
      <c r="M210" s="2" t="n"/>
    </row>
    <row r="211">
      <c r="A211" s="2" t="n"/>
      <c r="B211" s="10" t="n"/>
      <c r="C211" s="2" t="n"/>
      <c r="D211" s="2" t="n"/>
      <c r="E211" s="2" t="n"/>
      <c r="F211" s="8" t="n"/>
      <c r="G211" s="8">
        <f>IF(F211="","",F211*Configuracion!$G$2)</f>
        <v/>
      </c>
      <c r="H211" s="8">
        <f>IF(F211="","",F211+G211)</f>
        <v/>
      </c>
      <c r="I211" s="2" t="n"/>
      <c r="J211" s="2" t="n"/>
      <c r="K211" s="2" t="n"/>
      <c r="L211" s="2" t="n"/>
      <c r="M211" s="2" t="n"/>
    </row>
    <row r="212">
      <c r="A212" s="2" t="n"/>
      <c r="B212" s="10" t="n"/>
      <c r="C212" s="2" t="n"/>
      <c r="D212" s="2" t="n"/>
      <c r="E212" s="2" t="n"/>
      <c r="F212" s="8" t="n"/>
      <c r="G212" s="8">
        <f>IF(F212="","",F212*Configuracion!$G$2)</f>
        <v/>
      </c>
      <c r="H212" s="8">
        <f>IF(F212="","",F212+G212)</f>
        <v/>
      </c>
      <c r="I212" s="2" t="n"/>
      <c r="J212" s="2" t="n"/>
      <c r="K212" s="2" t="n"/>
      <c r="L212" s="2" t="n"/>
      <c r="M212" s="2" t="n"/>
    </row>
    <row r="213">
      <c r="A213" s="2" t="n"/>
      <c r="B213" s="10" t="n"/>
      <c r="C213" s="2" t="n"/>
      <c r="D213" s="2" t="n"/>
      <c r="E213" s="2" t="n"/>
      <c r="F213" s="8" t="n"/>
      <c r="G213" s="8">
        <f>IF(F213="","",F213*Configuracion!$G$2)</f>
        <v/>
      </c>
      <c r="H213" s="8">
        <f>IF(F213="","",F213+G213)</f>
        <v/>
      </c>
      <c r="I213" s="2" t="n"/>
      <c r="J213" s="2" t="n"/>
      <c r="K213" s="2" t="n"/>
      <c r="L213" s="2" t="n"/>
      <c r="M213" s="2" t="n"/>
    </row>
    <row r="214">
      <c r="A214" s="2" t="n"/>
      <c r="B214" s="10" t="n"/>
      <c r="C214" s="2" t="n"/>
      <c r="D214" s="2" t="n"/>
      <c r="E214" s="2" t="n"/>
      <c r="F214" s="8" t="n"/>
      <c r="G214" s="8">
        <f>IF(F214="","",F214*Configuracion!$G$2)</f>
        <v/>
      </c>
      <c r="H214" s="8">
        <f>IF(F214="","",F214+G214)</f>
        <v/>
      </c>
      <c r="I214" s="2" t="n"/>
      <c r="J214" s="2" t="n"/>
      <c r="K214" s="2" t="n"/>
      <c r="L214" s="2" t="n"/>
      <c r="M214" s="2" t="n"/>
    </row>
    <row r="215">
      <c r="A215" s="2" t="n"/>
      <c r="B215" s="10" t="n"/>
      <c r="C215" s="2" t="n"/>
      <c r="D215" s="2" t="n"/>
      <c r="E215" s="2" t="n"/>
      <c r="F215" s="8" t="n"/>
      <c r="G215" s="8">
        <f>IF(F215="","",F215*Configuracion!$G$2)</f>
        <v/>
      </c>
      <c r="H215" s="8">
        <f>IF(F215="","",F215+G215)</f>
        <v/>
      </c>
      <c r="I215" s="2" t="n"/>
      <c r="J215" s="2" t="n"/>
      <c r="K215" s="2" t="n"/>
      <c r="L215" s="2" t="n"/>
      <c r="M215" s="2" t="n"/>
    </row>
    <row r="216">
      <c r="A216" s="2" t="n"/>
      <c r="B216" s="10" t="n"/>
      <c r="C216" s="2" t="n"/>
      <c r="D216" s="2" t="n"/>
      <c r="E216" s="2" t="n"/>
      <c r="F216" s="8" t="n"/>
      <c r="G216" s="8">
        <f>IF(F216="","",F216*Configuracion!$G$2)</f>
        <v/>
      </c>
      <c r="H216" s="8">
        <f>IF(F216="","",F216+G216)</f>
        <v/>
      </c>
      <c r="I216" s="2" t="n"/>
      <c r="J216" s="2" t="n"/>
      <c r="K216" s="2" t="n"/>
      <c r="L216" s="2" t="n"/>
      <c r="M216" s="2" t="n"/>
    </row>
    <row r="217">
      <c r="A217" s="2" t="n"/>
      <c r="B217" s="10" t="n"/>
      <c r="C217" s="2" t="n"/>
      <c r="D217" s="2" t="n"/>
      <c r="E217" s="2" t="n"/>
      <c r="F217" s="8" t="n"/>
      <c r="G217" s="8">
        <f>IF(F217="","",F217*Configuracion!$G$2)</f>
        <v/>
      </c>
      <c r="H217" s="8">
        <f>IF(F217="","",F217+G217)</f>
        <v/>
      </c>
      <c r="I217" s="2" t="n"/>
      <c r="J217" s="2" t="n"/>
      <c r="K217" s="2" t="n"/>
      <c r="L217" s="2" t="n"/>
      <c r="M217" s="2" t="n"/>
    </row>
    <row r="218">
      <c r="A218" s="2" t="n"/>
      <c r="B218" s="10" t="n"/>
      <c r="C218" s="2" t="n"/>
      <c r="D218" s="2" t="n"/>
      <c r="E218" s="2" t="n"/>
      <c r="F218" s="8" t="n"/>
      <c r="G218" s="8">
        <f>IF(F218="","",F218*Configuracion!$G$2)</f>
        <v/>
      </c>
      <c r="H218" s="8">
        <f>IF(F218="","",F218+G218)</f>
        <v/>
      </c>
      <c r="I218" s="2" t="n"/>
      <c r="J218" s="2" t="n"/>
      <c r="K218" s="2" t="n"/>
      <c r="L218" s="2" t="n"/>
      <c r="M218" s="2" t="n"/>
    </row>
    <row r="219">
      <c r="A219" s="2" t="n"/>
      <c r="B219" s="10" t="n"/>
      <c r="C219" s="2" t="n"/>
      <c r="D219" s="2" t="n"/>
      <c r="E219" s="2" t="n"/>
      <c r="F219" s="8" t="n"/>
      <c r="G219" s="8">
        <f>IF(F219="","",F219*Configuracion!$G$2)</f>
        <v/>
      </c>
      <c r="H219" s="8">
        <f>IF(F219="","",F219+G219)</f>
        <v/>
      </c>
      <c r="I219" s="2" t="n"/>
      <c r="J219" s="2" t="n"/>
      <c r="K219" s="2" t="n"/>
      <c r="L219" s="2" t="n"/>
      <c r="M219" s="2" t="n"/>
    </row>
    <row r="220">
      <c r="A220" s="2" t="n"/>
      <c r="B220" s="10" t="n"/>
      <c r="C220" s="2" t="n"/>
      <c r="D220" s="2" t="n"/>
      <c r="E220" s="2" t="n"/>
      <c r="F220" s="8" t="n"/>
      <c r="G220" s="8">
        <f>IF(F220="","",F220*Configuracion!$G$2)</f>
        <v/>
      </c>
      <c r="H220" s="8">
        <f>IF(F220="","",F220+G220)</f>
        <v/>
      </c>
      <c r="I220" s="2" t="n"/>
      <c r="J220" s="2" t="n"/>
      <c r="K220" s="2" t="n"/>
      <c r="L220" s="2" t="n"/>
      <c r="M220" s="2" t="n"/>
    </row>
    <row r="221">
      <c r="A221" s="2" t="n"/>
      <c r="B221" s="10" t="n"/>
      <c r="C221" s="2" t="n"/>
      <c r="D221" s="2" t="n"/>
      <c r="E221" s="2" t="n"/>
      <c r="F221" s="8" t="n"/>
      <c r="G221" s="8">
        <f>IF(F221="","",F221*Configuracion!$G$2)</f>
        <v/>
      </c>
      <c r="H221" s="8">
        <f>IF(F221="","",F221+G221)</f>
        <v/>
      </c>
      <c r="I221" s="2" t="n"/>
      <c r="J221" s="2" t="n"/>
      <c r="K221" s="2" t="n"/>
      <c r="L221" s="2" t="n"/>
      <c r="M221" s="2" t="n"/>
    </row>
    <row r="222">
      <c r="A222" s="2" t="n"/>
      <c r="B222" s="10" t="n"/>
      <c r="C222" s="2" t="n"/>
      <c r="D222" s="2" t="n"/>
      <c r="E222" s="2" t="n"/>
      <c r="F222" s="8" t="n"/>
      <c r="G222" s="8">
        <f>IF(F222="","",F222*Configuracion!$G$2)</f>
        <v/>
      </c>
      <c r="H222" s="8">
        <f>IF(F222="","",F222+G222)</f>
        <v/>
      </c>
      <c r="I222" s="2" t="n"/>
      <c r="J222" s="2" t="n"/>
      <c r="K222" s="2" t="n"/>
      <c r="L222" s="2" t="n"/>
      <c r="M222" s="2" t="n"/>
    </row>
    <row r="223">
      <c r="A223" s="2" t="n"/>
      <c r="B223" s="10" t="n"/>
      <c r="C223" s="2" t="n"/>
      <c r="D223" s="2" t="n"/>
      <c r="E223" s="2" t="n"/>
      <c r="F223" s="8" t="n"/>
      <c r="G223" s="8">
        <f>IF(F223="","",F223*Configuracion!$G$2)</f>
        <v/>
      </c>
      <c r="H223" s="8">
        <f>IF(F223="","",F223+G223)</f>
        <v/>
      </c>
      <c r="I223" s="2" t="n"/>
      <c r="J223" s="2" t="n"/>
      <c r="K223" s="2" t="n"/>
      <c r="L223" s="2" t="n"/>
      <c r="M223" s="2" t="n"/>
    </row>
    <row r="224">
      <c r="A224" s="2" t="n"/>
      <c r="B224" s="10" t="n"/>
      <c r="C224" s="2" t="n"/>
      <c r="D224" s="2" t="n"/>
      <c r="E224" s="2" t="n"/>
      <c r="F224" s="8" t="n"/>
      <c r="G224" s="8">
        <f>IF(F224="","",F224*Configuracion!$G$2)</f>
        <v/>
      </c>
      <c r="H224" s="8">
        <f>IF(F224="","",F224+G224)</f>
        <v/>
      </c>
      <c r="I224" s="2" t="n"/>
      <c r="J224" s="2" t="n"/>
      <c r="K224" s="2" t="n"/>
      <c r="L224" s="2" t="n"/>
      <c r="M224" s="2" t="n"/>
    </row>
    <row r="225">
      <c r="A225" s="2" t="n"/>
      <c r="B225" s="10" t="n"/>
      <c r="C225" s="2" t="n"/>
      <c r="D225" s="2" t="n"/>
      <c r="E225" s="2" t="n"/>
      <c r="F225" s="8" t="n"/>
      <c r="G225" s="8">
        <f>IF(F225="","",F225*Configuracion!$G$2)</f>
        <v/>
      </c>
      <c r="H225" s="8">
        <f>IF(F225="","",F225+G225)</f>
        <v/>
      </c>
      <c r="I225" s="2" t="n"/>
      <c r="J225" s="2" t="n"/>
      <c r="K225" s="2" t="n"/>
      <c r="L225" s="2" t="n"/>
      <c r="M225" s="2" t="n"/>
    </row>
    <row r="226">
      <c r="A226" s="2" t="n"/>
      <c r="B226" s="10" t="n"/>
      <c r="C226" s="2" t="n"/>
      <c r="D226" s="2" t="n"/>
      <c r="E226" s="2" t="n"/>
      <c r="F226" s="8" t="n"/>
      <c r="G226" s="8">
        <f>IF(F226="","",F226*Configuracion!$G$2)</f>
        <v/>
      </c>
      <c r="H226" s="8">
        <f>IF(F226="","",F226+G226)</f>
        <v/>
      </c>
      <c r="I226" s="2" t="n"/>
      <c r="J226" s="2" t="n"/>
      <c r="K226" s="2" t="n"/>
      <c r="L226" s="2" t="n"/>
      <c r="M226" s="2" t="n"/>
    </row>
    <row r="227">
      <c r="A227" s="2" t="n"/>
      <c r="B227" s="10" t="n"/>
      <c r="C227" s="2" t="n"/>
      <c r="D227" s="2" t="n"/>
      <c r="E227" s="2" t="n"/>
      <c r="F227" s="8" t="n"/>
      <c r="G227" s="8">
        <f>IF(F227="","",F227*Configuracion!$G$2)</f>
        <v/>
      </c>
      <c r="H227" s="8">
        <f>IF(F227="","",F227+G227)</f>
        <v/>
      </c>
      <c r="I227" s="2" t="n"/>
      <c r="J227" s="2" t="n"/>
      <c r="K227" s="2" t="n"/>
      <c r="L227" s="2" t="n"/>
      <c r="M227" s="2" t="n"/>
    </row>
    <row r="228">
      <c r="A228" s="2" t="n"/>
      <c r="B228" s="10" t="n"/>
      <c r="C228" s="2" t="n"/>
      <c r="D228" s="2" t="n"/>
      <c r="E228" s="2" t="n"/>
      <c r="F228" s="8" t="n"/>
      <c r="G228" s="8">
        <f>IF(F228="","",F228*Configuracion!$G$2)</f>
        <v/>
      </c>
      <c r="H228" s="8">
        <f>IF(F228="","",F228+G228)</f>
        <v/>
      </c>
      <c r="I228" s="2" t="n"/>
      <c r="J228" s="2" t="n"/>
      <c r="K228" s="2" t="n"/>
      <c r="L228" s="2" t="n"/>
      <c r="M228" s="2" t="n"/>
    </row>
    <row r="229">
      <c r="A229" s="2" t="n"/>
      <c r="B229" s="10" t="n"/>
      <c r="C229" s="2" t="n"/>
      <c r="D229" s="2" t="n"/>
      <c r="E229" s="2" t="n"/>
      <c r="F229" s="8" t="n"/>
      <c r="G229" s="8">
        <f>IF(F229="","",F229*Configuracion!$G$2)</f>
        <v/>
      </c>
      <c r="H229" s="8">
        <f>IF(F229="","",F229+G229)</f>
        <v/>
      </c>
      <c r="I229" s="2" t="n"/>
      <c r="J229" s="2" t="n"/>
      <c r="K229" s="2" t="n"/>
      <c r="L229" s="2" t="n"/>
      <c r="M229" s="2" t="n"/>
    </row>
    <row r="230">
      <c r="A230" s="2" t="n"/>
      <c r="B230" s="10" t="n"/>
      <c r="C230" s="2" t="n"/>
      <c r="D230" s="2" t="n"/>
      <c r="E230" s="2" t="n"/>
      <c r="F230" s="8" t="n"/>
      <c r="G230" s="8">
        <f>IF(F230="","",F230*Configuracion!$G$2)</f>
        <v/>
      </c>
      <c r="H230" s="8">
        <f>IF(F230="","",F230+G230)</f>
        <v/>
      </c>
      <c r="I230" s="2" t="n"/>
      <c r="J230" s="2" t="n"/>
      <c r="K230" s="2" t="n"/>
      <c r="L230" s="2" t="n"/>
      <c r="M230" s="2" t="n"/>
    </row>
    <row r="231">
      <c r="A231" s="2" t="n"/>
      <c r="B231" s="10" t="n"/>
      <c r="C231" s="2" t="n"/>
      <c r="D231" s="2" t="n"/>
      <c r="E231" s="2" t="n"/>
      <c r="F231" s="8" t="n"/>
      <c r="G231" s="8">
        <f>IF(F231="","",F231*Configuracion!$G$2)</f>
        <v/>
      </c>
      <c r="H231" s="8">
        <f>IF(F231="","",F231+G231)</f>
        <v/>
      </c>
      <c r="I231" s="2" t="n"/>
      <c r="J231" s="2" t="n"/>
      <c r="K231" s="2" t="n"/>
      <c r="L231" s="2" t="n"/>
      <c r="M231" s="2" t="n"/>
    </row>
    <row r="232">
      <c r="A232" s="2" t="n"/>
      <c r="B232" s="10" t="n"/>
      <c r="C232" s="2" t="n"/>
      <c r="D232" s="2" t="n"/>
      <c r="E232" s="2" t="n"/>
      <c r="F232" s="8" t="n"/>
      <c r="G232" s="8">
        <f>IF(F232="","",F232*Configuracion!$G$2)</f>
        <v/>
      </c>
      <c r="H232" s="8">
        <f>IF(F232="","",F232+G232)</f>
        <v/>
      </c>
      <c r="I232" s="2" t="n"/>
      <c r="J232" s="2" t="n"/>
      <c r="K232" s="2" t="n"/>
      <c r="L232" s="2" t="n"/>
      <c r="M232" s="2" t="n"/>
    </row>
    <row r="233">
      <c r="A233" s="2" t="n"/>
      <c r="B233" s="10" t="n"/>
      <c r="C233" s="2" t="n"/>
      <c r="D233" s="2" t="n"/>
      <c r="E233" s="2" t="n"/>
      <c r="F233" s="8" t="n"/>
      <c r="G233" s="8">
        <f>IF(F233="","",F233*Configuracion!$G$2)</f>
        <v/>
      </c>
      <c r="H233" s="8">
        <f>IF(F233="","",F233+G233)</f>
        <v/>
      </c>
      <c r="I233" s="2" t="n"/>
      <c r="J233" s="2" t="n"/>
      <c r="K233" s="2" t="n"/>
      <c r="L233" s="2" t="n"/>
      <c r="M233" s="2" t="n"/>
    </row>
    <row r="234">
      <c r="A234" s="2" t="n"/>
      <c r="B234" s="10" t="n"/>
      <c r="C234" s="2" t="n"/>
      <c r="D234" s="2" t="n"/>
      <c r="E234" s="2" t="n"/>
      <c r="F234" s="8" t="n"/>
      <c r="G234" s="8">
        <f>IF(F234="","",F234*Configuracion!$G$2)</f>
        <v/>
      </c>
      <c r="H234" s="8">
        <f>IF(F234="","",F234+G234)</f>
        <v/>
      </c>
      <c r="I234" s="2" t="n"/>
      <c r="J234" s="2" t="n"/>
      <c r="K234" s="2" t="n"/>
      <c r="L234" s="2" t="n"/>
      <c r="M234" s="2" t="n"/>
    </row>
    <row r="235">
      <c r="A235" s="2" t="n"/>
      <c r="B235" s="10" t="n"/>
      <c r="C235" s="2" t="n"/>
      <c r="D235" s="2" t="n"/>
      <c r="E235" s="2" t="n"/>
      <c r="F235" s="8" t="n"/>
      <c r="G235" s="8">
        <f>IF(F235="","",F235*Configuracion!$G$2)</f>
        <v/>
      </c>
      <c r="H235" s="8">
        <f>IF(F235="","",F235+G235)</f>
        <v/>
      </c>
      <c r="I235" s="2" t="n"/>
      <c r="J235" s="2" t="n"/>
      <c r="K235" s="2" t="n"/>
      <c r="L235" s="2" t="n"/>
      <c r="M235" s="2" t="n"/>
    </row>
    <row r="236">
      <c r="A236" s="2" t="n"/>
      <c r="B236" s="10" t="n"/>
      <c r="C236" s="2" t="n"/>
      <c r="D236" s="2" t="n"/>
      <c r="E236" s="2" t="n"/>
      <c r="F236" s="8" t="n"/>
      <c r="G236" s="8">
        <f>IF(F236="","",F236*Configuracion!$G$2)</f>
        <v/>
      </c>
      <c r="H236" s="8">
        <f>IF(F236="","",F236+G236)</f>
        <v/>
      </c>
      <c r="I236" s="2" t="n"/>
      <c r="J236" s="2" t="n"/>
      <c r="K236" s="2" t="n"/>
      <c r="L236" s="2" t="n"/>
      <c r="M236" s="2" t="n"/>
    </row>
    <row r="237">
      <c r="A237" s="2" t="n"/>
      <c r="B237" s="10" t="n"/>
      <c r="C237" s="2" t="n"/>
      <c r="D237" s="2" t="n"/>
      <c r="E237" s="2" t="n"/>
      <c r="F237" s="8" t="n"/>
      <c r="G237" s="8">
        <f>IF(F237="","",F237*Configuracion!$G$2)</f>
        <v/>
      </c>
      <c r="H237" s="8">
        <f>IF(F237="","",F237+G237)</f>
        <v/>
      </c>
      <c r="I237" s="2" t="n"/>
      <c r="J237" s="2" t="n"/>
      <c r="K237" s="2" t="n"/>
      <c r="L237" s="2" t="n"/>
      <c r="M237" s="2" t="n"/>
    </row>
    <row r="238">
      <c r="A238" s="2" t="n"/>
      <c r="B238" s="10" t="n"/>
      <c r="C238" s="2" t="n"/>
      <c r="D238" s="2" t="n"/>
      <c r="E238" s="2" t="n"/>
      <c r="F238" s="8" t="n"/>
      <c r="G238" s="8">
        <f>IF(F238="","",F238*Configuracion!$G$2)</f>
        <v/>
      </c>
      <c r="H238" s="8">
        <f>IF(F238="","",F238+G238)</f>
        <v/>
      </c>
      <c r="I238" s="2" t="n"/>
      <c r="J238" s="2" t="n"/>
      <c r="K238" s="2" t="n"/>
      <c r="L238" s="2" t="n"/>
      <c r="M238" s="2" t="n"/>
    </row>
    <row r="239">
      <c r="A239" s="2" t="n"/>
      <c r="B239" s="10" t="n"/>
      <c r="C239" s="2" t="n"/>
      <c r="D239" s="2" t="n"/>
      <c r="E239" s="2" t="n"/>
      <c r="F239" s="8" t="n"/>
      <c r="G239" s="8">
        <f>IF(F239="","",F239*Configuracion!$G$2)</f>
        <v/>
      </c>
      <c r="H239" s="8">
        <f>IF(F239="","",F239+G239)</f>
        <v/>
      </c>
      <c r="I239" s="2" t="n"/>
      <c r="J239" s="2" t="n"/>
      <c r="K239" s="2" t="n"/>
      <c r="L239" s="2" t="n"/>
      <c r="M239" s="2" t="n"/>
    </row>
    <row r="240">
      <c r="A240" s="2" t="n"/>
      <c r="B240" s="10" t="n"/>
      <c r="C240" s="2" t="n"/>
      <c r="D240" s="2" t="n"/>
      <c r="E240" s="2" t="n"/>
      <c r="F240" s="8" t="n"/>
      <c r="G240" s="8">
        <f>IF(F240="","",F240*Configuracion!$G$2)</f>
        <v/>
      </c>
      <c r="H240" s="8">
        <f>IF(F240="","",F240+G240)</f>
        <v/>
      </c>
      <c r="I240" s="2" t="n"/>
      <c r="J240" s="2" t="n"/>
      <c r="K240" s="2" t="n"/>
      <c r="L240" s="2" t="n"/>
      <c r="M240" s="2" t="n"/>
    </row>
    <row r="241">
      <c r="A241" s="2" t="n"/>
      <c r="B241" s="10" t="n"/>
      <c r="C241" s="2" t="n"/>
      <c r="D241" s="2" t="n"/>
      <c r="E241" s="2" t="n"/>
      <c r="F241" s="8" t="n"/>
      <c r="G241" s="8">
        <f>IF(F241="","",F241*Configuracion!$G$2)</f>
        <v/>
      </c>
      <c r="H241" s="8">
        <f>IF(F241="","",F241+G241)</f>
        <v/>
      </c>
      <c r="I241" s="2" t="n"/>
      <c r="J241" s="2" t="n"/>
      <c r="K241" s="2" t="n"/>
      <c r="L241" s="2" t="n"/>
      <c r="M241" s="2" t="n"/>
    </row>
    <row r="242">
      <c r="A242" s="2" t="n"/>
      <c r="B242" s="10" t="n"/>
      <c r="C242" s="2" t="n"/>
      <c r="D242" s="2" t="n"/>
      <c r="E242" s="2" t="n"/>
      <c r="F242" s="8" t="n"/>
      <c r="G242" s="8">
        <f>IF(F242="","",F242*Configuracion!$G$2)</f>
        <v/>
      </c>
      <c r="H242" s="8">
        <f>IF(F242="","",F242+G242)</f>
        <v/>
      </c>
      <c r="I242" s="2" t="n"/>
      <c r="J242" s="2" t="n"/>
      <c r="K242" s="2" t="n"/>
      <c r="L242" s="2" t="n"/>
      <c r="M242" s="2" t="n"/>
    </row>
    <row r="243">
      <c r="A243" s="2" t="n"/>
      <c r="B243" s="10" t="n"/>
      <c r="C243" s="2" t="n"/>
      <c r="D243" s="2" t="n"/>
      <c r="E243" s="2" t="n"/>
      <c r="F243" s="8" t="n"/>
      <c r="G243" s="8">
        <f>IF(F243="","",F243*Configuracion!$G$2)</f>
        <v/>
      </c>
      <c r="H243" s="8">
        <f>IF(F243="","",F243+G243)</f>
        <v/>
      </c>
      <c r="I243" s="2" t="n"/>
      <c r="J243" s="2" t="n"/>
      <c r="K243" s="2" t="n"/>
      <c r="L243" s="2" t="n"/>
      <c r="M243" s="2" t="n"/>
    </row>
    <row r="244">
      <c r="A244" s="2" t="n"/>
      <c r="B244" s="10" t="n"/>
      <c r="C244" s="2" t="n"/>
      <c r="D244" s="2" t="n"/>
      <c r="E244" s="2" t="n"/>
      <c r="F244" s="8" t="n"/>
      <c r="G244" s="8">
        <f>IF(F244="","",F244*Configuracion!$G$2)</f>
        <v/>
      </c>
      <c r="H244" s="8">
        <f>IF(F244="","",F244+G244)</f>
        <v/>
      </c>
      <c r="I244" s="2" t="n"/>
      <c r="J244" s="2" t="n"/>
      <c r="K244" s="2" t="n"/>
      <c r="L244" s="2" t="n"/>
      <c r="M244" s="2" t="n"/>
    </row>
    <row r="245">
      <c r="A245" s="2" t="n"/>
      <c r="B245" s="10" t="n"/>
      <c r="C245" s="2" t="n"/>
      <c r="D245" s="2" t="n"/>
      <c r="E245" s="2" t="n"/>
      <c r="F245" s="8" t="n"/>
      <c r="G245" s="8">
        <f>IF(F245="","",F245*Configuracion!$G$2)</f>
        <v/>
      </c>
      <c r="H245" s="8">
        <f>IF(F245="","",F245+G245)</f>
        <v/>
      </c>
      <c r="I245" s="2" t="n"/>
      <c r="J245" s="2" t="n"/>
      <c r="K245" s="2" t="n"/>
      <c r="L245" s="2" t="n"/>
      <c r="M245" s="2" t="n"/>
    </row>
    <row r="246">
      <c r="A246" s="2" t="n"/>
      <c r="B246" s="10" t="n"/>
      <c r="C246" s="2" t="n"/>
      <c r="D246" s="2" t="n"/>
      <c r="E246" s="2" t="n"/>
      <c r="F246" s="8" t="n"/>
      <c r="G246" s="8">
        <f>IF(F246="","",F246*Configuracion!$G$2)</f>
        <v/>
      </c>
      <c r="H246" s="8">
        <f>IF(F246="","",F246+G246)</f>
        <v/>
      </c>
      <c r="I246" s="2" t="n"/>
      <c r="J246" s="2" t="n"/>
      <c r="K246" s="2" t="n"/>
      <c r="L246" s="2" t="n"/>
      <c r="M246" s="2" t="n"/>
    </row>
    <row r="247">
      <c r="A247" s="2" t="n"/>
      <c r="B247" s="10" t="n"/>
      <c r="C247" s="2" t="n"/>
      <c r="D247" s="2" t="n"/>
      <c r="E247" s="2" t="n"/>
      <c r="F247" s="8" t="n"/>
      <c r="G247" s="8">
        <f>IF(F247="","",F247*Configuracion!$G$2)</f>
        <v/>
      </c>
      <c r="H247" s="8">
        <f>IF(F247="","",F247+G247)</f>
        <v/>
      </c>
      <c r="I247" s="2" t="n"/>
      <c r="J247" s="2" t="n"/>
      <c r="K247" s="2" t="n"/>
      <c r="L247" s="2" t="n"/>
      <c r="M247" s="2" t="n"/>
    </row>
    <row r="248">
      <c r="A248" s="2" t="n"/>
      <c r="B248" s="10" t="n"/>
      <c r="C248" s="2" t="n"/>
      <c r="D248" s="2" t="n"/>
      <c r="E248" s="2" t="n"/>
      <c r="F248" s="8" t="n"/>
      <c r="G248" s="8">
        <f>IF(F248="","",F248*Configuracion!$G$2)</f>
        <v/>
      </c>
      <c r="H248" s="8">
        <f>IF(F248="","",F248+G248)</f>
        <v/>
      </c>
      <c r="I248" s="2" t="n"/>
      <c r="J248" s="2" t="n"/>
      <c r="K248" s="2" t="n"/>
      <c r="L248" s="2" t="n"/>
      <c r="M248" s="2" t="n"/>
    </row>
    <row r="249">
      <c r="A249" s="2" t="n"/>
      <c r="B249" s="10" t="n"/>
      <c r="C249" s="2" t="n"/>
      <c r="D249" s="2" t="n"/>
      <c r="E249" s="2" t="n"/>
      <c r="F249" s="8" t="n"/>
      <c r="G249" s="8">
        <f>IF(F249="","",F249*Configuracion!$G$2)</f>
        <v/>
      </c>
      <c r="H249" s="8">
        <f>IF(F249="","",F249+G249)</f>
        <v/>
      </c>
      <c r="I249" s="2" t="n"/>
      <c r="J249" s="2" t="n"/>
      <c r="K249" s="2" t="n"/>
      <c r="L249" s="2" t="n"/>
      <c r="M249" s="2" t="n"/>
    </row>
    <row r="250">
      <c r="A250" s="2" t="n"/>
      <c r="B250" s="10" t="n"/>
      <c r="C250" s="2" t="n"/>
      <c r="D250" s="2" t="n"/>
      <c r="E250" s="2" t="n"/>
      <c r="F250" s="8" t="n"/>
      <c r="G250" s="8">
        <f>IF(F250="","",F250*Configuracion!$G$2)</f>
        <v/>
      </c>
      <c r="H250" s="8">
        <f>IF(F250="","",F250+G250)</f>
        <v/>
      </c>
      <c r="I250" s="2" t="n"/>
      <c r="J250" s="2" t="n"/>
      <c r="K250" s="2" t="n"/>
      <c r="L250" s="2" t="n"/>
      <c r="M250" s="2" t="n"/>
    </row>
  </sheetData>
  <dataValidations count="2">
    <dataValidation sqref="J2:J250" showDropDown="0" showInputMessage="0" showErrorMessage="0" allowBlank="1" type="list">
      <formula1>"Pendiente,Pagado,Vencido,No aplica"</formula1>
    </dataValidation>
    <dataValidation sqref="L2:L25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8" customWidth="1" min="4" max="4"/>
    <col width="38" customWidth="1" min="5" max="5"/>
    <col width="17" customWidth="1" min="6" max="6"/>
    <col width="38" customWidth="1" min="7" max="7"/>
    <col width="17" customWidth="1" min="8" max="8"/>
    <col width="17" customWidth="1" min="9" max="9"/>
    <col width="11" customWidth="1" min="10" max="10"/>
    <col width="12" customWidth="1" min="11" max="11"/>
    <col width="20" customWidth="1" min="12" max="12"/>
    <col width="15" customWidth="1" min="13" max="13"/>
  </cols>
  <sheetData>
    <row r="1">
      <c r="A1" s="4" t="inlineStr">
        <is>
          <t>ID_Impuesto</t>
        </is>
      </c>
      <c r="B1" s="4" t="inlineStr">
        <is>
          <t>Mes</t>
        </is>
      </c>
      <c r="C1" s="4" t="inlineStr">
        <is>
          <t>Año</t>
        </is>
      </c>
      <c r="D1" s="4" t="inlineStr">
        <is>
          <t>IVA_Debito</t>
        </is>
      </c>
      <c r="E1" s="4" t="inlineStr">
        <is>
          <t>IVA_Credito</t>
        </is>
      </c>
      <c r="F1" s="4" t="inlineStr">
        <is>
          <t>IVA_A_Pagar</t>
        </is>
      </c>
      <c r="G1" s="4" t="inlineStr">
        <is>
          <t>PPM</t>
        </is>
      </c>
      <c r="H1" s="4" t="inlineStr">
        <is>
          <t>Otros_Impuestos</t>
        </is>
      </c>
      <c r="I1" s="4" t="inlineStr">
        <is>
          <t>Total_Impuestos</t>
        </is>
      </c>
      <c r="J1" s="4" t="inlineStr">
        <is>
          <t>Estado</t>
        </is>
      </c>
      <c r="K1" s="4" t="inlineStr">
        <is>
          <t>Fecha_Pago</t>
        </is>
      </c>
      <c r="L1" s="4" t="inlineStr">
        <is>
          <t>Documento_Respaldo</t>
        </is>
      </c>
      <c r="M1" s="4" t="inlineStr">
        <is>
          <t>Observaciones</t>
        </is>
      </c>
    </row>
    <row r="2">
      <c r="A2" s="2" t="inlineStr">
        <is>
          <t>IMP-01-2026</t>
        </is>
      </c>
      <c r="B2" s="2" t="n">
        <v>1</v>
      </c>
      <c r="C2" s="2" t="n">
        <v>2026</v>
      </c>
      <c r="D2" s="8">
        <f>SUMIFS(Ingresos!I:I,Ingresos!D:D,"&gt;="&amp;DATE(C2,B2,1),Ingresos!D:D,"&lt;"&amp;EDATE(DATE(C2,B2,1),1))</f>
        <v/>
      </c>
      <c r="E2" s="8">
        <f>SUMIFS(Egresos!G:G,Egresos!B:B,"&gt;="&amp;DATE(C2,B2,1),Egresos!B:B,"&lt;"&amp;EDATE(DATE(C2,B2,1),1),Egresos!L:L,TRUE)</f>
        <v/>
      </c>
      <c r="F2" s="8">
        <f>MAX(D2-E2,0)</f>
        <v/>
      </c>
      <c r="G2" s="8">
        <f>SUMIFS(Ingresos!L:L,Ingresos!D:D,"&gt;="&amp;DATE(C2,B2,1),Ingresos!D:D,"&lt;"&amp;EDATE(DATE(C2,B2,1),1))</f>
        <v/>
      </c>
      <c r="H2" s="8" t="n">
        <v>0</v>
      </c>
      <c r="I2" s="8">
        <f>F2+G2+H2</f>
        <v/>
      </c>
      <c r="J2" s="2" t="inlineStr">
        <is>
          <t>Pendiente</t>
        </is>
      </c>
      <c r="K2" s="10" t="inlineStr"/>
      <c r="L2" s="2" t="inlineStr"/>
      <c r="M2" s="2" t="inlineStr"/>
    </row>
    <row r="3">
      <c r="A3" s="2" t="inlineStr">
        <is>
          <t>IMP-02-2026</t>
        </is>
      </c>
      <c r="B3" s="2" t="n">
        <v>2</v>
      </c>
      <c r="C3" s="2" t="n">
        <v>2026</v>
      </c>
      <c r="D3" s="8">
        <f>SUMIFS(Ingresos!I:I,Ingresos!D:D,"&gt;="&amp;DATE(C3,B3,1),Ingresos!D:D,"&lt;"&amp;EDATE(DATE(C3,B3,1),1))</f>
        <v/>
      </c>
      <c r="E3" s="8">
        <f>SUMIFS(Egresos!G:G,Egresos!B:B,"&gt;="&amp;DATE(C3,B3,1),Egresos!B:B,"&lt;"&amp;EDATE(DATE(C3,B3,1),1),Egresos!L:L,TRUE)</f>
        <v/>
      </c>
      <c r="F3" s="8">
        <f>MAX(D3-E3,0)</f>
        <v/>
      </c>
      <c r="G3" s="8">
        <f>SUMIFS(Ingresos!L:L,Ingresos!D:D,"&gt;="&amp;DATE(C3,B3,1),Ingresos!D:D,"&lt;"&amp;EDATE(DATE(C3,B3,1),1))</f>
        <v/>
      </c>
      <c r="H3" s="8" t="n">
        <v>0</v>
      </c>
      <c r="I3" s="8">
        <f>F3+G3+H3</f>
        <v/>
      </c>
      <c r="J3" s="2" t="inlineStr">
        <is>
          <t>Pendiente</t>
        </is>
      </c>
      <c r="K3" s="10" t="inlineStr"/>
      <c r="L3" s="2" t="inlineStr"/>
      <c r="M3" s="2" t="inlineStr"/>
    </row>
    <row r="4">
      <c r="A4" s="2" t="inlineStr">
        <is>
          <t>IMP-03-2026</t>
        </is>
      </c>
      <c r="B4" s="2" t="n">
        <v>3</v>
      </c>
      <c r="C4" s="2" t="n">
        <v>2026</v>
      </c>
      <c r="D4" s="8">
        <f>SUMIFS(Ingresos!I:I,Ingresos!D:D,"&gt;="&amp;DATE(C4,B4,1),Ingresos!D:D,"&lt;"&amp;EDATE(DATE(C4,B4,1),1))</f>
        <v/>
      </c>
      <c r="E4" s="8">
        <f>SUMIFS(Egresos!G:G,Egresos!B:B,"&gt;="&amp;DATE(C4,B4,1),Egresos!B:B,"&lt;"&amp;EDATE(DATE(C4,B4,1),1),Egresos!L:L,TRUE)</f>
        <v/>
      </c>
      <c r="F4" s="8">
        <f>MAX(D4-E4,0)</f>
        <v/>
      </c>
      <c r="G4" s="8">
        <f>SUMIFS(Ingresos!L:L,Ingresos!D:D,"&gt;="&amp;DATE(C4,B4,1),Ingresos!D:D,"&lt;"&amp;EDATE(DATE(C4,B4,1),1))</f>
        <v/>
      </c>
      <c r="H4" s="8" t="n">
        <v>0</v>
      </c>
      <c r="I4" s="8">
        <f>F4+G4+H4</f>
        <v/>
      </c>
      <c r="J4" s="2" t="inlineStr">
        <is>
          <t>Pendiente</t>
        </is>
      </c>
      <c r="K4" s="10" t="inlineStr"/>
      <c r="L4" s="2" t="inlineStr"/>
      <c r="M4" s="2" t="inlineStr"/>
    </row>
    <row r="5">
      <c r="A5" s="2" t="inlineStr">
        <is>
          <t>IMP-04-2026</t>
        </is>
      </c>
      <c r="B5" s="2" t="n">
        <v>4</v>
      </c>
      <c r="C5" s="2" t="n">
        <v>2026</v>
      </c>
      <c r="D5" s="8">
        <f>SUMIFS(Ingresos!I:I,Ingresos!D:D,"&gt;="&amp;DATE(C5,B5,1),Ingresos!D:D,"&lt;"&amp;EDATE(DATE(C5,B5,1),1))</f>
        <v/>
      </c>
      <c r="E5" s="8">
        <f>SUMIFS(Egresos!G:G,Egresos!B:B,"&gt;="&amp;DATE(C5,B5,1),Egresos!B:B,"&lt;"&amp;EDATE(DATE(C5,B5,1),1),Egresos!L:L,TRUE)</f>
        <v/>
      </c>
      <c r="F5" s="8">
        <f>MAX(D5-E5,0)</f>
        <v/>
      </c>
      <c r="G5" s="8">
        <f>SUMIFS(Ingresos!L:L,Ingresos!D:D,"&gt;="&amp;DATE(C5,B5,1),Ingresos!D:D,"&lt;"&amp;EDATE(DATE(C5,B5,1),1))</f>
        <v/>
      </c>
      <c r="H5" s="8" t="n">
        <v>0</v>
      </c>
      <c r="I5" s="8">
        <f>F5+G5+H5</f>
        <v/>
      </c>
      <c r="J5" s="2" t="inlineStr">
        <is>
          <t>Pendiente</t>
        </is>
      </c>
      <c r="K5" s="10" t="inlineStr"/>
      <c r="L5" s="2" t="inlineStr"/>
      <c r="M5" s="2" t="inlineStr"/>
    </row>
    <row r="6">
      <c r="A6" s="2" t="inlineStr">
        <is>
          <t>IMP-05-2026</t>
        </is>
      </c>
      <c r="B6" s="2" t="n">
        <v>5</v>
      </c>
      <c r="C6" s="2" t="n">
        <v>2026</v>
      </c>
      <c r="D6" s="8">
        <f>SUMIFS(Ingresos!I:I,Ingresos!D:D,"&gt;="&amp;DATE(C6,B6,1),Ingresos!D:D,"&lt;"&amp;EDATE(DATE(C6,B6,1),1))</f>
        <v/>
      </c>
      <c r="E6" s="8">
        <f>SUMIFS(Egresos!G:G,Egresos!B:B,"&gt;="&amp;DATE(C6,B6,1),Egresos!B:B,"&lt;"&amp;EDATE(DATE(C6,B6,1),1),Egresos!L:L,TRUE)</f>
        <v/>
      </c>
      <c r="F6" s="8">
        <f>MAX(D6-E6,0)</f>
        <v/>
      </c>
      <c r="G6" s="8">
        <f>SUMIFS(Ingresos!L:L,Ingresos!D:D,"&gt;="&amp;DATE(C6,B6,1),Ingresos!D:D,"&lt;"&amp;EDATE(DATE(C6,B6,1),1))</f>
        <v/>
      </c>
      <c r="H6" s="8" t="n">
        <v>0</v>
      </c>
      <c r="I6" s="8">
        <f>F6+G6+H6</f>
        <v/>
      </c>
      <c r="J6" s="2" t="inlineStr">
        <is>
          <t>Pendiente</t>
        </is>
      </c>
      <c r="K6" s="10" t="inlineStr"/>
      <c r="L6" s="2" t="inlineStr"/>
      <c r="M6" s="2" t="inlineStr"/>
    </row>
    <row r="7">
      <c r="A7" s="2" t="inlineStr">
        <is>
          <t>IMP-06-2026</t>
        </is>
      </c>
      <c r="B7" s="2" t="n">
        <v>6</v>
      </c>
      <c r="C7" s="2" t="n">
        <v>2026</v>
      </c>
      <c r="D7" s="8">
        <f>SUMIFS(Ingresos!I:I,Ingresos!D:D,"&gt;="&amp;DATE(C7,B7,1),Ingresos!D:D,"&lt;"&amp;EDATE(DATE(C7,B7,1),1))</f>
        <v/>
      </c>
      <c r="E7" s="8">
        <f>SUMIFS(Egresos!G:G,Egresos!B:B,"&gt;="&amp;DATE(C7,B7,1),Egresos!B:B,"&lt;"&amp;EDATE(DATE(C7,B7,1),1),Egresos!L:L,TRUE)</f>
        <v/>
      </c>
      <c r="F7" s="8">
        <f>MAX(D7-E7,0)</f>
        <v/>
      </c>
      <c r="G7" s="8">
        <f>SUMIFS(Ingresos!L:L,Ingresos!D:D,"&gt;="&amp;DATE(C7,B7,1),Ingresos!D:D,"&lt;"&amp;EDATE(DATE(C7,B7,1),1))</f>
        <v/>
      </c>
      <c r="H7" s="8" t="n">
        <v>0</v>
      </c>
      <c r="I7" s="8">
        <f>F7+G7+H7</f>
        <v/>
      </c>
      <c r="J7" s="2" t="inlineStr">
        <is>
          <t>Pendiente</t>
        </is>
      </c>
      <c r="K7" s="10" t="inlineStr"/>
      <c r="L7" s="2" t="inlineStr"/>
      <c r="M7" s="2" t="inlineStr"/>
    </row>
    <row r="8">
      <c r="A8" s="2" t="inlineStr">
        <is>
          <t>IMP-07-2026</t>
        </is>
      </c>
      <c r="B8" s="2" t="n">
        <v>7</v>
      </c>
      <c r="C8" s="2" t="n">
        <v>2026</v>
      </c>
      <c r="D8" s="8">
        <f>SUMIFS(Ingresos!I:I,Ingresos!D:D,"&gt;="&amp;DATE(C8,B8,1),Ingresos!D:D,"&lt;"&amp;EDATE(DATE(C8,B8,1),1))</f>
        <v/>
      </c>
      <c r="E8" s="8">
        <f>SUMIFS(Egresos!G:G,Egresos!B:B,"&gt;="&amp;DATE(C8,B8,1),Egresos!B:B,"&lt;"&amp;EDATE(DATE(C8,B8,1),1),Egresos!L:L,TRUE)</f>
        <v/>
      </c>
      <c r="F8" s="8">
        <f>MAX(D8-E8,0)</f>
        <v/>
      </c>
      <c r="G8" s="8">
        <f>SUMIFS(Ingresos!L:L,Ingresos!D:D,"&gt;="&amp;DATE(C8,B8,1),Ingresos!D:D,"&lt;"&amp;EDATE(DATE(C8,B8,1),1))</f>
        <v/>
      </c>
      <c r="H8" s="8" t="n">
        <v>0</v>
      </c>
      <c r="I8" s="8">
        <f>F8+G8+H8</f>
        <v/>
      </c>
      <c r="J8" s="2" t="inlineStr">
        <is>
          <t>Pendiente</t>
        </is>
      </c>
      <c r="K8" s="10" t="inlineStr"/>
      <c r="L8" s="2" t="inlineStr"/>
      <c r="M8" s="2" t="inlineStr"/>
    </row>
    <row r="9">
      <c r="A9" s="2" t="inlineStr">
        <is>
          <t>IMP-08-2026</t>
        </is>
      </c>
      <c r="B9" s="2" t="n">
        <v>8</v>
      </c>
      <c r="C9" s="2" t="n">
        <v>2026</v>
      </c>
      <c r="D9" s="8">
        <f>SUMIFS(Ingresos!I:I,Ingresos!D:D,"&gt;="&amp;DATE(C9,B9,1),Ingresos!D:D,"&lt;"&amp;EDATE(DATE(C9,B9,1),1))</f>
        <v/>
      </c>
      <c r="E9" s="8">
        <f>SUMIFS(Egresos!G:G,Egresos!B:B,"&gt;="&amp;DATE(C9,B9,1),Egresos!B:B,"&lt;"&amp;EDATE(DATE(C9,B9,1),1),Egresos!L:L,TRUE)</f>
        <v/>
      </c>
      <c r="F9" s="8">
        <f>MAX(D9-E9,0)</f>
        <v/>
      </c>
      <c r="G9" s="8">
        <f>SUMIFS(Ingresos!L:L,Ingresos!D:D,"&gt;="&amp;DATE(C9,B9,1),Ingresos!D:D,"&lt;"&amp;EDATE(DATE(C9,B9,1),1))</f>
        <v/>
      </c>
      <c r="H9" s="8" t="n">
        <v>0</v>
      </c>
      <c r="I9" s="8">
        <f>F9+G9+H9</f>
        <v/>
      </c>
      <c r="J9" s="2" t="inlineStr">
        <is>
          <t>Pendiente</t>
        </is>
      </c>
      <c r="K9" s="10" t="inlineStr"/>
      <c r="L9" s="2" t="inlineStr"/>
      <c r="M9" s="2" t="inlineStr"/>
    </row>
    <row r="10">
      <c r="A10" s="2" t="inlineStr">
        <is>
          <t>IMP-09-2026</t>
        </is>
      </c>
      <c r="B10" s="2" t="n">
        <v>9</v>
      </c>
      <c r="C10" s="2" t="n">
        <v>2026</v>
      </c>
      <c r="D10" s="8">
        <f>SUMIFS(Ingresos!I:I,Ingresos!D:D,"&gt;="&amp;DATE(C10,B10,1),Ingresos!D:D,"&lt;"&amp;EDATE(DATE(C10,B10,1),1))</f>
        <v/>
      </c>
      <c r="E10" s="8">
        <f>SUMIFS(Egresos!G:G,Egresos!B:B,"&gt;="&amp;DATE(C10,B10,1),Egresos!B:B,"&lt;"&amp;EDATE(DATE(C10,B10,1),1),Egresos!L:L,TRUE)</f>
        <v/>
      </c>
      <c r="F10" s="8">
        <f>MAX(D10-E10,0)</f>
        <v/>
      </c>
      <c r="G10" s="8">
        <f>SUMIFS(Ingresos!L:L,Ingresos!D:D,"&gt;="&amp;DATE(C10,B10,1),Ingresos!D:D,"&lt;"&amp;EDATE(DATE(C10,B10,1),1))</f>
        <v/>
      </c>
      <c r="H10" s="8" t="n">
        <v>0</v>
      </c>
      <c r="I10" s="8">
        <f>F10+G10+H10</f>
        <v/>
      </c>
      <c r="J10" s="2" t="inlineStr">
        <is>
          <t>Pendiente</t>
        </is>
      </c>
      <c r="K10" s="10" t="inlineStr"/>
      <c r="L10" s="2" t="inlineStr"/>
      <c r="M10" s="2" t="inlineStr"/>
    </row>
    <row r="11">
      <c r="A11" s="2" t="inlineStr">
        <is>
          <t>IMP-10-2026</t>
        </is>
      </c>
      <c r="B11" s="2" t="n">
        <v>10</v>
      </c>
      <c r="C11" s="2" t="n">
        <v>2026</v>
      </c>
      <c r="D11" s="8">
        <f>SUMIFS(Ingresos!I:I,Ingresos!D:D,"&gt;="&amp;DATE(C11,B11,1),Ingresos!D:D,"&lt;"&amp;EDATE(DATE(C11,B11,1),1))</f>
        <v/>
      </c>
      <c r="E11" s="8">
        <f>SUMIFS(Egresos!G:G,Egresos!B:B,"&gt;="&amp;DATE(C11,B11,1),Egresos!B:B,"&lt;"&amp;EDATE(DATE(C11,B11,1),1),Egresos!L:L,TRUE)</f>
        <v/>
      </c>
      <c r="F11" s="8">
        <f>MAX(D11-E11,0)</f>
        <v/>
      </c>
      <c r="G11" s="8">
        <f>SUMIFS(Ingresos!L:L,Ingresos!D:D,"&gt;="&amp;DATE(C11,B11,1),Ingresos!D:D,"&lt;"&amp;EDATE(DATE(C11,B11,1),1))</f>
        <v/>
      </c>
      <c r="H11" s="8" t="n">
        <v>0</v>
      </c>
      <c r="I11" s="8">
        <f>F11+G11+H11</f>
        <v/>
      </c>
      <c r="J11" s="2" t="inlineStr">
        <is>
          <t>Pendiente</t>
        </is>
      </c>
      <c r="K11" s="10" t="inlineStr"/>
      <c r="L11" s="2" t="inlineStr"/>
      <c r="M11" s="2" t="inlineStr"/>
    </row>
    <row r="12">
      <c r="A12" s="2" t="inlineStr">
        <is>
          <t>IMP-11-2026</t>
        </is>
      </c>
      <c r="B12" s="2" t="n">
        <v>11</v>
      </c>
      <c r="C12" s="2" t="n">
        <v>2026</v>
      </c>
      <c r="D12" s="8">
        <f>SUMIFS(Ingresos!I:I,Ingresos!D:D,"&gt;="&amp;DATE(C12,B12,1),Ingresos!D:D,"&lt;"&amp;EDATE(DATE(C12,B12,1),1))</f>
        <v/>
      </c>
      <c r="E12" s="8">
        <f>SUMIFS(Egresos!G:G,Egresos!B:B,"&gt;="&amp;DATE(C12,B12,1),Egresos!B:B,"&lt;"&amp;EDATE(DATE(C12,B12,1),1),Egresos!L:L,TRUE)</f>
        <v/>
      </c>
      <c r="F12" s="8">
        <f>MAX(D12-E12,0)</f>
        <v/>
      </c>
      <c r="G12" s="8">
        <f>SUMIFS(Ingresos!L:L,Ingresos!D:D,"&gt;="&amp;DATE(C12,B12,1),Ingresos!D:D,"&lt;"&amp;EDATE(DATE(C12,B12,1),1))</f>
        <v/>
      </c>
      <c r="H12" s="8" t="n">
        <v>0</v>
      </c>
      <c r="I12" s="8">
        <f>F12+G12+H12</f>
        <v/>
      </c>
      <c r="J12" s="2" t="inlineStr">
        <is>
          <t>Pendiente</t>
        </is>
      </c>
      <c r="K12" s="10" t="inlineStr"/>
      <c r="L12" s="2" t="inlineStr"/>
      <c r="M12" s="2" t="inlineStr"/>
    </row>
    <row r="13">
      <c r="A13" s="2" t="inlineStr">
        <is>
          <t>IMP-12-2026</t>
        </is>
      </c>
      <c r="B13" s="2" t="n">
        <v>12</v>
      </c>
      <c r="C13" s="2" t="n">
        <v>2026</v>
      </c>
      <c r="D13" s="8">
        <f>SUMIFS(Ingresos!I:I,Ingresos!D:D,"&gt;="&amp;DATE(C13,B13,1),Ingresos!D:D,"&lt;"&amp;EDATE(DATE(C13,B13,1),1))</f>
        <v/>
      </c>
      <c r="E13" s="8">
        <f>SUMIFS(Egresos!G:G,Egresos!B:B,"&gt;="&amp;DATE(C13,B13,1),Egresos!B:B,"&lt;"&amp;EDATE(DATE(C13,B13,1),1),Egresos!L:L,TRUE)</f>
        <v/>
      </c>
      <c r="F13" s="8">
        <f>MAX(D13-E13,0)</f>
        <v/>
      </c>
      <c r="G13" s="8">
        <f>SUMIFS(Ingresos!L:L,Ingresos!D:D,"&gt;="&amp;DATE(C13,B13,1),Ingresos!D:D,"&lt;"&amp;EDATE(DATE(C13,B13,1),1))</f>
        <v/>
      </c>
      <c r="H13" s="8" t="n">
        <v>0</v>
      </c>
      <c r="I13" s="8">
        <f>F13+G13+H13</f>
        <v/>
      </c>
      <c r="J13" s="2" t="inlineStr">
        <is>
          <t>Pendiente</t>
        </is>
      </c>
      <c r="K13" s="10" t="inlineStr"/>
      <c r="L13" s="2" t="inlineStr"/>
      <c r="M13" s="2" t="inlineStr"/>
    </row>
    <row r="14">
      <c r="A14" s="2" t="n"/>
      <c r="B14" s="2" t="n"/>
      <c r="C14" s="2" t="n"/>
      <c r="D14" s="8">
        <f>SUMIFS(Ingresos!I:I,Ingresos!D:D,"&gt;="&amp;DATE(C14,B14,1),Ingresos!D:D,"&lt;"&amp;EDATE(DATE(C14,B14,1),1))</f>
        <v/>
      </c>
      <c r="E14" s="8">
        <f>SUMIFS(Egresos!G:G,Egresos!B:B,"&gt;="&amp;DATE(C14,B14,1),Egresos!B:B,"&lt;"&amp;EDATE(DATE(C14,B14,1),1),Egresos!L:L,TRUE)</f>
        <v/>
      </c>
      <c r="F14" s="8">
        <f>MAX(D14-E14,0)</f>
        <v/>
      </c>
      <c r="G14" s="8">
        <f>SUMIFS(Ingresos!L:L,Ingresos!D:D,"&gt;="&amp;DATE(C14,B14,1),Ingresos!D:D,"&lt;"&amp;EDATE(DATE(C14,B14,1),1))</f>
        <v/>
      </c>
      <c r="H14" s="8" t="n"/>
      <c r="I14" s="8">
        <f>F14+G14+H14</f>
        <v/>
      </c>
      <c r="J14" s="2" t="n"/>
      <c r="K14" s="10" t="n"/>
      <c r="L14" s="2" t="n"/>
      <c r="M14" s="2" t="n"/>
    </row>
    <row r="15">
      <c r="A15" s="2" t="n"/>
      <c r="B15" s="2" t="n"/>
      <c r="C15" s="2" t="n"/>
      <c r="D15" s="8">
        <f>SUMIFS(Ingresos!I:I,Ingresos!D:D,"&gt;="&amp;DATE(C15,B15,1),Ingresos!D:D,"&lt;"&amp;EDATE(DATE(C15,B15,1),1))</f>
        <v/>
      </c>
      <c r="E15" s="8">
        <f>SUMIFS(Egresos!G:G,Egresos!B:B,"&gt;="&amp;DATE(C15,B15,1),Egresos!B:B,"&lt;"&amp;EDATE(DATE(C15,B15,1),1),Egresos!L:L,TRUE)</f>
        <v/>
      </c>
      <c r="F15" s="8">
        <f>MAX(D15-E15,0)</f>
        <v/>
      </c>
      <c r="G15" s="8">
        <f>SUMIFS(Ingresos!L:L,Ingresos!D:D,"&gt;="&amp;DATE(C15,B15,1),Ingresos!D:D,"&lt;"&amp;EDATE(DATE(C15,B15,1),1))</f>
        <v/>
      </c>
      <c r="H15" s="8" t="n"/>
      <c r="I15" s="8">
        <f>F15+G15+H15</f>
        <v/>
      </c>
      <c r="J15" s="2" t="n"/>
      <c r="K15" s="10" t="n"/>
      <c r="L15" s="2" t="n"/>
      <c r="M15" s="2" t="n"/>
    </row>
    <row r="16">
      <c r="A16" s="2" t="n"/>
      <c r="B16" s="2" t="n"/>
      <c r="C16" s="2" t="n"/>
      <c r="D16" s="8">
        <f>SUMIFS(Ingresos!I:I,Ingresos!D:D,"&gt;="&amp;DATE(C16,B16,1),Ingresos!D:D,"&lt;"&amp;EDATE(DATE(C16,B16,1),1))</f>
        <v/>
      </c>
      <c r="E16" s="8">
        <f>SUMIFS(Egresos!G:G,Egresos!B:B,"&gt;="&amp;DATE(C16,B16,1),Egresos!B:B,"&lt;"&amp;EDATE(DATE(C16,B16,1),1),Egresos!L:L,TRUE)</f>
        <v/>
      </c>
      <c r="F16" s="8">
        <f>MAX(D16-E16,0)</f>
        <v/>
      </c>
      <c r="G16" s="8">
        <f>SUMIFS(Ingresos!L:L,Ingresos!D:D,"&gt;="&amp;DATE(C16,B16,1),Ingresos!D:D,"&lt;"&amp;EDATE(DATE(C16,B16,1),1))</f>
        <v/>
      </c>
      <c r="H16" s="8" t="n"/>
      <c r="I16" s="8">
        <f>F16+G16+H16</f>
        <v/>
      </c>
      <c r="J16" s="2" t="n"/>
      <c r="K16" s="10" t="n"/>
      <c r="L16" s="2" t="n"/>
      <c r="M16" s="2" t="n"/>
    </row>
    <row r="17">
      <c r="A17" s="2" t="n"/>
      <c r="B17" s="2" t="n"/>
      <c r="C17" s="2" t="n"/>
      <c r="D17" s="8">
        <f>SUMIFS(Ingresos!I:I,Ingresos!D:D,"&gt;="&amp;DATE(C17,B17,1),Ingresos!D:D,"&lt;"&amp;EDATE(DATE(C17,B17,1),1))</f>
        <v/>
      </c>
      <c r="E17" s="8">
        <f>SUMIFS(Egresos!G:G,Egresos!B:B,"&gt;="&amp;DATE(C17,B17,1),Egresos!B:B,"&lt;"&amp;EDATE(DATE(C17,B17,1),1),Egresos!L:L,TRUE)</f>
        <v/>
      </c>
      <c r="F17" s="8">
        <f>MAX(D17-E17,0)</f>
        <v/>
      </c>
      <c r="G17" s="8">
        <f>SUMIFS(Ingresos!L:L,Ingresos!D:D,"&gt;="&amp;DATE(C17,B17,1),Ingresos!D:D,"&lt;"&amp;EDATE(DATE(C17,B17,1),1))</f>
        <v/>
      </c>
      <c r="H17" s="8" t="n"/>
      <c r="I17" s="8">
        <f>F17+G17+H17</f>
        <v/>
      </c>
      <c r="J17" s="2" t="n"/>
      <c r="K17" s="10" t="n"/>
      <c r="L17" s="2" t="n"/>
      <c r="M17" s="2" t="n"/>
    </row>
    <row r="18">
      <c r="A18" s="2" t="n"/>
      <c r="B18" s="2" t="n"/>
      <c r="C18" s="2" t="n"/>
      <c r="D18" s="8">
        <f>SUMIFS(Ingresos!I:I,Ingresos!D:D,"&gt;="&amp;DATE(C18,B18,1),Ingresos!D:D,"&lt;"&amp;EDATE(DATE(C18,B18,1),1))</f>
        <v/>
      </c>
      <c r="E18" s="8">
        <f>SUMIFS(Egresos!G:G,Egresos!B:B,"&gt;="&amp;DATE(C18,B18,1),Egresos!B:B,"&lt;"&amp;EDATE(DATE(C18,B18,1),1),Egresos!L:L,TRUE)</f>
        <v/>
      </c>
      <c r="F18" s="8">
        <f>MAX(D18-E18,0)</f>
        <v/>
      </c>
      <c r="G18" s="8">
        <f>SUMIFS(Ingresos!L:L,Ingresos!D:D,"&gt;="&amp;DATE(C18,B18,1),Ingresos!D:D,"&lt;"&amp;EDATE(DATE(C18,B18,1),1))</f>
        <v/>
      </c>
      <c r="H18" s="8" t="n"/>
      <c r="I18" s="8">
        <f>F18+G18+H18</f>
        <v/>
      </c>
      <c r="J18" s="2" t="n"/>
      <c r="K18" s="10" t="n"/>
      <c r="L18" s="2" t="n"/>
      <c r="M18" s="2" t="n"/>
    </row>
    <row r="19">
      <c r="A19" s="2" t="n"/>
      <c r="B19" s="2" t="n"/>
      <c r="C19" s="2" t="n"/>
      <c r="D19" s="8">
        <f>SUMIFS(Ingresos!I:I,Ingresos!D:D,"&gt;="&amp;DATE(C19,B19,1),Ingresos!D:D,"&lt;"&amp;EDATE(DATE(C19,B19,1),1))</f>
        <v/>
      </c>
      <c r="E19" s="8">
        <f>SUMIFS(Egresos!G:G,Egresos!B:B,"&gt;="&amp;DATE(C19,B19,1),Egresos!B:B,"&lt;"&amp;EDATE(DATE(C19,B19,1),1),Egresos!L:L,TRUE)</f>
        <v/>
      </c>
      <c r="F19" s="8">
        <f>MAX(D19-E19,0)</f>
        <v/>
      </c>
      <c r="G19" s="8">
        <f>SUMIFS(Ingresos!L:L,Ingresos!D:D,"&gt;="&amp;DATE(C19,B19,1),Ingresos!D:D,"&lt;"&amp;EDATE(DATE(C19,B19,1),1))</f>
        <v/>
      </c>
      <c r="H19" s="8" t="n"/>
      <c r="I19" s="8">
        <f>F19+G19+H19</f>
        <v/>
      </c>
      <c r="J19" s="2" t="n"/>
      <c r="K19" s="10" t="n"/>
      <c r="L19" s="2" t="n"/>
      <c r="M19" s="2" t="n"/>
    </row>
    <row r="20">
      <c r="A20" s="2" t="n"/>
      <c r="B20" s="2" t="n"/>
      <c r="C20" s="2" t="n"/>
      <c r="D20" s="8">
        <f>SUMIFS(Ingresos!I:I,Ingresos!D:D,"&gt;="&amp;DATE(C20,B20,1),Ingresos!D:D,"&lt;"&amp;EDATE(DATE(C20,B20,1),1))</f>
        <v/>
      </c>
      <c r="E20" s="8">
        <f>SUMIFS(Egresos!G:G,Egresos!B:B,"&gt;="&amp;DATE(C20,B20,1),Egresos!B:B,"&lt;"&amp;EDATE(DATE(C20,B20,1),1),Egresos!L:L,TRUE)</f>
        <v/>
      </c>
      <c r="F20" s="8">
        <f>MAX(D20-E20,0)</f>
        <v/>
      </c>
      <c r="G20" s="8">
        <f>SUMIFS(Ingresos!L:L,Ingresos!D:D,"&gt;="&amp;DATE(C20,B20,1),Ingresos!D:D,"&lt;"&amp;EDATE(DATE(C20,B20,1),1))</f>
        <v/>
      </c>
      <c r="H20" s="8" t="n"/>
      <c r="I20" s="8">
        <f>F20+G20+H20</f>
        <v/>
      </c>
      <c r="J20" s="2" t="n"/>
      <c r="K20" s="10" t="n"/>
      <c r="L20" s="2" t="n"/>
      <c r="M20" s="2" t="n"/>
    </row>
    <row r="21">
      <c r="A21" s="2" t="n"/>
      <c r="B21" s="2" t="n"/>
      <c r="C21" s="2" t="n"/>
      <c r="D21" s="8">
        <f>SUMIFS(Ingresos!I:I,Ingresos!D:D,"&gt;="&amp;DATE(C21,B21,1),Ingresos!D:D,"&lt;"&amp;EDATE(DATE(C21,B21,1),1))</f>
        <v/>
      </c>
      <c r="E21" s="8">
        <f>SUMIFS(Egresos!G:G,Egresos!B:B,"&gt;="&amp;DATE(C21,B21,1),Egresos!B:B,"&lt;"&amp;EDATE(DATE(C21,B21,1),1),Egresos!L:L,TRUE)</f>
        <v/>
      </c>
      <c r="F21" s="8">
        <f>MAX(D21-E21,0)</f>
        <v/>
      </c>
      <c r="G21" s="8">
        <f>SUMIFS(Ingresos!L:L,Ingresos!D:D,"&gt;="&amp;DATE(C21,B21,1),Ingresos!D:D,"&lt;"&amp;EDATE(DATE(C21,B21,1),1))</f>
        <v/>
      </c>
      <c r="H21" s="8" t="n"/>
      <c r="I21" s="8">
        <f>F21+G21+H21</f>
        <v/>
      </c>
      <c r="J21" s="2" t="n"/>
      <c r="K21" s="10" t="n"/>
      <c r="L21" s="2" t="n"/>
      <c r="M21" s="2" t="n"/>
    </row>
    <row r="22">
      <c r="A22" s="2" t="n"/>
      <c r="B22" s="2" t="n"/>
      <c r="C22" s="2" t="n"/>
      <c r="D22" s="8">
        <f>SUMIFS(Ingresos!I:I,Ingresos!D:D,"&gt;="&amp;DATE(C22,B22,1),Ingresos!D:D,"&lt;"&amp;EDATE(DATE(C22,B22,1),1))</f>
        <v/>
      </c>
      <c r="E22" s="8">
        <f>SUMIFS(Egresos!G:G,Egresos!B:B,"&gt;="&amp;DATE(C22,B22,1),Egresos!B:B,"&lt;"&amp;EDATE(DATE(C22,B22,1),1),Egresos!L:L,TRUE)</f>
        <v/>
      </c>
      <c r="F22" s="8">
        <f>MAX(D22-E22,0)</f>
        <v/>
      </c>
      <c r="G22" s="8">
        <f>SUMIFS(Ingresos!L:L,Ingresos!D:D,"&gt;="&amp;DATE(C22,B22,1),Ingresos!D:D,"&lt;"&amp;EDATE(DATE(C22,B22,1),1))</f>
        <v/>
      </c>
      <c r="H22" s="8" t="n"/>
      <c r="I22" s="8">
        <f>F22+G22+H22</f>
        <v/>
      </c>
      <c r="J22" s="2" t="n"/>
      <c r="K22" s="10" t="n"/>
      <c r="L22" s="2" t="n"/>
      <c r="M22" s="2" t="n"/>
    </row>
    <row r="23">
      <c r="A23" s="2" t="n"/>
      <c r="B23" s="2" t="n"/>
      <c r="C23" s="2" t="n"/>
      <c r="D23" s="8">
        <f>SUMIFS(Ingresos!I:I,Ingresos!D:D,"&gt;="&amp;DATE(C23,B23,1),Ingresos!D:D,"&lt;"&amp;EDATE(DATE(C23,B23,1),1))</f>
        <v/>
      </c>
      <c r="E23" s="8">
        <f>SUMIFS(Egresos!G:G,Egresos!B:B,"&gt;="&amp;DATE(C23,B23,1),Egresos!B:B,"&lt;"&amp;EDATE(DATE(C23,B23,1),1),Egresos!L:L,TRUE)</f>
        <v/>
      </c>
      <c r="F23" s="8">
        <f>MAX(D23-E23,0)</f>
        <v/>
      </c>
      <c r="G23" s="8">
        <f>SUMIFS(Ingresos!L:L,Ingresos!D:D,"&gt;="&amp;DATE(C23,B23,1),Ingresos!D:D,"&lt;"&amp;EDATE(DATE(C23,B23,1),1))</f>
        <v/>
      </c>
      <c r="H23" s="8" t="n"/>
      <c r="I23" s="8">
        <f>F23+G23+H23</f>
        <v/>
      </c>
      <c r="J23" s="2" t="n"/>
      <c r="K23" s="10" t="n"/>
      <c r="L23" s="2" t="n"/>
      <c r="M23" s="2" t="n"/>
    </row>
    <row r="24">
      <c r="A24" s="2" t="n"/>
      <c r="B24" s="2" t="n"/>
      <c r="C24" s="2" t="n"/>
      <c r="D24" s="8">
        <f>SUMIFS(Ingresos!I:I,Ingresos!D:D,"&gt;="&amp;DATE(C24,B24,1),Ingresos!D:D,"&lt;"&amp;EDATE(DATE(C24,B24,1),1))</f>
        <v/>
      </c>
      <c r="E24" s="8">
        <f>SUMIFS(Egresos!G:G,Egresos!B:B,"&gt;="&amp;DATE(C24,B24,1),Egresos!B:B,"&lt;"&amp;EDATE(DATE(C24,B24,1),1),Egresos!L:L,TRUE)</f>
        <v/>
      </c>
      <c r="F24" s="8">
        <f>MAX(D24-E24,0)</f>
        <v/>
      </c>
      <c r="G24" s="8">
        <f>SUMIFS(Ingresos!L:L,Ingresos!D:D,"&gt;="&amp;DATE(C24,B24,1),Ingresos!D:D,"&lt;"&amp;EDATE(DATE(C24,B24,1),1))</f>
        <v/>
      </c>
      <c r="H24" s="8" t="n"/>
      <c r="I24" s="8">
        <f>F24+G24+H24</f>
        <v/>
      </c>
      <c r="J24" s="2" t="n"/>
      <c r="K24" s="10" t="n"/>
      <c r="L24" s="2" t="n"/>
      <c r="M24" s="2" t="n"/>
    </row>
    <row r="25">
      <c r="A25" s="2" t="n"/>
      <c r="B25" s="2" t="n"/>
      <c r="C25" s="2" t="n"/>
      <c r="D25" s="8">
        <f>SUMIFS(Ingresos!I:I,Ingresos!D:D,"&gt;="&amp;DATE(C25,B25,1),Ingresos!D:D,"&lt;"&amp;EDATE(DATE(C25,B25,1),1))</f>
        <v/>
      </c>
      <c r="E25" s="8">
        <f>SUMIFS(Egresos!G:G,Egresos!B:B,"&gt;="&amp;DATE(C25,B25,1),Egresos!B:B,"&lt;"&amp;EDATE(DATE(C25,B25,1),1),Egresos!L:L,TRUE)</f>
        <v/>
      </c>
      <c r="F25" s="8">
        <f>MAX(D25-E25,0)</f>
        <v/>
      </c>
      <c r="G25" s="8">
        <f>SUMIFS(Ingresos!L:L,Ingresos!D:D,"&gt;="&amp;DATE(C25,B25,1),Ingresos!D:D,"&lt;"&amp;EDATE(DATE(C25,B25,1),1))</f>
        <v/>
      </c>
      <c r="H25" s="8" t="n"/>
      <c r="I25" s="8">
        <f>F25+G25+H25</f>
        <v/>
      </c>
      <c r="J25" s="2" t="n"/>
      <c r="K25" s="10" t="n"/>
      <c r="L25" s="2" t="n"/>
      <c r="M25" s="2" t="n"/>
    </row>
    <row r="26">
      <c r="A26" s="2" t="n"/>
      <c r="B26" s="2" t="n"/>
      <c r="C26" s="2" t="n"/>
      <c r="D26" s="8">
        <f>SUMIFS(Ingresos!I:I,Ingresos!D:D,"&gt;="&amp;DATE(C26,B26,1),Ingresos!D:D,"&lt;"&amp;EDATE(DATE(C26,B26,1),1))</f>
        <v/>
      </c>
      <c r="E26" s="8">
        <f>SUMIFS(Egresos!G:G,Egresos!B:B,"&gt;="&amp;DATE(C26,B26,1),Egresos!B:B,"&lt;"&amp;EDATE(DATE(C26,B26,1),1),Egresos!L:L,TRUE)</f>
        <v/>
      </c>
      <c r="F26" s="8">
        <f>MAX(D26-E26,0)</f>
        <v/>
      </c>
      <c r="G26" s="8">
        <f>SUMIFS(Ingresos!L:L,Ingresos!D:D,"&gt;="&amp;DATE(C26,B26,1),Ingresos!D:D,"&lt;"&amp;EDATE(DATE(C26,B26,1),1))</f>
        <v/>
      </c>
      <c r="H26" s="8" t="n"/>
      <c r="I26" s="8">
        <f>F26+G26+H26</f>
        <v/>
      </c>
      <c r="J26" s="2" t="n"/>
      <c r="K26" s="10" t="n"/>
      <c r="L26" s="2" t="n"/>
      <c r="M26" s="2" t="n"/>
    </row>
    <row r="27">
      <c r="A27" s="2" t="n"/>
      <c r="B27" s="2" t="n"/>
      <c r="C27" s="2" t="n"/>
      <c r="D27" s="8">
        <f>SUMIFS(Ingresos!I:I,Ingresos!D:D,"&gt;="&amp;DATE(C27,B27,1),Ingresos!D:D,"&lt;"&amp;EDATE(DATE(C27,B27,1),1))</f>
        <v/>
      </c>
      <c r="E27" s="8">
        <f>SUMIFS(Egresos!G:G,Egresos!B:B,"&gt;="&amp;DATE(C27,B27,1),Egresos!B:B,"&lt;"&amp;EDATE(DATE(C27,B27,1),1),Egresos!L:L,TRUE)</f>
        <v/>
      </c>
      <c r="F27" s="8">
        <f>MAX(D27-E27,0)</f>
        <v/>
      </c>
      <c r="G27" s="8">
        <f>SUMIFS(Ingresos!L:L,Ingresos!D:D,"&gt;="&amp;DATE(C27,B27,1),Ingresos!D:D,"&lt;"&amp;EDATE(DATE(C27,B27,1),1))</f>
        <v/>
      </c>
      <c r="H27" s="8" t="n"/>
      <c r="I27" s="8">
        <f>F27+G27+H27</f>
        <v/>
      </c>
      <c r="J27" s="2" t="n"/>
      <c r="K27" s="10" t="n"/>
      <c r="L27" s="2" t="n"/>
      <c r="M27" s="2" t="n"/>
    </row>
    <row r="28">
      <c r="A28" s="2" t="n"/>
      <c r="B28" s="2" t="n"/>
      <c r="C28" s="2" t="n"/>
      <c r="D28" s="8">
        <f>SUMIFS(Ingresos!I:I,Ingresos!D:D,"&gt;="&amp;DATE(C28,B28,1),Ingresos!D:D,"&lt;"&amp;EDATE(DATE(C28,B28,1),1))</f>
        <v/>
      </c>
      <c r="E28" s="8">
        <f>SUMIFS(Egresos!G:G,Egresos!B:B,"&gt;="&amp;DATE(C28,B28,1),Egresos!B:B,"&lt;"&amp;EDATE(DATE(C28,B28,1),1),Egresos!L:L,TRUE)</f>
        <v/>
      </c>
      <c r="F28" s="8">
        <f>MAX(D28-E28,0)</f>
        <v/>
      </c>
      <c r="G28" s="8">
        <f>SUMIFS(Ingresos!L:L,Ingresos!D:D,"&gt;="&amp;DATE(C28,B28,1),Ingresos!D:D,"&lt;"&amp;EDATE(DATE(C28,B28,1),1))</f>
        <v/>
      </c>
      <c r="H28" s="8" t="n"/>
      <c r="I28" s="8">
        <f>F28+G28+H28</f>
        <v/>
      </c>
      <c r="J28" s="2" t="n"/>
      <c r="K28" s="10" t="n"/>
      <c r="L28" s="2" t="n"/>
      <c r="M28" s="2" t="n"/>
    </row>
    <row r="29">
      <c r="A29" s="2" t="n"/>
      <c r="B29" s="2" t="n"/>
      <c r="C29" s="2" t="n"/>
      <c r="D29" s="8">
        <f>SUMIFS(Ingresos!I:I,Ingresos!D:D,"&gt;="&amp;DATE(C29,B29,1),Ingresos!D:D,"&lt;"&amp;EDATE(DATE(C29,B29,1),1))</f>
        <v/>
      </c>
      <c r="E29" s="8">
        <f>SUMIFS(Egresos!G:G,Egresos!B:B,"&gt;="&amp;DATE(C29,B29,1),Egresos!B:B,"&lt;"&amp;EDATE(DATE(C29,B29,1),1),Egresos!L:L,TRUE)</f>
        <v/>
      </c>
      <c r="F29" s="8">
        <f>MAX(D29-E29,0)</f>
        <v/>
      </c>
      <c r="G29" s="8">
        <f>SUMIFS(Ingresos!L:L,Ingresos!D:D,"&gt;="&amp;DATE(C29,B29,1),Ingresos!D:D,"&lt;"&amp;EDATE(DATE(C29,B29,1),1))</f>
        <v/>
      </c>
      <c r="H29" s="8" t="n"/>
      <c r="I29" s="8">
        <f>F29+G29+H29</f>
        <v/>
      </c>
      <c r="J29" s="2" t="n"/>
      <c r="K29" s="10" t="n"/>
      <c r="L29" s="2" t="n"/>
      <c r="M29" s="2" t="n"/>
    </row>
    <row r="30">
      <c r="A30" s="2" t="n"/>
      <c r="B30" s="2" t="n"/>
      <c r="C30" s="2" t="n"/>
      <c r="D30" s="8">
        <f>SUMIFS(Ingresos!I:I,Ingresos!D:D,"&gt;="&amp;DATE(C30,B30,1),Ingresos!D:D,"&lt;"&amp;EDATE(DATE(C30,B30,1),1))</f>
        <v/>
      </c>
      <c r="E30" s="8">
        <f>SUMIFS(Egresos!G:G,Egresos!B:B,"&gt;="&amp;DATE(C30,B30,1),Egresos!B:B,"&lt;"&amp;EDATE(DATE(C30,B30,1),1),Egresos!L:L,TRUE)</f>
        <v/>
      </c>
      <c r="F30" s="8">
        <f>MAX(D30-E30,0)</f>
        <v/>
      </c>
      <c r="G30" s="8">
        <f>SUMIFS(Ingresos!L:L,Ingresos!D:D,"&gt;="&amp;DATE(C30,B30,1),Ingresos!D:D,"&lt;"&amp;EDATE(DATE(C30,B30,1),1))</f>
        <v/>
      </c>
      <c r="H30" s="8" t="n"/>
      <c r="I30" s="8">
        <f>F30+G30+H30</f>
        <v/>
      </c>
      <c r="J30" s="2" t="n"/>
      <c r="K30" s="10" t="n"/>
      <c r="L30" s="2" t="n"/>
      <c r="M30" s="2" t="n"/>
    </row>
    <row r="31">
      <c r="A31" s="2" t="n"/>
      <c r="B31" s="2" t="n"/>
      <c r="C31" s="2" t="n"/>
      <c r="D31" s="8">
        <f>SUMIFS(Ingresos!I:I,Ingresos!D:D,"&gt;="&amp;DATE(C31,B31,1),Ingresos!D:D,"&lt;"&amp;EDATE(DATE(C31,B31,1),1))</f>
        <v/>
      </c>
      <c r="E31" s="8">
        <f>SUMIFS(Egresos!G:G,Egresos!B:B,"&gt;="&amp;DATE(C31,B31,1),Egresos!B:B,"&lt;"&amp;EDATE(DATE(C31,B31,1),1),Egresos!L:L,TRUE)</f>
        <v/>
      </c>
      <c r="F31" s="8">
        <f>MAX(D31-E31,0)</f>
        <v/>
      </c>
      <c r="G31" s="8">
        <f>SUMIFS(Ingresos!L:L,Ingresos!D:D,"&gt;="&amp;DATE(C31,B31,1),Ingresos!D:D,"&lt;"&amp;EDATE(DATE(C31,B31,1),1))</f>
        <v/>
      </c>
      <c r="H31" s="8" t="n"/>
      <c r="I31" s="8">
        <f>F31+G31+H31</f>
        <v/>
      </c>
      <c r="J31" s="2" t="n"/>
      <c r="K31" s="10" t="n"/>
      <c r="L31" s="2" t="n"/>
      <c r="M31" s="2" t="n"/>
    </row>
    <row r="32">
      <c r="A32" s="2" t="n"/>
      <c r="B32" s="2" t="n"/>
      <c r="C32" s="2" t="n"/>
      <c r="D32" s="8">
        <f>SUMIFS(Ingresos!I:I,Ingresos!D:D,"&gt;="&amp;DATE(C32,B32,1),Ingresos!D:D,"&lt;"&amp;EDATE(DATE(C32,B32,1),1))</f>
        <v/>
      </c>
      <c r="E32" s="8">
        <f>SUMIFS(Egresos!G:G,Egresos!B:B,"&gt;="&amp;DATE(C32,B32,1),Egresos!B:B,"&lt;"&amp;EDATE(DATE(C32,B32,1),1),Egresos!L:L,TRUE)</f>
        <v/>
      </c>
      <c r="F32" s="8">
        <f>MAX(D32-E32,0)</f>
        <v/>
      </c>
      <c r="G32" s="8">
        <f>SUMIFS(Ingresos!L:L,Ingresos!D:D,"&gt;="&amp;DATE(C32,B32,1),Ingresos!D:D,"&lt;"&amp;EDATE(DATE(C32,B32,1),1))</f>
        <v/>
      </c>
      <c r="H32" s="8" t="n"/>
      <c r="I32" s="8">
        <f>F32+G32+H32</f>
        <v/>
      </c>
      <c r="J32" s="2" t="n"/>
      <c r="K32" s="10" t="n"/>
      <c r="L32" s="2" t="n"/>
      <c r="M32" s="2" t="n"/>
    </row>
    <row r="33">
      <c r="A33" s="2" t="n"/>
      <c r="B33" s="2" t="n"/>
      <c r="C33" s="2" t="n"/>
      <c r="D33" s="8">
        <f>SUMIFS(Ingresos!I:I,Ingresos!D:D,"&gt;="&amp;DATE(C33,B33,1),Ingresos!D:D,"&lt;"&amp;EDATE(DATE(C33,B33,1),1))</f>
        <v/>
      </c>
      <c r="E33" s="8">
        <f>SUMIFS(Egresos!G:G,Egresos!B:B,"&gt;="&amp;DATE(C33,B33,1),Egresos!B:B,"&lt;"&amp;EDATE(DATE(C33,B33,1),1),Egresos!L:L,TRUE)</f>
        <v/>
      </c>
      <c r="F33" s="8">
        <f>MAX(D33-E33,0)</f>
        <v/>
      </c>
      <c r="G33" s="8">
        <f>SUMIFS(Ingresos!L:L,Ingresos!D:D,"&gt;="&amp;DATE(C33,B33,1),Ingresos!D:D,"&lt;"&amp;EDATE(DATE(C33,B33,1),1))</f>
        <v/>
      </c>
      <c r="H33" s="8" t="n"/>
      <c r="I33" s="8">
        <f>F33+G33+H33</f>
        <v/>
      </c>
      <c r="J33" s="2" t="n"/>
      <c r="K33" s="10" t="n"/>
      <c r="L33" s="2" t="n"/>
      <c r="M33" s="2" t="n"/>
    </row>
    <row r="34">
      <c r="A34" s="2" t="n"/>
      <c r="B34" s="2" t="n"/>
      <c r="C34" s="2" t="n"/>
      <c r="D34" s="8">
        <f>SUMIFS(Ingresos!I:I,Ingresos!D:D,"&gt;="&amp;DATE(C34,B34,1),Ingresos!D:D,"&lt;"&amp;EDATE(DATE(C34,B34,1),1))</f>
        <v/>
      </c>
      <c r="E34" s="8">
        <f>SUMIFS(Egresos!G:G,Egresos!B:B,"&gt;="&amp;DATE(C34,B34,1),Egresos!B:B,"&lt;"&amp;EDATE(DATE(C34,B34,1),1),Egresos!L:L,TRUE)</f>
        <v/>
      </c>
      <c r="F34" s="8">
        <f>MAX(D34-E34,0)</f>
        <v/>
      </c>
      <c r="G34" s="8">
        <f>SUMIFS(Ingresos!L:L,Ingresos!D:D,"&gt;="&amp;DATE(C34,B34,1),Ingresos!D:D,"&lt;"&amp;EDATE(DATE(C34,B34,1),1))</f>
        <v/>
      </c>
      <c r="H34" s="8" t="n"/>
      <c r="I34" s="8">
        <f>F34+G34+H34</f>
        <v/>
      </c>
      <c r="J34" s="2" t="n"/>
      <c r="K34" s="10" t="n"/>
      <c r="L34" s="2" t="n"/>
      <c r="M34" s="2" t="n"/>
    </row>
    <row r="35">
      <c r="A35" s="2" t="n"/>
      <c r="B35" s="2" t="n"/>
      <c r="C35" s="2" t="n"/>
      <c r="D35" s="8">
        <f>SUMIFS(Ingresos!I:I,Ingresos!D:D,"&gt;="&amp;DATE(C35,B35,1),Ingresos!D:D,"&lt;"&amp;EDATE(DATE(C35,B35,1),1))</f>
        <v/>
      </c>
      <c r="E35" s="8">
        <f>SUMIFS(Egresos!G:G,Egresos!B:B,"&gt;="&amp;DATE(C35,B35,1),Egresos!B:B,"&lt;"&amp;EDATE(DATE(C35,B35,1),1),Egresos!L:L,TRUE)</f>
        <v/>
      </c>
      <c r="F35" s="8">
        <f>MAX(D35-E35,0)</f>
        <v/>
      </c>
      <c r="G35" s="8">
        <f>SUMIFS(Ingresos!L:L,Ingresos!D:D,"&gt;="&amp;DATE(C35,B35,1),Ingresos!D:D,"&lt;"&amp;EDATE(DATE(C35,B35,1),1))</f>
        <v/>
      </c>
      <c r="H35" s="8" t="n"/>
      <c r="I35" s="8">
        <f>F35+G35+H35</f>
        <v/>
      </c>
      <c r="J35" s="2" t="n"/>
      <c r="K35" s="10" t="n"/>
      <c r="L35" s="2" t="n"/>
      <c r="M35" s="2" t="n"/>
    </row>
    <row r="36">
      <c r="A36" s="2" t="n"/>
      <c r="B36" s="2" t="n"/>
      <c r="C36" s="2" t="n"/>
      <c r="D36" s="8">
        <f>SUMIFS(Ingresos!I:I,Ingresos!D:D,"&gt;="&amp;DATE(C36,B36,1),Ingresos!D:D,"&lt;"&amp;EDATE(DATE(C36,B36,1),1))</f>
        <v/>
      </c>
      <c r="E36" s="8">
        <f>SUMIFS(Egresos!G:G,Egresos!B:B,"&gt;="&amp;DATE(C36,B36,1),Egresos!B:B,"&lt;"&amp;EDATE(DATE(C36,B36,1),1),Egresos!L:L,TRUE)</f>
        <v/>
      </c>
      <c r="F36" s="8">
        <f>MAX(D36-E36,0)</f>
        <v/>
      </c>
      <c r="G36" s="8">
        <f>SUMIFS(Ingresos!L:L,Ingresos!D:D,"&gt;="&amp;DATE(C36,B36,1),Ingresos!D:D,"&lt;"&amp;EDATE(DATE(C36,B36,1),1))</f>
        <v/>
      </c>
      <c r="H36" s="8" t="n"/>
      <c r="I36" s="8">
        <f>F36+G36+H36</f>
        <v/>
      </c>
      <c r="J36" s="2" t="n"/>
      <c r="K36" s="10" t="n"/>
      <c r="L36" s="2" t="n"/>
      <c r="M36" s="2" t="n"/>
    </row>
    <row r="37">
      <c r="A37" s="2" t="n"/>
      <c r="B37" s="2" t="n"/>
      <c r="C37" s="2" t="n"/>
      <c r="D37" s="8">
        <f>SUMIFS(Ingresos!I:I,Ingresos!D:D,"&gt;="&amp;DATE(C37,B37,1),Ingresos!D:D,"&lt;"&amp;EDATE(DATE(C37,B37,1),1))</f>
        <v/>
      </c>
      <c r="E37" s="8">
        <f>SUMIFS(Egresos!G:G,Egresos!B:B,"&gt;="&amp;DATE(C37,B37,1),Egresos!B:B,"&lt;"&amp;EDATE(DATE(C37,B37,1),1),Egresos!L:L,TRUE)</f>
        <v/>
      </c>
      <c r="F37" s="8">
        <f>MAX(D37-E37,0)</f>
        <v/>
      </c>
      <c r="G37" s="8">
        <f>SUMIFS(Ingresos!L:L,Ingresos!D:D,"&gt;="&amp;DATE(C37,B37,1),Ingresos!D:D,"&lt;"&amp;EDATE(DATE(C37,B37,1),1))</f>
        <v/>
      </c>
      <c r="H37" s="8" t="n"/>
      <c r="I37" s="8">
        <f>F37+G37+H37</f>
        <v/>
      </c>
      <c r="J37" s="2" t="n"/>
      <c r="K37" s="10" t="n"/>
      <c r="L37" s="2" t="n"/>
      <c r="M37" s="2" t="n"/>
    </row>
    <row r="38">
      <c r="A38" s="2" t="n"/>
      <c r="B38" s="2" t="n"/>
      <c r="C38" s="2" t="n"/>
      <c r="D38" s="8">
        <f>SUMIFS(Ingresos!I:I,Ingresos!D:D,"&gt;="&amp;DATE(C38,B38,1),Ingresos!D:D,"&lt;"&amp;EDATE(DATE(C38,B38,1),1))</f>
        <v/>
      </c>
      <c r="E38" s="8">
        <f>SUMIFS(Egresos!G:G,Egresos!B:B,"&gt;="&amp;DATE(C38,B38,1),Egresos!B:B,"&lt;"&amp;EDATE(DATE(C38,B38,1),1),Egresos!L:L,TRUE)</f>
        <v/>
      </c>
      <c r="F38" s="8">
        <f>MAX(D38-E38,0)</f>
        <v/>
      </c>
      <c r="G38" s="8">
        <f>SUMIFS(Ingresos!L:L,Ingresos!D:D,"&gt;="&amp;DATE(C38,B38,1),Ingresos!D:D,"&lt;"&amp;EDATE(DATE(C38,B38,1),1))</f>
        <v/>
      </c>
      <c r="H38" s="8" t="n"/>
      <c r="I38" s="8">
        <f>F38+G38+H38</f>
        <v/>
      </c>
      <c r="J38" s="2" t="n"/>
      <c r="K38" s="10" t="n"/>
      <c r="L38" s="2" t="n"/>
      <c r="M38" s="2" t="n"/>
    </row>
    <row r="39">
      <c r="A39" s="2" t="n"/>
      <c r="B39" s="2" t="n"/>
      <c r="C39" s="2" t="n"/>
      <c r="D39" s="8">
        <f>SUMIFS(Ingresos!I:I,Ingresos!D:D,"&gt;="&amp;DATE(C39,B39,1),Ingresos!D:D,"&lt;"&amp;EDATE(DATE(C39,B39,1),1))</f>
        <v/>
      </c>
      <c r="E39" s="8">
        <f>SUMIFS(Egresos!G:G,Egresos!B:B,"&gt;="&amp;DATE(C39,B39,1),Egresos!B:B,"&lt;"&amp;EDATE(DATE(C39,B39,1),1),Egresos!L:L,TRUE)</f>
        <v/>
      </c>
      <c r="F39" s="8">
        <f>MAX(D39-E39,0)</f>
        <v/>
      </c>
      <c r="G39" s="8">
        <f>SUMIFS(Ingresos!L:L,Ingresos!D:D,"&gt;="&amp;DATE(C39,B39,1),Ingresos!D:D,"&lt;"&amp;EDATE(DATE(C39,B39,1),1))</f>
        <v/>
      </c>
      <c r="H39" s="8" t="n"/>
      <c r="I39" s="8">
        <f>F39+G39+H39</f>
        <v/>
      </c>
      <c r="J39" s="2" t="n"/>
      <c r="K39" s="10" t="n"/>
      <c r="L39" s="2" t="n"/>
      <c r="M39" s="2" t="n"/>
    </row>
    <row r="40">
      <c r="A40" s="2" t="n"/>
      <c r="B40" s="2" t="n"/>
      <c r="C40" s="2" t="n"/>
      <c r="D40" s="8">
        <f>SUMIFS(Ingresos!I:I,Ingresos!D:D,"&gt;="&amp;DATE(C40,B40,1),Ingresos!D:D,"&lt;"&amp;EDATE(DATE(C40,B40,1),1))</f>
        <v/>
      </c>
      <c r="E40" s="8">
        <f>SUMIFS(Egresos!G:G,Egresos!B:B,"&gt;="&amp;DATE(C40,B40,1),Egresos!B:B,"&lt;"&amp;EDATE(DATE(C40,B40,1),1),Egresos!L:L,TRUE)</f>
        <v/>
      </c>
      <c r="F40" s="8">
        <f>MAX(D40-E40,0)</f>
        <v/>
      </c>
      <c r="G40" s="8">
        <f>SUMIFS(Ingresos!L:L,Ingresos!D:D,"&gt;="&amp;DATE(C40,B40,1),Ingresos!D:D,"&lt;"&amp;EDATE(DATE(C40,B40,1),1))</f>
        <v/>
      </c>
      <c r="H40" s="8" t="n"/>
      <c r="I40" s="8">
        <f>F40+G40+H40</f>
        <v/>
      </c>
      <c r="J40" s="2" t="n"/>
      <c r="K40" s="10" t="n"/>
      <c r="L40" s="2" t="n"/>
      <c r="M40" s="2" t="n"/>
    </row>
    <row r="41">
      <c r="A41" s="2" t="n"/>
      <c r="B41" s="2" t="n"/>
      <c r="C41" s="2" t="n"/>
      <c r="D41" s="8">
        <f>SUMIFS(Ingresos!I:I,Ingresos!D:D,"&gt;="&amp;DATE(C41,B41,1),Ingresos!D:D,"&lt;"&amp;EDATE(DATE(C41,B41,1),1))</f>
        <v/>
      </c>
      <c r="E41" s="8">
        <f>SUMIFS(Egresos!G:G,Egresos!B:B,"&gt;="&amp;DATE(C41,B41,1),Egresos!B:B,"&lt;"&amp;EDATE(DATE(C41,B41,1),1),Egresos!L:L,TRUE)</f>
        <v/>
      </c>
      <c r="F41" s="8">
        <f>MAX(D41-E41,0)</f>
        <v/>
      </c>
      <c r="G41" s="8">
        <f>SUMIFS(Ingresos!L:L,Ingresos!D:D,"&gt;="&amp;DATE(C41,B41,1),Ingresos!D:D,"&lt;"&amp;EDATE(DATE(C41,B41,1),1))</f>
        <v/>
      </c>
      <c r="H41" s="8" t="n"/>
      <c r="I41" s="8">
        <f>F41+G41+H41</f>
        <v/>
      </c>
      <c r="J41" s="2" t="n"/>
      <c r="K41" s="10" t="n"/>
      <c r="L41" s="2" t="n"/>
      <c r="M41" s="2" t="n"/>
    </row>
    <row r="42">
      <c r="A42" s="2" t="n"/>
      <c r="B42" s="2" t="n"/>
      <c r="C42" s="2" t="n"/>
      <c r="D42" s="8">
        <f>SUMIFS(Ingresos!I:I,Ingresos!D:D,"&gt;="&amp;DATE(C42,B42,1),Ingresos!D:D,"&lt;"&amp;EDATE(DATE(C42,B42,1),1))</f>
        <v/>
      </c>
      <c r="E42" s="8">
        <f>SUMIFS(Egresos!G:G,Egresos!B:B,"&gt;="&amp;DATE(C42,B42,1),Egresos!B:B,"&lt;"&amp;EDATE(DATE(C42,B42,1),1),Egresos!L:L,TRUE)</f>
        <v/>
      </c>
      <c r="F42" s="8">
        <f>MAX(D42-E42,0)</f>
        <v/>
      </c>
      <c r="G42" s="8">
        <f>SUMIFS(Ingresos!L:L,Ingresos!D:D,"&gt;="&amp;DATE(C42,B42,1),Ingresos!D:D,"&lt;"&amp;EDATE(DATE(C42,B42,1),1))</f>
        <v/>
      </c>
      <c r="H42" s="8" t="n"/>
      <c r="I42" s="8">
        <f>F42+G42+H42</f>
        <v/>
      </c>
      <c r="J42" s="2" t="n"/>
      <c r="K42" s="10" t="n"/>
      <c r="L42" s="2" t="n"/>
      <c r="M42" s="2" t="n"/>
    </row>
    <row r="43">
      <c r="A43" s="2" t="n"/>
      <c r="B43" s="2" t="n"/>
      <c r="C43" s="2" t="n"/>
      <c r="D43" s="8">
        <f>SUMIFS(Ingresos!I:I,Ingresos!D:D,"&gt;="&amp;DATE(C43,B43,1),Ingresos!D:D,"&lt;"&amp;EDATE(DATE(C43,B43,1),1))</f>
        <v/>
      </c>
      <c r="E43" s="8">
        <f>SUMIFS(Egresos!G:G,Egresos!B:B,"&gt;="&amp;DATE(C43,B43,1),Egresos!B:B,"&lt;"&amp;EDATE(DATE(C43,B43,1),1),Egresos!L:L,TRUE)</f>
        <v/>
      </c>
      <c r="F43" s="8">
        <f>MAX(D43-E43,0)</f>
        <v/>
      </c>
      <c r="G43" s="8">
        <f>SUMIFS(Ingresos!L:L,Ingresos!D:D,"&gt;="&amp;DATE(C43,B43,1),Ingresos!D:D,"&lt;"&amp;EDATE(DATE(C43,B43,1),1))</f>
        <v/>
      </c>
      <c r="H43" s="8" t="n"/>
      <c r="I43" s="8">
        <f>F43+G43+H43</f>
        <v/>
      </c>
      <c r="J43" s="2" t="n"/>
      <c r="K43" s="10" t="n"/>
      <c r="L43" s="2" t="n"/>
      <c r="M43" s="2" t="n"/>
    </row>
    <row r="44">
      <c r="A44" s="2" t="n"/>
      <c r="B44" s="2" t="n"/>
      <c r="C44" s="2" t="n"/>
      <c r="D44" s="8">
        <f>SUMIFS(Ingresos!I:I,Ingresos!D:D,"&gt;="&amp;DATE(C44,B44,1),Ingresos!D:D,"&lt;"&amp;EDATE(DATE(C44,B44,1),1))</f>
        <v/>
      </c>
      <c r="E44" s="8">
        <f>SUMIFS(Egresos!G:G,Egresos!B:B,"&gt;="&amp;DATE(C44,B44,1),Egresos!B:B,"&lt;"&amp;EDATE(DATE(C44,B44,1),1),Egresos!L:L,TRUE)</f>
        <v/>
      </c>
      <c r="F44" s="8">
        <f>MAX(D44-E44,0)</f>
        <v/>
      </c>
      <c r="G44" s="8">
        <f>SUMIFS(Ingresos!L:L,Ingresos!D:D,"&gt;="&amp;DATE(C44,B44,1),Ingresos!D:D,"&lt;"&amp;EDATE(DATE(C44,B44,1),1))</f>
        <v/>
      </c>
      <c r="H44" s="8" t="n"/>
      <c r="I44" s="8">
        <f>F44+G44+H44</f>
        <v/>
      </c>
      <c r="J44" s="2" t="n"/>
      <c r="K44" s="10" t="n"/>
      <c r="L44" s="2" t="n"/>
      <c r="M44" s="2" t="n"/>
    </row>
    <row r="45">
      <c r="A45" s="2" t="n"/>
      <c r="B45" s="2" t="n"/>
      <c r="C45" s="2" t="n"/>
      <c r="D45" s="8">
        <f>SUMIFS(Ingresos!I:I,Ingresos!D:D,"&gt;="&amp;DATE(C45,B45,1),Ingresos!D:D,"&lt;"&amp;EDATE(DATE(C45,B45,1),1))</f>
        <v/>
      </c>
      <c r="E45" s="8">
        <f>SUMIFS(Egresos!G:G,Egresos!B:B,"&gt;="&amp;DATE(C45,B45,1),Egresos!B:B,"&lt;"&amp;EDATE(DATE(C45,B45,1),1),Egresos!L:L,TRUE)</f>
        <v/>
      </c>
      <c r="F45" s="8">
        <f>MAX(D45-E45,0)</f>
        <v/>
      </c>
      <c r="G45" s="8">
        <f>SUMIFS(Ingresos!L:L,Ingresos!D:D,"&gt;="&amp;DATE(C45,B45,1),Ingresos!D:D,"&lt;"&amp;EDATE(DATE(C45,B45,1),1))</f>
        <v/>
      </c>
      <c r="H45" s="8" t="n"/>
      <c r="I45" s="8">
        <f>F45+G45+H45</f>
        <v/>
      </c>
      <c r="J45" s="2" t="n"/>
      <c r="K45" s="10" t="n"/>
      <c r="L45" s="2" t="n"/>
      <c r="M45" s="2" t="n"/>
    </row>
    <row r="46">
      <c r="A46" s="2" t="n"/>
      <c r="B46" s="2" t="n"/>
      <c r="C46" s="2" t="n"/>
      <c r="D46" s="8">
        <f>SUMIFS(Ingresos!I:I,Ingresos!D:D,"&gt;="&amp;DATE(C46,B46,1),Ingresos!D:D,"&lt;"&amp;EDATE(DATE(C46,B46,1),1))</f>
        <v/>
      </c>
      <c r="E46" s="8">
        <f>SUMIFS(Egresos!G:G,Egresos!B:B,"&gt;="&amp;DATE(C46,B46,1),Egresos!B:B,"&lt;"&amp;EDATE(DATE(C46,B46,1),1),Egresos!L:L,TRUE)</f>
        <v/>
      </c>
      <c r="F46" s="8">
        <f>MAX(D46-E46,0)</f>
        <v/>
      </c>
      <c r="G46" s="8">
        <f>SUMIFS(Ingresos!L:L,Ingresos!D:D,"&gt;="&amp;DATE(C46,B46,1),Ingresos!D:D,"&lt;"&amp;EDATE(DATE(C46,B46,1),1))</f>
        <v/>
      </c>
      <c r="H46" s="8" t="n"/>
      <c r="I46" s="8">
        <f>F46+G46+H46</f>
        <v/>
      </c>
      <c r="J46" s="2" t="n"/>
      <c r="K46" s="10" t="n"/>
      <c r="L46" s="2" t="n"/>
      <c r="M46" s="2" t="n"/>
    </row>
    <row r="47">
      <c r="A47" s="2" t="n"/>
      <c r="B47" s="2" t="n"/>
      <c r="C47" s="2" t="n"/>
      <c r="D47" s="8">
        <f>SUMIFS(Ingresos!I:I,Ingresos!D:D,"&gt;="&amp;DATE(C47,B47,1),Ingresos!D:D,"&lt;"&amp;EDATE(DATE(C47,B47,1),1))</f>
        <v/>
      </c>
      <c r="E47" s="8">
        <f>SUMIFS(Egresos!G:G,Egresos!B:B,"&gt;="&amp;DATE(C47,B47,1),Egresos!B:B,"&lt;"&amp;EDATE(DATE(C47,B47,1),1),Egresos!L:L,TRUE)</f>
        <v/>
      </c>
      <c r="F47" s="8">
        <f>MAX(D47-E47,0)</f>
        <v/>
      </c>
      <c r="G47" s="8">
        <f>SUMIFS(Ingresos!L:L,Ingresos!D:D,"&gt;="&amp;DATE(C47,B47,1),Ingresos!D:D,"&lt;"&amp;EDATE(DATE(C47,B47,1),1))</f>
        <v/>
      </c>
      <c r="H47" s="8" t="n"/>
      <c r="I47" s="8">
        <f>F47+G47+H47</f>
        <v/>
      </c>
      <c r="J47" s="2" t="n"/>
      <c r="K47" s="10" t="n"/>
      <c r="L47" s="2" t="n"/>
      <c r="M47" s="2" t="n"/>
    </row>
    <row r="48">
      <c r="A48" s="2" t="n"/>
      <c r="B48" s="2" t="n"/>
      <c r="C48" s="2" t="n"/>
      <c r="D48" s="8">
        <f>SUMIFS(Ingresos!I:I,Ingresos!D:D,"&gt;="&amp;DATE(C48,B48,1),Ingresos!D:D,"&lt;"&amp;EDATE(DATE(C48,B48,1),1))</f>
        <v/>
      </c>
      <c r="E48" s="8">
        <f>SUMIFS(Egresos!G:G,Egresos!B:B,"&gt;="&amp;DATE(C48,B48,1),Egresos!B:B,"&lt;"&amp;EDATE(DATE(C48,B48,1),1),Egresos!L:L,TRUE)</f>
        <v/>
      </c>
      <c r="F48" s="8">
        <f>MAX(D48-E48,0)</f>
        <v/>
      </c>
      <c r="G48" s="8">
        <f>SUMIFS(Ingresos!L:L,Ingresos!D:D,"&gt;="&amp;DATE(C48,B48,1),Ingresos!D:D,"&lt;"&amp;EDATE(DATE(C48,B48,1),1))</f>
        <v/>
      </c>
      <c r="H48" s="8" t="n"/>
      <c r="I48" s="8">
        <f>F48+G48+H48</f>
        <v/>
      </c>
      <c r="J48" s="2" t="n"/>
      <c r="K48" s="10" t="n"/>
      <c r="L48" s="2" t="n"/>
      <c r="M48" s="2" t="n"/>
    </row>
    <row r="49">
      <c r="A49" s="2" t="n"/>
      <c r="B49" s="2" t="n"/>
      <c r="C49" s="2" t="n"/>
      <c r="D49" s="8">
        <f>SUMIFS(Ingresos!I:I,Ingresos!D:D,"&gt;="&amp;DATE(C49,B49,1),Ingresos!D:D,"&lt;"&amp;EDATE(DATE(C49,B49,1),1))</f>
        <v/>
      </c>
      <c r="E49" s="8">
        <f>SUMIFS(Egresos!G:G,Egresos!B:B,"&gt;="&amp;DATE(C49,B49,1),Egresos!B:B,"&lt;"&amp;EDATE(DATE(C49,B49,1),1),Egresos!L:L,TRUE)</f>
        <v/>
      </c>
      <c r="F49" s="8">
        <f>MAX(D49-E49,0)</f>
        <v/>
      </c>
      <c r="G49" s="8">
        <f>SUMIFS(Ingresos!L:L,Ingresos!D:D,"&gt;="&amp;DATE(C49,B49,1),Ingresos!D:D,"&lt;"&amp;EDATE(DATE(C49,B49,1),1))</f>
        <v/>
      </c>
      <c r="H49" s="8" t="n"/>
      <c r="I49" s="8">
        <f>F49+G49+H49</f>
        <v/>
      </c>
      <c r="J49" s="2" t="n"/>
      <c r="K49" s="10" t="n"/>
      <c r="L49" s="2" t="n"/>
      <c r="M49" s="2" t="n"/>
    </row>
    <row r="50">
      <c r="A50" s="2" t="n"/>
      <c r="B50" s="2" t="n"/>
      <c r="C50" s="2" t="n"/>
      <c r="D50" s="8">
        <f>SUMIFS(Ingresos!I:I,Ingresos!D:D,"&gt;="&amp;DATE(C50,B50,1),Ingresos!D:D,"&lt;"&amp;EDATE(DATE(C50,B50,1),1))</f>
        <v/>
      </c>
      <c r="E50" s="8">
        <f>SUMIFS(Egresos!G:G,Egresos!B:B,"&gt;="&amp;DATE(C50,B50,1),Egresos!B:B,"&lt;"&amp;EDATE(DATE(C50,B50,1),1),Egresos!L:L,TRUE)</f>
        <v/>
      </c>
      <c r="F50" s="8">
        <f>MAX(D50-E50,0)</f>
        <v/>
      </c>
      <c r="G50" s="8">
        <f>SUMIFS(Ingresos!L:L,Ingresos!D:D,"&gt;="&amp;DATE(C50,B50,1),Ingresos!D:D,"&lt;"&amp;EDATE(DATE(C50,B50,1),1))</f>
        <v/>
      </c>
      <c r="H50" s="8" t="n"/>
      <c r="I50" s="8">
        <f>F50+G50+H50</f>
        <v/>
      </c>
      <c r="J50" s="2" t="n"/>
      <c r="K50" s="10" t="n"/>
      <c r="L50" s="2" t="n"/>
      <c r="M50" s="2" t="n"/>
    </row>
    <row r="51">
      <c r="A51" s="2" t="n"/>
      <c r="B51" s="2" t="n"/>
      <c r="C51" s="2" t="n"/>
      <c r="D51" s="8">
        <f>SUMIFS(Ingresos!I:I,Ingresos!D:D,"&gt;="&amp;DATE(C51,B51,1),Ingresos!D:D,"&lt;"&amp;EDATE(DATE(C51,B51,1),1))</f>
        <v/>
      </c>
      <c r="E51" s="8">
        <f>SUMIFS(Egresos!G:G,Egresos!B:B,"&gt;="&amp;DATE(C51,B51,1),Egresos!B:B,"&lt;"&amp;EDATE(DATE(C51,B51,1),1),Egresos!L:L,TRUE)</f>
        <v/>
      </c>
      <c r="F51" s="8">
        <f>MAX(D51-E51,0)</f>
        <v/>
      </c>
      <c r="G51" s="8">
        <f>SUMIFS(Ingresos!L:L,Ingresos!D:D,"&gt;="&amp;DATE(C51,B51,1),Ingresos!D:D,"&lt;"&amp;EDATE(DATE(C51,B51,1),1))</f>
        <v/>
      </c>
      <c r="H51" s="8" t="n"/>
      <c r="I51" s="8">
        <f>F51+G51+H51</f>
        <v/>
      </c>
      <c r="J51" s="2" t="n"/>
      <c r="K51" s="10" t="n"/>
      <c r="L51" s="2" t="n"/>
      <c r="M51" s="2" t="n"/>
    </row>
    <row r="52">
      <c r="A52" s="2" t="n"/>
      <c r="B52" s="2" t="n"/>
      <c r="C52" s="2" t="n"/>
      <c r="D52" s="8">
        <f>SUMIFS(Ingresos!I:I,Ingresos!D:D,"&gt;="&amp;DATE(C52,B52,1),Ingresos!D:D,"&lt;"&amp;EDATE(DATE(C52,B52,1),1))</f>
        <v/>
      </c>
      <c r="E52" s="8">
        <f>SUMIFS(Egresos!G:G,Egresos!B:B,"&gt;="&amp;DATE(C52,B52,1),Egresos!B:B,"&lt;"&amp;EDATE(DATE(C52,B52,1),1),Egresos!L:L,TRUE)</f>
        <v/>
      </c>
      <c r="F52" s="8">
        <f>MAX(D52-E52,0)</f>
        <v/>
      </c>
      <c r="G52" s="8">
        <f>SUMIFS(Ingresos!L:L,Ingresos!D:D,"&gt;="&amp;DATE(C52,B52,1),Ingresos!D:D,"&lt;"&amp;EDATE(DATE(C52,B52,1),1))</f>
        <v/>
      </c>
      <c r="H52" s="8" t="n"/>
      <c r="I52" s="8">
        <f>F52+G52+H52</f>
        <v/>
      </c>
      <c r="J52" s="2" t="n"/>
      <c r="K52" s="10" t="n"/>
      <c r="L52" s="2" t="n"/>
      <c r="M52" s="2" t="n"/>
    </row>
    <row r="53">
      <c r="A53" s="2" t="n"/>
      <c r="B53" s="2" t="n"/>
      <c r="C53" s="2" t="n"/>
      <c r="D53" s="8">
        <f>SUMIFS(Ingresos!I:I,Ingresos!D:D,"&gt;="&amp;DATE(C53,B53,1),Ingresos!D:D,"&lt;"&amp;EDATE(DATE(C53,B53,1),1))</f>
        <v/>
      </c>
      <c r="E53" s="8">
        <f>SUMIFS(Egresos!G:G,Egresos!B:B,"&gt;="&amp;DATE(C53,B53,1),Egresos!B:B,"&lt;"&amp;EDATE(DATE(C53,B53,1),1),Egresos!L:L,TRUE)</f>
        <v/>
      </c>
      <c r="F53" s="8">
        <f>MAX(D53-E53,0)</f>
        <v/>
      </c>
      <c r="G53" s="8">
        <f>SUMIFS(Ingresos!L:L,Ingresos!D:D,"&gt;="&amp;DATE(C53,B53,1),Ingresos!D:D,"&lt;"&amp;EDATE(DATE(C53,B53,1),1))</f>
        <v/>
      </c>
      <c r="H53" s="8" t="n"/>
      <c r="I53" s="8">
        <f>F53+G53+H53</f>
        <v/>
      </c>
      <c r="J53" s="2" t="n"/>
      <c r="K53" s="10" t="n"/>
      <c r="L53" s="2" t="n"/>
      <c r="M53" s="2" t="n"/>
    </row>
    <row r="54">
      <c r="A54" s="2" t="n"/>
      <c r="B54" s="2" t="n"/>
      <c r="C54" s="2" t="n"/>
      <c r="D54" s="8">
        <f>SUMIFS(Ingresos!I:I,Ingresos!D:D,"&gt;="&amp;DATE(C54,B54,1),Ingresos!D:D,"&lt;"&amp;EDATE(DATE(C54,B54,1),1))</f>
        <v/>
      </c>
      <c r="E54" s="8">
        <f>SUMIFS(Egresos!G:G,Egresos!B:B,"&gt;="&amp;DATE(C54,B54,1),Egresos!B:B,"&lt;"&amp;EDATE(DATE(C54,B54,1),1),Egresos!L:L,TRUE)</f>
        <v/>
      </c>
      <c r="F54" s="8">
        <f>MAX(D54-E54,0)</f>
        <v/>
      </c>
      <c r="G54" s="8">
        <f>SUMIFS(Ingresos!L:L,Ingresos!D:D,"&gt;="&amp;DATE(C54,B54,1),Ingresos!D:D,"&lt;"&amp;EDATE(DATE(C54,B54,1),1))</f>
        <v/>
      </c>
      <c r="H54" s="8" t="n"/>
      <c r="I54" s="8">
        <f>F54+G54+H54</f>
        <v/>
      </c>
      <c r="J54" s="2" t="n"/>
      <c r="K54" s="10" t="n"/>
      <c r="L54" s="2" t="n"/>
      <c r="M54" s="2" t="n"/>
    </row>
    <row r="55">
      <c r="A55" s="2" t="n"/>
      <c r="B55" s="2" t="n"/>
      <c r="C55" s="2" t="n"/>
      <c r="D55" s="8">
        <f>SUMIFS(Ingresos!I:I,Ingresos!D:D,"&gt;="&amp;DATE(C55,B55,1),Ingresos!D:D,"&lt;"&amp;EDATE(DATE(C55,B55,1),1))</f>
        <v/>
      </c>
      <c r="E55" s="8">
        <f>SUMIFS(Egresos!G:G,Egresos!B:B,"&gt;="&amp;DATE(C55,B55,1),Egresos!B:B,"&lt;"&amp;EDATE(DATE(C55,B55,1),1),Egresos!L:L,TRUE)</f>
        <v/>
      </c>
      <c r="F55" s="8">
        <f>MAX(D55-E55,0)</f>
        <v/>
      </c>
      <c r="G55" s="8">
        <f>SUMIFS(Ingresos!L:L,Ingresos!D:D,"&gt;="&amp;DATE(C55,B55,1),Ingresos!D:D,"&lt;"&amp;EDATE(DATE(C55,B55,1),1))</f>
        <v/>
      </c>
      <c r="H55" s="8" t="n"/>
      <c r="I55" s="8">
        <f>F55+G55+H55</f>
        <v/>
      </c>
      <c r="J55" s="2" t="n"/>
      <c r="K55" s="10" t="n"/>
      <c r="L55" s="2" t="n"/>
      <c r="M55" s="2" t="n"/>
    </row>
    <row r="56">
      <c r="A56" s="2" t="n"/>
      <c r="B56" s="2" t="n"/>
      <c r="C56" s="2" t="n"/>
      <c r="D56" s="8">
        <f>SUMIFS(Ingresos!I:I,Ingresos!D:D,"&gt;="&amp;DATE(C56,B56,1),Ingresos!D:D,"&lt;"&amp;EDATE(DATE(C56,B56,1),1))</f>
        <v/>
      </c>
      <c r="E56" s="8">
        <f>SUMIFS(Egresos!G:G,Egresos!B:B,"&gt;="&amp;DATE(C56,B56,1),Egresos!B:B,"&lt;"&amp;EDATE(DATE(C56,B56,1),1),Egresos!L:L,TRUE)</f>
        <v/>
      </c>
      <c r="F56" s="8">
        <f>MAX(D56-E56,0)</f>
        <v/>
      </c>
      <c r="G56" s="8">
        <f>SUMIFS(Ingresos!L:L,Ingresos!D:D,"&gt;="&amp;DATE(C56,B56,1),Ingresos!D:D,"&lt;"&amp;EDATE(DATE(C56,B56,1),1))</f>
        <v/>
      </c>
      <c r="H56" s="8" t="n"/>
      <c r="I56" s="8">
        <f>F56+G56+H56</f>
        <v/>
      </c>
      <c r="J56" s="2" t="n"/>
      <c r="K56" s="10" t="n"/>
      <c r="L56" s="2" t="n"/>
      <c r="M56" s="2" t="n"/>
    </row>
    <row r="57">
      <c r="A57" s="2" t="n"/>
      <c r="B57" s="2" t="n"/>
      <c r="C57" s="2" t="n"/>
      <c r="D57" s="8">
        <f>SUMIFS(Ingresos!I:I,Ingresos!D:D,"&gt;="&amp;DATE(C57,B57,1),Ingresos!D:D,"&lt;"&amp;EDATE(DATE(C57,B57,1),1))</f>
        <v/>
      </c>
      <c r="E57" s="8">
        <f>SUMIFS(Egresos!G:G,Egresos!B:B,"&gt;="&amp;DATE(C57,B57,1),Egresos!B:B,"&lt;"&amp;EDATE(DATE(C57,B57,1),1),Egresos!L:L,TRUE)</f>
        <v/>
      </c>
      <c r="F57" s="8">
        <f>MAX(D57-E57,0)</f>
        <v/>
      </c>
      <c r="G57" s="8">
        <f>SUMIFS(Ingresos!L:L,Ingresos!D:D,"&gt;="&amp;DATE(C57,B57,1),Ingresos!D:D,"&lt;"&amp;EDATE(DATE(C57,B57,1),1))</f>
        <v/>
      </c>
      <c r="H57" s="8" t="n"/>
      <c r="I57" s="8">
        <f>F57+G57+H57</f>
        <v/>
      </c>
      <c r="J57" s="2" t="n"/>
      <c r="K57" s="10" t="n"/>
      <c r="L57" s="2" t="n"/>
      <c r="M57" s="2" t="n"/>
    </row>
    <row r="58">
      <c r="A58" s="2" t="n"/>
      <c r="B58" s="2" t="n"/>
      <c r="C58" s="2" t="n"/>
      <c r="D58" s="8">
        <f>SUMIFS(Ingresos!I:I,Ingresos!D:D,"&gt;="&amp;DATE(C58,B58,1),Ingresos!D:D,"&lt;"&amp;EDATE(DATE(C58,B58,1),1))</f>
        <v/>
      </c>
      <c r="E58" s="8">
        <f>SUMIFS(Egresos!G:G,Egresos!B:B,"&gt;="&amp;DATE(C58,B58,1),Egresos!B:B,"&lt;"&amp;EDATE(DATE(C58,B58,1),1),Egresos!L:L,TRUE)</f>
        <v/>
      </c>
      <c r="F58" s="8">
        <f>MAX(D58-E58,0)</f>
        <v/>
      </c>
      <c r="G58" s="8">
        <f>SUMIFS(Ingresos!L:L,Ingresos!D:D,"&gt;="&amp;DATE(C58,B58,1),Ingresos!D:D,"&lt;"&amp;EDATE(DATE(C58,B58,1),1))</f>
        <v/>
      </c>
      <c r="H58" s="8" t="n"/>
      <c r="I58" s="8">
        <f>F58+G58+H58</f>
        <v/>
      </c>
      <c r="J58" s="2" t="n"/>
      <c r="K58" s="10" t="n"/>
      <c r="L58" s="2" t="n"/>
      <c r="M58" s="2" t="n"/>
    </row>
    <row r="59">
      <c r="A59" s="2" t="n"/>
      <c r="B59" s="2" t="n"/>
      <c r="C59" s="2" t="n"/>
      <c r="D59" s="8">
        <f>SUMIFS(Ingresos!I:I,Ingresos!D:D,"&gt;="&amp;DATE(C59,B59,1),Ingresos!D:D,"&lt;"&amp;EDATE(DATE(C59,B59,1),1))</f>
        <v/>
      </c>
      <c r="E59" s="8">
        <f>SUMIFS(Egresos!G:G,Egresos!B:B,"&gt;="&amp;DATE(C59,B59,1),Egresos!B:B,"&lt;"&amp;EDATE(DATE(C59,B59,1),1),Egresos!L:L,TRUE)</f>
        <v/>
      </c>
      <c r="F59" s="8">
        <f>MAX(D59-E59,0)</f>
        <v/>
      </c>
      <c r="G59" s="8">
        <f>SUMIFS(Ingresos!L:L,Ingresos!D:D,"&gt;="&amp;DATE(C59,B59,1),Ingresos!D:D,"&lt;"&amp;EDATE(DATE(C59,B59,1),1))</f>
        <v/>
      </c>
      <c r="H59" s="8" t="n"/>
      <c r="I59" s="8">
        <f>F59+G59+H59</f>
        <v/>
      </c>
      <c r="J59" s="2" t="n"/>
      <c r="K59" s="10" t="n"/>
      <c r="L59" s="2" t="n"/>
      <c r="M59" s="2" t="n"/>
    </row>
    <row r="60">
      <c r="A60" s="2" t="n"/>
      <c r="B60" s="2" t="n"/>
      <c r="C60" s="2" t="n"/>
      <c r="D60" s="8">
        <f>SUMIFS(Ingresos!I:I,Ingresos!D:D,"&gt;="&amp;DATE(C60,B60,1),Ingresos!D:D,"&lt;"&amp;EDATE(DATE(C60,B60,1),1))</f>
        <v/>
      </c>
      <c r="E60" s="8">
        <f>SUMIFS(Egresos!G:G,Egresos!B:B,"&gt;="&amp;DATE(C60,B60,1),Egresos!B:B,"&lt;"&amp;EDATE(DATE(C60,B60,1),1),Egresos!L:L,TRUE)</f>
        <v/>
      </c>
      <c r="F60" s="8">
        <f>MAX(D60-E60,0)</f>
        <v/>
      </c>
      <c r="G60" s="8">
        <f>SUMIFS(Ingresos!L:L,Ingresos!D:D,"&gt;="&amp;DATE(C60,B60,1),Ingresos!D:D,"&lt;"&amp;EDATE(DATE(C60,B60,1),1))</f>
        <v/>
      </c>
      <c r="H60" s="8" t="n"/>
      <c r="I60" s="8">
        <f>F60+G60+H60</f>
        <v/>
      </c>
      <c r="J60" s="2" t="n"/>
      <c r="K60" s="10" t="n"/>
      <c r="L60" s="2" t="n"/>
      <c r="M60" s="2" t="n"/>
    </row>
    <row r="61">
      <c r="A61" s="2" t="n"/>
      <c r="B61" s="2" t="n"/>
      <c r="C61" s="2" t="n"/>
      <c r="D61" s="8">
        <f>SUMIFS(Ingresos!I:I,Ingresos!D:D,"&gt;="&amp;DATE(C61,B61,1),Ingresos!D:D,"&lt;"&amp;EDATE(DATE(C61,B61,1),1))</f>
        <v/>
      </c>
      <c r="E61" s="8">
        <f>SUMIFS(Egresos!G:G,Egresos!B:B,"&gt;="&amp;DATE(C61,B61,1),Egresos!B:B,"&lt;"&amp;EDATE(DATE(C61,B61,1),1),Egresos!L:L,TRUE)</f>
        <v/>
      </c>
      <c r="F61" s="8">
        <f>MAX(D61-E61,0)</f>
        <v/>
      </c>
      <c r="G61" s="8">
        <f>SUMIFS(Ingresos!L:L,Ingresos!D:D,"&gt;="&amp;DATE(C61,B61,1),Ingresos!D:D,"&lt;"&amp;EDATE(DATE(C61,B61,1),1))</f>
        <v/>
      </c>
      <c r="H61" s="8" t="n"/>
      <c r="I61" s="8">
        <f>F61+G61+H61</f>
        <v/>
      </c>
      <c r="J61" s="2" t="n"/>
      <c r="K61" s="10" t="n"/>
      <c r="L61" s="2" t="n"/>
      <c r="M61" s="2" t="n"/>
    </row>
    <row r="62">
      <c r="A62" s="2" t="n"/>
      <c r="B62" s="2" t="n"/>
      <c r="C62" s="2" t="n"/>
      <c r="D62" s="8">
        <f>SUMIFS(Ingresos!I:I,Ingresos!D:D,"&gt;="&amp;DATE(C62,B62,1),Ingresos!D:D,"&lt;"&amp;EDATE(DATE(C62,B62,1),1))</f>
        <v/>
      </c>
      <c r="E62" s="8">
        <f>SUMIFS(Egresos!G:G,Egresos!B:B,"&gt;="&amp;DATE(C62,B62,1),Egresos!B:B,"&lt;"&amp;EDATE(DATE(C62,B62,1),1),Egresos!L:L,TRUE)</f>
        <v/>
      </c>
      <c r="F62" s="8">
        <f>MAX(D62-E62,0)</f>
        <v/>
      </c>
      <c r="G62" s="8">
        <f>SUMIFS(Ingresos!L:L,Ingresos!D:D,"&gt;="&amp;DATE(C62,B62,1),Ingresos!D:D,"&lt;"&amp;EDATE(DATE(C62,B62,1),1))</f>
        <v/>
      </c>
      <c r="H62" s="8" t="n"/>
      <c r="I62" s="8">
        <f>F62+G62+H62</f>
        <v/>
      </c>
      <c r="J62" s="2" t="n"/>
      <c r="K62" s="10" t="n"/>
      <c r="L62" s="2" t="n"/>
      <c r="M62" s="2" t="n"/>
    </row>
    <row r="63">
      <c r="A63" s="2" t="n"/>
      <c r="B63" s="2" t="n"/>
      <c r="C63" s="2" t="n"/>
      <c r="D63" s="8">
        <f>SUMIFS(Ingresos!I:I,Ingresos!D:D,"&gt;="&amp;DATE(C63,B63,1),Ingresos!D:D,"&lt;"&amp;EDATE(DATE(C63,B63,1),1))</f>
        <v/>
      </c>
      <c r="E63" s="8">
        <f>SUMIFS(Egresos!G:G,Egresos!B:B,"&gt;="&amp;DATE(C63,B63,1),Egresos!B:B,"&lt;"&amp;EDATE(DATE(C63,B63,1),1),Egresos!L:L,TRUE)</f>
        <v/>
      </c>
      <c r="F63" s="8">
        <f>MAX(D63-E63,0)</f>
        <v/>
      </c>
      <c r="G63" s="8">
        <f>SUMIFS(Ingresos!L:L,Ingresos!D:D,"&gt;="&amp;DATE(C63,B63,1),Ingresos!D:D,"&lt;"&amp;EDATE(DATE(C63,B63,1),1))</f>
        <v/>
      </c>
      <c r="H63" s="8" t="n"/>
      <c r="I63" s="8">
        <f>F63+G63+H63</f>
        <v/>
      </c>
      <c r="J63" s="2" t="n"/>
      <c r="K63" s="10" t="n"/>
      <c r="L63" s="2" t="n"/>
      <c r="M63" s="2" t="n"/>
    </row>
    <row r="64">
      <c r="A64" s="2" t="n"/>
      <c r="B64" s="2" t="n"/>
      <c r="C64" s="2" t="n"/>
      <c r="D64" s="8">
        <f>SUMIFS(Ingresos!I:I,Ingresos!D:D,"&gt;="&amp;DATE(C64,B64,1),Ingresos!D:D,"&lt;"&amp;EDATE(DATE(C64,B64,1),1))</f>
        <v/>
      </c>
      <c r="E64" s="8">
        <f>SUMIFS(Egresos!G:G,Egresos!B:B,"&gt;="&amp;DATE(C64,B64,1),Egresos!B:B,"&lt;"&amp;EDATE(DATE(C64,B64,1),1),Egresos!L:L,TRUE)</f>
        <v/>
      </c>
      <c r="F64" s="8">
        <f>MAX(D64-E64,0)</f>
        <v/>
      </c>
      <c r="G64" s="8">
        <f>SUMIFS(Ingresos!L:L,Ingresos!D:D,"&gt;="&amp;DATE(C64,B64,1),Ingresos!D:D,"&lt;"&amp;EDATE(DATE(C64,B64,1),1))</f>
        <v/>
      </c>
      <c r="H64" s="8" t="n"/>
      <c r="I64" s="8">
        <f>F64+G64+H64</f>
        <v/>
      </c>
      <c r="J64" s="2" t="n"/>
      <c r="K64" s="10" t="n"/>
      <c r="L64" s="2" t="n"/>
      <c r="M64" s="2" t="n"/>
    </row>
    <row r="65">
      <c r="A65" s="2" t="n"/>
      <c r="B65" s="2" t="n"/>
      <c r="C65" s="2" t="n"/>
      <c r="D65" s="8">
        <f>SUMIFS(Ingresos!I:I,Ingresos!D:D,"&gt;="&amp;DATE(C65,B65,1),Ingresos!D:D,"&lt;"&amp;EDATE(DATE(C65,B65,1),1))</f>
        <v/>
      </c>
      <c r="E65" s="8">
        <f>SUMIFS(Egresos!G:G,Egresos!B:B,"&gt;="&amp;DATE(C65,B65,1),Egresos!B:B,"&lt;"&amp;EDATE(DATE(C65,B65,1),1),Egresos!L:L,TRUE)</f>
        <v/>
      </c>
      <c r="F65" s="8">
        <f>MAX(D65-E65,0)</f>
        <v/>
      </c>
      <c r="G65" s="8">
        <f>SUMIFS(Ingresos!L:L,Ingresos!D:D,"&gt;="&amp;DATE(C65,B65,1),Ingresos!D:D,"&lt;"&amp;EDATE(DATE(C65,B65,1),1))</f>
        <v/>
      </c>
      <c r="H65" s="8" t="n"/>
      <c r="I65" s="8">
        <f>F65+G65+H65</f>
        <v/>
      </c>
      <c r="J65" s="2" t="n"/>
      <c r="K65" s="10" t="n"/>
      <c r="L65" s="2" t="n"/>
      <c r="M65" s="2" t="n"/>
    </row>
    <row r="66">
      <c r="A66" s="2" t="n"/>
      <c r="B66" s="2" t="n"/>
      <c r="C66" s="2" t="n"/>
      <c r="D66" s="8">
        <f>SUMIFS(Ingresos!I:I,Ingresos!D:D,"&gt;="&amp;DATE(C66,B66,1),Ingresos!D:D,"&lt;"&amp;EDATE(DATE(C66,B66,1),1))</f>
        <v/>
      </c>
      <c r="E66" s="8">
        <f>SUMIFS(Egresos!G:G,Egresos!B:B,"&gt;="&amp;DATE(C66,B66,1),Egresos!B:B,"&lt;"&amp;EDATE(DATE(C66,B66,1),1),Egresos!L:L,TRUE)</f>
        <v/>
      </c>
      <c r="F66" s="8">
        <f>MAX(D66-E66,0)</f>
        <v/>
      </c>
      <c r="G66" s="8">
        <f>SUMIFS(Ingresos!L:L,Ingresos!D:D,"&gt;="&amp;DATE(C66,B66,1),Ingresos!D:D,"&lt;"&amp;EDATE(DATE(C66,B66,1),1))</f>
        <v/>
      </c>
      <c r="H66" s="8" t="n"/>
      <c r="I66" s="8">
        <f>F66+G66+H66</f>
        <v/>
      </c>
      <c r="J66" s="2" t="n"/>
      <c r="K66" s="10" t="n"/>
      <c r="L66" s="2" t="n"/>
      <c r="M66" s="2" t="n"/>
    </row>
    <row r="67">
      <c r="A67" s="2" t="n"/>
      <c r="B67" s="2" t="n"/>
      <c r="C67" s="2" t="n"/>
      <c r="D67" s="8">
        <f>SUMIFS(Ingresos!I:I,Ingresos!D:D,"&gt;="&amp;DATE(C67,B67,1),Ingresos!D:D,"&lt;"&amp;EDATE(DATE(C67,B67,1),1))</f>
        <v/>
      </c>
      <c r="E67" s="8">
        <f>SUMIFS(Egresos!G:G,Egresos!B:B,"&gt;="&amp;DATE(C67,B67,1),Egresos!B:B,"&lt;"&amp;EDATE(DATE(C67,B67,1),1),Egresos!L:L,TRUE)</f>
        <v/>
      </c>
      <c r="F67" s="8">
        <f>MAX(D67-E67,0)</f>
        <v/>
      </c>
      <c r="G67" s="8">
        <f>SUMIFS(Ingresos!L:L,Ingresos!D:D,"&gt;="&amp;DATE(C67,B67,1),Ingresos!D:D,"&lt;"&amp;EDATE(DATE(C67,B67,1),1))</f>
        <v/>
      </c>
      <c r="H67" s="8" t="n"/>
      <c r="I67" s="8">
        <f>F67+G67+H67</f>
        <v/>
      </c>
      <c r="J67" s="2" t="n"/>
      <c r="K67" s="10" t="n"/>
      <c r="L67" s="2" t="n"/>
      <c r="M67" s="2" t="n"/>
    </row>
    <row r="68">
      <c r="A68" s="2" t="n"/>
      <c r="B68" s="2" t="n"/>
      <c r="C68" s="2" t="n"/>
      <c r="D68" s="8">
        <f>SUMIFS(Ingresos!I:I,Ingresos!D:D,"&gt;="&amp;DATE(C68,B68,1),Ingresos!D:D,"&lt;"&amp;EDATE(DATE(C68,B68,1),1))</f>
        <v/>
      </c>
      <c r="E68" s="8">
        <f>SUMIFS(Egresos!G:G,Egresos!B:B,"&gt;="&amp;DATE(C68,B68,1),Egresos!B:B,"&lt;"&amp;EDATE(DATE(C68,B68,1),1),Egresos!L:L,TRUE)</f>
        <v/>
      </c>
      <c r="F68" s="8">
        <f>MAX(D68-E68,0)</f>
        <v/>
      </c>
      <c r="G68" s="8">
        <f>SUMIFS(Ingresos!L:L,Ingresos!D:D,"&gt;="&amp;DATE(C68,B68,1),Ingresos!D:D,"&lt;"&amp;EDATE(DATE(C68,B68,1),1))</f>
        <v/>
      </c>
      <c r="H68" s="8" t="n"/>
      <c r="I68" s="8">
        <f>F68+G68+H68</f>
        <v/>
      </c>
      <c r="J68" s="2" t="n"/>
      <c r="K68" s="10" t="n"/>
      <c r="L68" s="2" t="n"/>
      <c r="M68" s="2" t="n"/>
    </row>
    <row r="69">
      <c r="A69" s="2" t="n"/>
      <c r="B69" s="2" t="n"/>
      <c r="C69" s="2" t="n"/>
      <c r="D69" s="8">
        <f>SUMIFS(Ingresos!I:I,Ingresos!D:D,"&gt;="&amp;DATE(C69,B69,1),Ingresos!D:D,"&lt;"&amp;EDATE(DATE(C69,B69,1),1))</f>
        <v/>
      </c>
      <c r="E69" s="8">
        <f>SUMIFS(Egresos!G:G,Egresos!B:B,"&gt;="&amp;DATE(C69,B69,1),Egresos!B:B,"&lt;"&amp;EDATE(DATE(C69,B69,1),1),Egresos!L:L,TRUE)</f>
        <v/>
      </c>
      <c r="F69" s="8">
        <f>MAX(D69-E69,0)</f>
        <v/>
      </c>
      <c r="G69" s="8">
        <f>SUMIFS(Ingresos!L:L,Ingresos!D:D,"&gt;="&amp;DATE(C69,B69,1),Ingresos!D:D,"&lt;"&amp;EDATE(DATE(C69,B69,1),1))</f>
        <v/>
      </c>
      <c r="H69" s="8" t="n"/>
      <c r="I69" s="8">
        <f>F69+G69+H69</f>
        <v/>
      </c>
      <c r="J69" s="2" t="n"/>
      <c r="K69" s="10" t="n"/>
      <c r="L69" s="2" t="n"/>
      <c r="M69" s="2" t="n"/>
    </row>
    <row r="70">
      <c r="A70" s="2" t="n"/>
      <c r="B70" s="2" t="n"/>
      <c r="C70" s="2" t="n"/>
      <c r="D70" s="8">
        <f>SUMIFS(Ingresos!I:I,Ingresos!D:D,"&gt;="&amp;DATE(C70,B70,1),Ingresos!D:D,"&lt;"&amp;EDATE(DATE(C70,B70,1),1))</f>
        <v/>
      </c>
      <c r="E70" s="8">
        <f>SUMIFS(Egresos!G:G,Egresos!B:B,"&gt;="&amp;DATE(C70,B70,1),Egresos!B:B,"&lt;"&amp;EDATE(DATE(C70,B70,1),1),Egresos!L:L,TRUE)</f>
        <v/>
      </c>
      <c r="F70" s="8">
        <f>MAX(D70-E70,0)</f>
        <v/>
      </c>
      <c r="G70" s="8">
        <f>SUMIFS(Ingresos!L:L,Ingresos!D:D,"&gt;="&amp;DATE(C70,B70,1),Ingresos!D:D,"&lt;"&amp;EDATE(DATE(C70,B70,1),1))</f>
        <v/>
      </c>
      <c r="H70" s="8" t="n"/>
      <c r="I70" s="8">
        <f>F70+G70+H70</f>
        <v/>
      </c>
      <c r="J70" s="2" t="n"/>
      <c r="K70" s="10" t="n"/>
      <c r="L70" s="2" t="n"/>
      <c r="M70" s="2" t="n"/>
    </row>
    <row r="71">
      <c r="A71" s="2" t="n"/>
      <c r="B71" s="2" t="n"/>
      <c r="C71" s="2" t="n"/>
      <c r="D71" s="8">
        <f>SUMIFS(Ingresos!I:I,Ingresos!D:D,"&gt;="&amp;DATE(C71,B71,1),Ingresos!D:D,"&lt;"&amp;EDATE(DATE(C71,B71,1),1))</f>
        <v/>
      </c>
      <c r="E71" s="8">
        <f>SUMIFS(Egresos!G:G,Egresos!B:B,"&gt;="&amp;DATE(C71,B71,1),Egresos!B:B,"&lt;"&amp;EDATE(DATE(C71,B71,1),1),Egresos!L:L,TRUE)</f>
        <v/>
      </c>
      <c r="F71" s="8">
        <f>MAX(D71-E71,0)</f>
        <v/>
      </c>
      <c r="G71" s="8">
        <f>SUMIFS(Ingresos!L:L,Ingresos!D:D,"&gt;="&amp;DATE(C71,B71,1),Ingresos!D:D,"&lt;"&amp;EDATE(DATE(C71,B71,1),1))</f>
        <v/>
      </c>
      <c r="H71" s="8" t="n"/>
      <c r="I71" s="8">
        <f>F71+G71+H71</f>
        <v/>
      </c>
      <c r="J71" s="2" t="n"/>
      <c r="K71" s="10" t="n"/>
      <c r="L71" s="2" t="n"/>
      <c r="M71" s="2" t="n"/>
    </row>
    <row r="72">
      <c r="A72" s="2" t="n"/>
      <c r="B72" s="2" t="n"/>
      <c r="C72" s="2" t="n"/>
      <c r="D72" s="8">
        <f>SUMIFS(Ingresos!I:I,Ingresos!D:D,"&gt;="&amp;DATE(C72,B72,1),Ingresos!D:D,"&lt;"&amp;EDATE(DATE(C72,B72,1),1))</f>
        <v/>
      </c>
      <c r="E72" s="8">
        <f>SUMIFS(Egresos!G:G,Egresos!B:B,"&gt;="&amp;DATE(C72,B72,1),Egresos!B:B,"&lt;"&amp;EDATE(DATE(C72,B72,1),1),Egresos!L:L,TRUE)</f>
        <v/>
      </c>
      <c r="F72" s="8">
        <f>MAX(D72-E72,0)</f>
        <v/>
      </c>
      <c r="G72" s="8">
        <f>SUMIFS(Ingresos!L:L,Ingresos!D:D,"&gt;="&amp;DATE(C72,B72,1),Ingresos!D:D,"&lt;"&amp;EDATE(DATE(C72,B72,1),1))</f>
        <v/>
      </c>
      <c r="H72" s="8" t="n"/>
      <c r="I72" s="8">
        <f>F72+G72+H72</f>
        <v/>
      </c>
      <c r="J72" s="2" t="n"/>
      <c r="K72" s="10" t="n"/>
      <c r="L72" s="2" t="n"/>
      <c r="M72" s="2" t="n"/>
    </row>
    <row r="73">
      <c r="A73" s="2" t="n"/>
      <c r="B73" s="2" t="n"/>
      <c r="C73" s="2" t="n"/>
      <c r="D73" s="8">
        <f>SUMIFS(Ingresos!I:I,Ingresos!D:D,"&gt;="&amp;DATE(C73,B73,1),Ingresos!D:D,"&lt;"&amp;EDATE(DATE(C73,B73,1),1))</f>
        <v/>
      </c>
      <c r="E73" s="8">
        <f>SUMIFS(Egresos!G:G,Egresos!B:B,"&gt;="&amp;DATE(C73,B73,1),Egresos!B:B,"&lt;"&amp;EDATE(DATE(C73,B73,1),1),Egresos!L:L,TRUE)</f>
        <v/>
      </c>
      <c r="F73" s="8">
        <f>MAX(D73-E73,0)</f>
        <v/>
      </c>
      <c r="G73" s="8">
        <f>SUMIFS(Ingresos!L:L,Ingresos!D:D,"&gt;="&amp;DATE(C73,B73,1),Ingresos!D:D,"&lt;"&amp;EDATE(DATE(C73,B73,1),1))</f>
        <v/>
      </c>
      <c r="H73" s="8" t="n"/>
      <c r="I73" s="8">
        <f>F73+G73+H73</f>
        <v/>
      </c>
      <c r="J73" s="2" t="n"/>
      <c r="K73" s="10" t="n"/>
      <c r="L73" s="2" t="n"/>
      <c r="M73" s="2" t="n"/>
    </row>
    <row r="74">
      <c r="A74" s="2" t="n"/>
      <c r="B74" s="2" t="n"/>
      <c r="C74" s="2" t="n"/>
      <c r="D74" s="8">
        <f>SUMIFS(Ingresos!I:I,Ingresos!D:D,"&gt;="&amp;DATE(C74,B74,1),Ingresos!D:D,"&lt;"&amp;EDATE(DATE(C74,B74,1),1))</f>
        <v/>
      </c>
      <c r="E74" s="8">
        <f>SUMIFS(Egresos!G:G,Egresos!B:B,"&gt;="&amp;DATE(C74,B74,1),Egresos!B:B,"&lt;"&amp;EDATE(DATE(C74,B74,1),1),Egresos!L:L,TRUE)</f>
        <v/>
      </c>
      <c r="F74" s="8">
        <f>MAX(D74-E74,0)</f>
        <v/>
      </c>
      <c r="G74" s="8">
        <f>SUMIFS(Ingresos!L:L,Ingresos!D:D,"&gt;="&amp;DATE(C74,B74,1),Ingresos!D:D,"&lt;"&amp;EDATE(DATE(C74,B74,1),1))</f>
        <v/>
      </c>
      <c r="H74" s="8" t="n"/>
      <c r="I74" s="8">
        <f>F74+G74+H74</f>
        <v/>
      </c>
      <c r="J74" s="2" t="n"/>
      <c r="K74" s="10" t="n"/>
      <c r="L74" s="2" t="n"/>
      <c r="M74" s="2" t="n"/>
    </row>
    <row r="75">
      <c r="A75" s="2" t="n"/>
      <c r="B75" s="2" t="n"/>
      <c r="C75" s="2" t="n"/>
      <c r="D75" s="8">
        <f>SUMIFS(Ingresos!I:I,Ingresos!D:D,"&gt;="&amp;DATE(C75,B75,1),Ingresos!D:D,"&lt;"&amp;EDATE(DATE(C75,B75,1),1))</f>
        <v/>
      </c>
      <c r="E75" s="8">
        <f>SUMIFS(Egresos!G:G,Egresos!B:B,"&gt;="&amp;DATE(C75,B75,1),Egresos!B:B,"&lt;"&amp;EDATE(DATE(C75,B75,1),1),Egresos!L:L,TRUE)</f>
        <v/>
      </c>
      <c r="F75" s="8">
        <f>MAX(D75-E75,0)</f>
        <v/>
      </c>
      <c r="G75" s="8">
        <f>SUMIFS(Ingresos!L:L,Ingresos!D:D,"&gt;="&amp;DATE(C75,B75,1),Ingresos!D:D,"&lt;"&amp;EDATE(DATE(C75,B75,1),1))</f>
        <v/>
      </c>
      <c r="H75" s="8" t="n"/>
      <c r="I75" s="8">
        <f>F75+G75+H75</f>
        <v/>
      </c>
      <c r="J75" s="2" t="n"/>
      <c r="K75" s="10" t="n"/>
      <c r="L75" s="2" t="n"/>
      <c r="M75" s="2" t="n"/>
    </row>
    <row r="76">
      <c r="A76" s="2" t="n"/>
      <c r="B76" s="2" t="n"/>
      <c r="C76" s="2" t="n"/>
      <c r="D76" s="8">
        <f>SUMIFS(Ingresos!I:I,Ingresos!D:D,"&gt;="&amp;DATE(C76,B76,1),Ingresos!D:D,"&lt;"&amp;EDATE(DATE(C76,B76,1),1))</f>
        <v/>
      </c>
      <c r="E76" s="8">
        <f>SUMIFS(Egresos!G:G,Egresos!B:B,"&gt;="&amp;DATE(C76,B76,1),Egresos!B:B,"&lt;"&amp;EDATE(DATE(C76,B76,1),1),Egresos!L:L,TRUE)</f>
        <v/>
      </c>
      <c r="F76" s="8">
        <f>MAX(D76-E76,0)</f>
        <v/>
      </c>
      <c r="G76" s="8">
        <f>SUMIFS(Ingresos!L:L,Ingresos!D:D,"&gt;="&amp;DATE(C76,B76,1),Ingresos!D:D,"&lt;"&amp;EDATE(DATE(C76,B76,1),1))</f>
        <v/>
      </c>
      <c r="H76" s="8" t="n"/>
      <c r="I76" s="8">
        <f>F76+G76+H76</f>
        <v/>
      </c>
      <c r="J76" s="2" t="n"/>
      <c r="K76" s="10" t="n"/>
      <c r="L76" s="2" t="n"/>
      <c r="M76" s="2" t="n"/>
    </row>
    <row r="77">
      <c r="A77" s="2" t="n"/>
      <c r="B77" s="2" t="n"/>
      <c r="C77" s="2" t="n"/>
      <c r="D77" s="8">
        <f>SUMIFS(Ingresos!I:I,Ingresos!D:D,"&gt;="&amp;DATE(C77,B77,1),Ingresos!D:D,"&lt;"&amp;EDATE(DATE(C77,B77,1),1))</f>
        <v/>
      </c>
      <c r="E77" s="8">
        <f>SUMIFS(Egresos!G:G,Egresos!B:B,"&gt;="&amp;DATE(C77,B77,1),Egresos!B:B,"&lt;"&amp;EDATE(DATE(C77,B77,1),1),Egresos!L:L,TRUE)</f>
        <v/>
      </c>
      <c r="F77" s="8">
        <f>MAX(D77-E77,0)</f>
        <v/>
      </c>
      <c r="G77" s="8">
        <f>SUMIFS(Ingresos!L:L,Ingresos!D:D,"&gt;="&amp;DATE(C77,B77,1),Ingresos!D:D,"&lt;"&amp;EDATE(DATE(C77,B77,1),1))</f>
        <v/>
      </c>
      <c r="H77" s="8" t="n"/>
      <c r="I77" s="8">
        <f>F77+G77+H77</f>
        <v/>
      </c>
      <c r="J77" s="2" t="n"/>
      <c r="K77" s="10" t="n"/>
      <c r="L77" s="2" t="n"/>
      <c r="M77" s="2" t="n"/>
    </row>
    <row r="78">
      <c r="A78" s="2" t="n"/>
      <c r="B78" s="2" t="n"/>
      <c r="C78" s="2" t="n"/>
      <c r="D78" s="8">
        <f>SUMIFS(Ingresos!I:I,Ingresos!D:D,"&gt;="&amp;DATE(C78,B78,1),Ingresos!D:D,"&lt;"&amp;EDATE(DATE(C78,B78,1),1))</f>
        <v/>
      </c>
      <c r="E78" s="8">
        <f>SUMIFS(Egresos!G:G,Egresos!B:B,"&gt;="&amp;DATE(C78,B78,1),Egresos!B:B,"&lt;"&amp;EDATE(DATE(C78,B78,1),1),Egresos!L:L,TRUE)</f>
        <v/>
      </c>
      <c r="F78" s="8">
        <f>MAX(D78-E78,0)</f>
        <v/>
      </c>
      <c r="G78" s="8">
        <f>SUMIFS(Ingresos!L:L,Ingresos!D:D,"&gt;="&amp;DATE(C78,B78,1),Ingresos!D:D,"&lt;"&amp;EDATE(DATE(C78,B78,1),1))</f>
        <v/>
      </c>
      <c r="H78" s="8" t="n"/>
      <c r="I78" s="8">
        <f>F78+G78+H78</f>
        <v/>
      </c>
      <c r="J78" s="2" t="n"/>
      <c r="K78" s="10" t="n"/>
      <c r="L78" s="2" t="n"/>
      <c r="M78" s="2" t="n"/>
    </row>
    <row r="79">
      <c r="A79" s="2" t="n"/>
      <c r="B79" s="2" t="n"/>
      <c r="C79" s="2" t="n"/>
      <c r="D79" s="8">
        <f>SUMIFS(Ingresos!I:I,Ingresos!D:D,"&gt;="&amp;DATE(C79,B79,1),Ingresos!D:D,"&lt;"&amp;EDATE(DATE(C79,B79,1),1))</f>
        <v/>
      </c>
      <c r="E79" s="8">
        <f>SUMIFS(Egresos!G:G,Egresos!B:B,"&gt;="&amp;DATE(C79,B79,1),Egresos!B:B,"&lt;"&amp;EDATE(DATE(C79,B79,1),1),Egresos!L:L,TRUE)</f>
        <v/>
      </c>
      <c r="F79" s="8">
        <f>MAX(D79-E79,0)</f>
        <v/>
      </c>
      <c r="G79" s="8">
        <f>SUMIFS(Ingresos!L:L,Ingresos!D:D,"&gt;="&amp;DATE(C79,B79,1),Ingresos!D:D,"&lt;"&amp;EDATE(DATE(C79,B79,1),1))</f>
        <v/>
      </c>
      <c r="H79" s="8" t="n"/>
      <c r="I79" s="8">
        <f>F79+G79+H79</f>
        <v/>
      </c>
      <c r="J79" s="2" t="n"/>
      <c r="K79" s="10" t="n"/>
      <c r="L79" s="2" t="n"/>
      <c r="M79" s="2" t="n"/>
    </row>
    <row r="80">
      <c r="A80" s="2" t="n"/>
      <c r="B80" s="2" t="n"/>
      <c r="C80" s="2" t="n"/>
      <c r="D80" s="8">
        <f>SUMIFS(Ingresos!I:I,Ingresos!D:D,"&gt;="&amp;DATE(C80,B80,1),Ingresos!D:D,"&lt;"&amp;EDATE(DATE(C80,B80,1),1))</f>
        <v/>
      </c>
      <c r="E80" s="8">
        <f>SUMIFS(Egresos!G:G,Egresos!B:B,"&gt;="&amp;DATE(C80,B80,1),Egresos!B:B,"&lt;"&amp;EDATE(DATE(C80,B80,1),1),Egresos!L:L,TRUE)</f>
        <v/>
      </c>
      <c r="F80" s="8">
        <f>MAX(D80-E80,0)</f>
        <v/>
      </c>
      <c r="G80" s="8">
        <f>SUMIFS(Ingresos!L:L,Ingresos!D:D,"&gt;="&amp;DATE(C80,B80,1),Ingresos!D:D,"&lt;"&amp;EDATE(DATE(C80,B80,1),1))</f>
        <v/>
      </c>
      <c r="H80" s="8" t="n"/>
      <c r="I80" s="8">
        <f>F80+G80+H80</f>
        <v/>
      </c>
      <c r="J80" s="2" t="n"/>
      <c r="K80" s="10" t="n"/>
      <c r="L80" s="2" t="n"/>
      <c r="M80" s="2" t="n"/>
    </row>
    <row r="81">
      <c r="A81" s="2" t="n"/>
      <c r="B81" s="2" t="n"/>
      <c r="C81" s="2" t="n"/>
      <c r="D81" s="8">
        <f>SUMIFS(Ingresos!I:I,Ingresos!D:D,"&gt;="&amp;DATE(C81,B81,1),Ingresos!D:D,"&lt;"&amp;EDATE(DATE(C81,B81,1),1))</f>
        <v/>
      </c>
      <c r="E81" s="8">
        <f>SUMIFS(Egresos!G:G,Egresos!B:B,"&gt;="&amp;DATE(C81,B81,1),Egresos!B:B,"&lt;"&amp;EDATE(DATE(C81,B81,1),1),Egresos!L:L,TRUE)</f>
        <v/>
      </c>
      <c r="F81" s="8">
        <f>MAX(D81-E81,0)</f>
        <v/>
      </c>
      <c r="G81" s="8">
        <f>SUMIFS(Ingresos!L:L,Ingresos!D:D,"&gt;="&amp;DATE(C81,B81,1),Ingresos!D:D,"&lt;"&amp;EDATE(DATE(C81,B81,1),1))</f>
        <v/>
      </c>
      <c r="H81" s="8" t="n"/>
      <c r="I81" s="8">
        <f>F81+G81+H81</f>
        <v/>
      </c>
      <c r="J81" s="2" t="n"/>
      <c r="K81" s="10" t="n"/>
      <c r="L81" s="2" t="n"/>
      <c r="M81" s="2" t="n"/>
    </row>
    <row r="82">
      <c r="A82" s="2" t="n"/>
      <c r="B82" s="2" t="n"/>
      <c r="C82" s="2" t="n"/>
      <c r="D82" s="8">
        <f>SUMIFS(Ingresos!I:I,Ingresos!D:D,"&gt;="&amp;DATE(C82,B82,1),Ingresos!D:D,"&lt;"&amp;EDATE(DATE(C82,B82,1),1))</f>
        <v/>
      </c>
      <c r="E82" s="8">
        <f>SUMIFS(Egresos!G:G,Egresos!B:B,"&gt;="&amp;DATE(C82,B82,1),Egresos!B:B,"&lt;"&amp;EDATE(DATE(C82,B82,1),1),Egresos!L:L,TRUE)</f>
        <v/>
      </c>
      <c r="F82" s="8">
        <f>MAX(D82-E82,0)</f>
        <v/>
      </c>
      <c r="G82" s="8">
        <f>SUMIFS(Ingresos!L:L,Ingresos!D:D,"&gt;="&amp;DATE(C82,B82,1),Ingresos!D:D,"&lt;"&amp;EDATE(DATE(C82,B82,1),1))</f>
        <v/>
      </c>
      <c r="H82" s="8" t="n"/>
      <c r="I82" s="8">
        <f>F82+G82+H82</f>
        <v/>
      </c>
      <c r="J82" s="2" t="n"/>
      <c r="K82" s="10" t="n"/>
      <c r="L82" s="2" t="n"/>
      <c r="M82" s="2" t="n"/>
    </row>
    <row r="83">
      <c r="A83" s="2" t="n"/>
      <c r="B83" s="2" t="n"/>
      <c r="C83" s="2" t="n"/>
      <c r="D83" s="8">
        <f>SUMIFS(Ingresos!I:I,Ingresos!D:D,"&gt;="&amp;DATE(C83,B83,1),Ingresos!D:D,"&lt;"&amp;EDATE(DATE(C83,B83,1),1))</f>
        <v/>
      </c>
      <c r="E83" s="8">
        <f>SUMIFS(Egresos!G:G,Egresos!B:B,"&gt;="&amp;DATE(C83,B83,1),Egresos!B:B,"&lt;"&amp;EDATE(DATE(C83,B83,1),1),Egresos!L:L,TRUE)</f>
        <v/>
      </c>
      <c r="F83" s="8">
        <f>MAX(D83-E83,0)</f>
        <v/>
      </c>
      <c r="G83" s="8">
        <f>SUMIFS(Ingresos!L:L,Ingresos!D:D,"&gt;="&amp;DATE(C83,B83,1),Ingresos!D:D,"&lt;"&amp;EDATE(DATE(C83,B83,1),1))</f>
        <v/>
      </c>
      <c r="H83" s="8" t="n"/>
      <c r="I83" s="8">
        <f>F83+G83+H83</f>
        <v/>
      </c>
      <c r="J83" s="2" t="n"/>
      <c r="K83" s="10" t="n"/>
      <c r="L83" s="2" t="n"/>
      <c r="M83" s="2" t="n"/>
    </row>
    <row r="84">
      <c r="A84" s="2" t="n"/>
      <c r="B84" s="2" t="n"/>
      <c r="C84" s="2" t="n"/>
      <c r="D84" s="8">
        <f>SUMIFS(Ingresos!I:I,Ingresos!D:D,"&gt;="&amp;DATE(C84,B84,1),Ingresos!D:D,"&lt;"&amp;EDATE(DATE(C84,B84,1),1))</f>
        <v/>
      </c>
      <c r="E84" s="8">
        <f>SUMIFS(Egresos!G:G,Egresos!B:B,"&gt;="&amp;DATE(C84,B84,1),Egresos!B:B,"&lt;"&amp;EDATE(DATE(C84,B84,1),1),Egresos!L:L,TRUE)</f>
        <v/>
      </c>
      <c r="F84" s="8">
        <f>MAX(D84-E84,0)</f>
        <v/>
      </c>
      <c r="G84" s="8">
        <f>SUMIFS(Ingresos!L:L,Ingresos!D:D,"&gt;="&amp;DATE(C84,B84,1),Ingresos!D:D,"&lt;"&amp;EDATE(DATE(C84,B84,1),1))</f>
        <v/>
      </c>
      <c r="H84" s="8" t="n"/>
      <c r="I84" s="8">
        <f>F84+G84+H84</f>
        <v/>
      </c>
      <c r="J84" s="2" t="n"/>
      <c r="K84" s="10" t="n"/>
      <c r="L84" s="2" t="n"/>
      <c r="M84" s="2" t="n"/>
    </row>
    <row r="85">
      <c r="A85" s="2" t="n"/>
      <c r="B85" s="2" t="n"/>
      <c r="C85" s="2" t="n"/>
      <c r="D85" s="8">
        <f>SUMIFS(Ingresos!I:I,Ingresos!D:D,"&gt;="&amp;DATE(C85,B85,1),Ingresos!D:D,"&lt;"&amp;EDATE(DATE(C85,B85,1),1))</f>
        <v/>
      </c>
      <c r="E85" s="8">
        <f>SUMIFS(Egresos!G:G,Egresos!B:B,"&gt;="&amp;DATE(C85,B85,1),Egresos!B:B,"&lt;"&amp;EDATE(DATE(C85,B85,1),1),Egresos!L:L,TRUE)</f>
        <v/>
      </c>
      <c r="F85" s="8">
        <f>MAX(D85-E85,0)</f>
        <v/>
      </c>
      <c r="G85" s="8">
        <f>SUMIFS(Ingresos!L:L,Ingresos!D:D,"&gt;="&amp;DATE(C85,B85,1),Ingresos!D:D,"&lt;"&amp;EDATE(DATE(C85,B85,1),1))</f>
        <v/>
      </c>
      <c r="H85" s="8" t="n"/>
      <c r="I85" s="8">
        <f>F85+G85+H85</f>
        <v/>
      </c>
      <c r="J85" s="2" t="n"/>
      <c r="K85" s="10" t="n"/>
      <c r="L85" s="2" t="n"/>
      <c r="M85" s="2" t="n"/>
    </row>
    <row r="86">
      <c r="A86" s="2" t="n"/>
      <c r="B86" s="2" t="n"/>
      <c r="C86" s="2" t="n"/>
      <c r="D86" s="8">
        <f>SUMIFS(Ingresos!I:I,Ingresos!D:D,"&gt;="&amp;DATE(C86,B86,1),Ingresos!D:D,"&lt;"&amp;EDATE(DATE(C86,B86,1),1))</f>
        <v/>
      </c>
      <c r="E86" s="8">
        <f>SUMIFS(Egresos!G:G,Egresos!B:B,"&gt;="&amp;DATE(C86,B86,1),Egresos!B:B,"&lt;"&amp;EDATE(DATE(C86,B86,1),1),Egresos!L:L,TRUE)</f>
        <v/>
      </c>
      <c r="F86" s="8">
        <f>MAX(D86-E86,0)</f>
        <v/>
      </c>
      <c r="G86" s="8">
        <f>SUMIFS(Ingresos!L:L,Ingresos!D:D,"&gt;="&amp;DATE(C86,B86,1),Ingresos!D:D,"&lt;"&amp;EDATE(DATE(C86,B86,1),1))</f>
        <v/>
      </c>
      <c r="H86" s="8" t="n"/>
      <c r="I86" s="8">
        <f>F86+G86+H86</f>
        <v/>
      </c>
      <c r="J86" s="2" t="n"/>
      <c r="K86" s="10" t="n"/>
      <c r="L86" s="2" t="n"/>
      <c r="M86" s="2" t="n"/>
    </row>
    <row r="87">
      <c r="A87" s="2" t="n"/>
      <c r="B87" s="2" t="n"/>
      <c r="C87" s="2" t="n"/>
      <c r="D87" s="8">
        <f>SUMIFS(Ingresos!I:I,Ingresos!D:D,"&gt;="&amp;DATE(C87,B87,1),Ingresos!D:D,"&lt;"&amp;EDATE(DATE(C87,B87,1),1))</f>
        <v/>
      </c>
      <c r="E87" s="8">
        <f>SUMIFS(Egresos!G:G,Egresos!B:B,"&gt;="&amp;DATE(C87,B87,1),Egresos!B:B,"&lt;"&amp;EDATE(DATE(C87,B87,1),1),Egresos!L:L,TRUE)</f>
        <v/>
      </c>
      <c r="F87" s="8">
        <f>MAX(D87-E87,0)</f>
        <v/>
      </c>
      <c r="G87" s="8">
        <f>SUMIFS(Ingresos!L:L,Ingresos!D:D,"&gt;="&amp;DATE(C87,B87,1),Ingresos!D:D,"&lt;"&amp;EDATE(DATE(C87,B87,1),1))</f>
        <v/>
      </c>
      <c r="H87" s="8" t="n"/>
      <c r="I87" s="8">
        <f>F87+G87+H87</f>
        <v/>
      </c>
      <c r="J87" s="2" t="n"/>
      <c r="K87" s="10" t="n"/>
      <c r="L87" s="2" t="n"/>
      <c r="M87" s="2" t="n"/>
    </row>
    <row r="88">
      <c r="A88" s="2" t="n"/>
      <c r="B88" s="2" t="n"/>
      <c r="C88" s="2" t="n"/>
      <c r="D88" s="8">
        <f>SUMIFS(Ingresos!I:I,Ingresos!D:D,"&gt;="&amp;DATE(C88,B88,1),Ingresos!D:D,"&lt;"&amp;EDATE(DATE(C88,B88,1),1))</f>
        <v/>
      </c>
      <c r="E88" s="8">
        <f>SUMIFS(Egresos!G:G,Egresos!B:B,"&gt;="&amp;DATE(C88,B88,1),Egresos!B:B,"&lt;"&amp;EDATE(DATE(C88,B88,1),1),Egresos!L:L,TRUE)</f>
        <v/>
      </c>
      <c r="F88" s="8">
        <f>MAX(D88-E88,0)</f>
        <v/>
      </c>
      <c r="G88" s="8">
        <f>SUMIFS(Ingresos!L:L,Ingresos!D:D,"&gt;="&amp;DATE(C88,B88,1),Ingresos!D:D,"&lt;"&amp;EDATE(DATE(C88,B88,1),1))</f>
        <v/>
      </c>
      <c r="H88" s="8" t="n"/>
      <c r="I88" s="8">
        <f>F88+G88+H88</f>
        <v/>
      </c>
      <c r="J88" s="2" t="n"/>
      <c r="K88" s="10" t="n"/>
      <c r="L88" s="2" t="n"/>
      <c r="M88" s="2" t="n"/>
    </row>
    <row r="89">
      <c r="A89" s="2" t="n"/>
      <c r="B89" s="2" t="n"/>
      <c r="C89" s="2" t="n"/>
      <c r="D89" s="8">
        <f>SUMIFS(Ingresos!I:I,Ingresos!D:D,"&gt;="&amp;DATE(C89,B89,1),Ingresos!D:D,"&lt;"&amp;EDATE(DATE(C89,B89,1),1))</f>
        <v/>
      </c>
      <c r="E89" s="8">
        <f>SUMIFS(Egresos!G:G,Egresos!B:B,"&gt;="&amp;DATE(C89,B89,1),Egresos!B:B,"&lt;"&amp;EDATE(DATE(C89,B89,1),1),Egresos!L:L,TRUE)</f>
        <v/>
      </c>
      <c r="F89" s="8">
        <f>MAX(D89-E89,0)</f>
        <v/>
      </c>
      <c r="G89" s="8">
        <f>SUMIFS(Ingresos!L:L,Ingresos!D:D,"&gt;="&amp;DATE(C89,B89,1),Ingresos!D:D,"&lt;"&amp;EDATE(DATE(C89,B89,1),1))</f>
        <v/>
      </c>
      <c r="H89" s="8" t="n"/>
      <c r="I89" s="8">
        <f>F89+G89+H89</f>
        <v/>
      </c>
      <c r="J89" s="2" t="n"/>
      <c r="K89" s="10" t="n"/>
      <c r="L89" s="2" t="n"/>
      <c r="M89" s="2" t="n"/>
    </row>
    <row r="90">
      <c r="A90" s="2" t="n"/>
      <c r="B90" s="2" t="n"/>
      <c r="C90" s="2" t="n"/>
      <c r="D90" s="8">
        <f>SUMIFS(Ingresos!I:I,Ingresos!D:D,"&gt;="&amp;DATE(C90,B90,1),Ingresos!D:D,"&lt;"&amp;EDATE(DATE(C90,B90,1),1))</f>
        <v/>
      </c>
      <c r="E90" s="8">
        <f>SUMIFS(Egresos!G:G,Egresos!B:B,"&gt;="&amp;DATE(C90,B90,1),Egresos!B:B,"&lt;"&amp;EDATE(DATE(C90,B90,1),1),Egresos!L:L,TRUE)</f>
        <v/>
      </c>
      <c r="F90" s="8">
        <f>MAX(D90-E90,0)</f>
        <v/>
      </c>
      <c r="G90" s="8">
        <f>SUMIFS(Ingresos!L:L,Ingresos!D:D,"&gt;="&amp;DATE(C90,B90,1),Ingresos!D:D,"&lt;"&amp;EDATE(DATE(C90,B90,1),1))</f>
        <v/>
      </c>
      <c r="H90" s="8" t="n"/>
      <c r="I90" s="8">
        <f>F90+G90+H90</f>
        <v/>
      </c>
      <c r="J90" s="2" t="n"/>
      <c r="K90" s="10" t="n"/>
      <c r="L90" s="2" t="n"/>
      <c r="M90" s="2" t="n"/>
    </row>
    <row r="91">
      <c r="A91" s="2" t="n"/>
      <c r="B91" s="2" t="n"/>
      <c r="C91" s="2" t="n"/>
      <c r="D91" s="8">
        <f>SUMIFS(Ingresos!I:I,Ingresos!D:D,"&gt;="&amp;DATE(C91,B91,1),Ingresos!D:D,"&lt;"&amp;EDATE(DATE(C91,B91,1),1))</f>
        <v/>
      </c>
      <c r="E91" s="8">
        <f>SUMIFS(Egresos!G:G,Egresos!B:B,"&gt;="&amp;DATE(C91,B91,1),Egresos!B:B,"&lt;"&amp;EDATE(DATE(C91,B91,1),1),Egresos!L:L,TRUE)</f>
        <v/>
      </c>
      <c r="F91" s="8">
        <f>MAX(D91-E91,0)</f>
        <v/>
      </c>
      <c r="G91" s="8">
        <f>SUMIFS(Ingresos!L:L,Ingresos!D:D,"&gt;="&amp;DATE(C91,B91,1),Ingresos!D:D,"&lt;"&amp;EDATE(DATE(C91,B91,1),1))</f>
        <v/>
      </c>
      <c r="H91" s="8" t="n"/>
      <c r="I91" s="8">
        <f>F91+G91+H91</f>
        <v/>
      </c>
      <c r="J91" s="2" t="n"/>
      <c r="K91" s="10" t="n"/>
      <c r="L91" s="2" t="n"/>
      <c r="M91" s="2" t="n"/>
    </row>
    <row r="92">
      <c r="A92" s="2" t="n"/>
      <c r="B92" s="2" t="n"/>
      <c r="C92" s="2" t="n"/>
      <c r="D92" s="8">
        <f>SUMIFS(Ingresos!I:I,Ingresos!D:D,"&gt;="&amp;DATE(C92,B92,1),Ingresos!D:D,"&lt;"&amp;EDATE(DATE(C92,B92,1),1))</f>
        <v/>
      </c>
      <c r="E92" s="8">
        <f>SUMIFS(Egresos!G:G,Egresos!B:B,"&gt;="&amp;DATE(C92,B92,1),Egresos!B:B,"&lt;"&amp;EDATE(DATE(C92,B92,1),1),Egresos!L:L,TRUE)</f>
        <v/>
      </c>
      <c r="F92" s="8">
        <f>MAX(D92-E92,0)</f>
        <v/>
      </c>
      <c r="G92" s="8">
        <f>SUMIFS(Ingresos!L:L,Ingresos!D:D,"&gt;="&amp;DATE(C92,B92,1),Ingresos!D:D,"&lt;"&amp;EDATE(DATE(C92,B92,1),1))</f>
        <v/>
      </c>
      <c r="H92" s="8" t="n"/>
      <c r="I92" s="8">
        <f>F92+G92+H92</f>
        <v/>
      </c>
      <c r="J92" s="2" t="n"/>
      <c r="K92" s="10" t="n"/>
      <c r="L92" s="2" t="n"/>
      <c r="M92" s="2" t="n"/>
    </row>
    <row r="93">
      <c r="A93" s="2" t="n"/>
      <c r="B93" s="2" t="n"/>
      <c r="C93" s="2" t="n"/>
      <c r="D93" s="8">
        <f>SUMIFS(Ingresos!I:I,Ingresos!D:D,"&gt;="&amp;DATE(C93,B93,1),Ingresos!D:D,"&lt;"&amp;EDATE(DATE(C93,B93,1),1))</f>
        <v/>
      </c>
      <c r="E93" s="8">
        <f>SUMIFS(Egresos!G:G,Egresos!B:B,"&gt;="&amp;DATE(C93,B93,1),Egresos!B:B,"&lt;"&amp;EDATE(DATE(C93,B93,1),1),Egresos!L:L,TRUE)</f>
        <v/>
      </c>
      <c r="F93" s="8">
        <f>MAX(D93-E93,0)</f>
        <v/>
      </c>
      <c r="G93" s="8">
        <f>SUMIFS(Ingresos!L:L,Ingresos!D:D,"&gt;="&amp;DATE(C93,B93,1),Ingresos!D:D,"&lt;"&amp;EDATE(DATE(C93,B93,1),1))</f>
        <v/>
      </c>
      <c r="H93" s="8" t="n"/>
      <c r="I93" s="8">
        <f>F93+G93+H93</f>
        <v/>
      </c>
      <c r="J93" s="2" t="n"/>
      <c r="K93" s="10" t="n"/>
      <c r="L93" s="2" t="n"/>
      <c r="M93" s="2" t="n"/>
    </row>
    <row r="94">
      <c r="A94" s="2" t="n"/>
      <c r="B94" s="2" t="n"/>
      <c r="C94" s="2" t="n"/>
      <c r="D94" s="8">
        <f>SUMIFS(Ingresos!I:I,Ingresos!D:D,"&gt;="&amp;DATE(C94,B94,1),Ingresos!D:D,"&lt;"&amp;EDATE(DATE(C94,B94,1),1))</f>
        <v/>
      </c>
      <c r="E94" s="8">
        <f>SUMIFS(Egresos!G:G,Egresos!B:B,"&gt;="&amp;DATE(C94,B94,1),Egresos!B:B,"&lt;"&amp;EDATE(DATE(C94,B94,1),1),Egresos!L:L,TRUE)</f>
        <v/>
      </c>
      <c r="F94" s="8">
        <f>MAX(D94-E94,0)</f>
        <v/>
      </c>
      <c r="G94" s="8">
        <f>SUMIFS(Ingresos!L:L,Ingresos!D:D,"&gt;="&amp;DATE(C94,B94,1),Ingresos!D:D,"&lt;"&amp;EDATE(DATE(C94,B94,1),1))</f>
        <v/>
      </c>
      <c r="H94" s="8" t="n"/>
      <c r="I94" s="8">
        <f>F94+G94+H94</f>
        <v/>
      </c>
      <c r="J94" s="2" t="n"/>
      <c r="K94" s="10" t="n"/>
      <c r="L94" s="2" t="n"/>
      <c r="M94" s="2" t="n"/>
    </row>
    <row r="95">
      <c r="A95" s="2" t="n"/>
      <c r="B95" s="2" t="n"/>
      <c r="C95" s="2" t="n"/>
      <c r="D95" s="8">
        <f>SUMIFS(Ingresos!I:I,Ingresos!D:D,"&gt;="&amp;DATE(C95,B95,1),Ingresos!D:D,"&lt;"&amp;EDATE(DATE(C95,B95,1),1))</f>
        <v/>
      </c>
      <c r="E95" s="8">
        <f>SUMIFS(Egresos!G:G,Egresos!B:B,"&gt;="&amp;DATE(C95,B95,1),Egresos!B:B,"&lt;"&amp;EDATE(DATE(C95,B95,1),1),Egresos!L:L,TRUE)</f>
        <v/>
      </c>
      <c r="F95" s="8">
        <f>MAX(D95-E95,0)</f>
        <v/>
      </c>
      <c r="G95" s="8">
        <f>SUMIFS(Ingresos!L:L,Ingresos!D:D,"&gt;="&amp;DATE(C95,B95,1),Ingresos!D:D,"&lt;"&amp;EDATE(DATE(C95,B95,1),1))</f>
        <v/>
      </c>
      <c r="H95" s="8" t="n"/>
      <c r="I95" s="8">
        <f>F95+G95+H95</f>
        <v/>
      </c>
      <c r="J95" s="2" t="n"/>
      <c r="K95" s="10" t="n"/>
      <c r="L95" s="2" t="n"/>
      <c r="M95" s="2" t="n"/>
    </row>
    <row r="96">
      <c r="A96" s="2" t="n"/>
      <c r="B96" s="2" t="n"/>
      <c r="C96" s="2" t="n"/>
      <c r="D96" s="8">
        <f>SUMIFS(Ingresos!I:I,Ingresos!D:D,"&gt;="&amp;DATE(C96,B96,1),Ingresos!D:D,"&lt;"&amp;EDATE(DATE(C96,B96,1),1))</f>
        <v/>
      </c>
      <c r="E96" s="8">
        <f>SUMIFS(Egresos!G:G,Egresos!B:B,"&gt;="&amp;DATE(C96,B96,1),Egresos!B:B,"&lt;"&amp;EDATE(DATE(C96,B96,1),1),Egresos!L:L,TRUE)</f>
        <v/>
      </c>
      <c r="F96" s="8">
        <f>MAX(D96-E96,0)</f>
        <v/>
      </c>
      <c r="G96" s="8">
        <f>SUMIFS(Ingresos!L:L,Ingresos!D:D,"&gt;="&amp;DATE(C96,B96,1),Ingresos!D:D,"&lt;"&amp;EDATE(DATE(C96,B96,1),1))</f>
        <v/>
      </c>
      <c r="H96" s="8" t="n"/>
      <c r="I96" s="8">
        <f>F96+G96+H96</f>
        <v/>
      </c>
      <c r="J96" s="2" t="n"/>
      <c r="K96" s="10" t="n"/>
      <c r="L96" s="2" t="n"/>
      <c r="M96" s="2" t="n"/>
    </row>
    <row r="97">
      <c r="A97" s="2" t="n"/>
      <c r="B97" s="2" t="n"/>
      <c r="C97" s="2" t="n"/>
      <c r="D97" s="8">
        <f>SUMIFS(Ingresos!I:I,Ingresos!D:D,"&gt;="&amp;DATE(C97,B97,1),Ingresos!D:D,"&lt;"&amp;EDATE(DATE(C97,B97,1),1))</f>
        <v/>
      </c>
      <c r="E97" s="8">
        <f>SUMIFS(Egresos!G:G,Egresos!B:B,"&gt;="&amp;DATE(C97,B97,1),Egresos!B:B,"&lt;"&amp;EDATE(DATE(C97,B97,1),1),Egresos!L:L,TRUE)</f>
        <v/>
      </c>
      <c r="F97" s="8">
        <f>MAX(D97-E97,0)</f>
        <v/>
      </c>
      <c r="G97" s="8">
        <f>SUMIFS(Ingresos!L:L,Ingresos!D:D,"&gt;="&amp;DATE(C97,B97,1),Ingresos!D:D,"&lt;"&amp;EDATE(DATE(C97,B97,1),1))</f>
        <v/>
      </c>
      <c r="H97" s="8" t="n"/>
      <c r="I97" s="8">
        <f>F97+G97+H97</f>
        <v/>
      </c>
      <c r="J97" s="2" t="n"/>
      <c r="K97" s="10" t="n"/>
      <c r="L97" s="2" t="n"/>
      <c r="M97" s="2" t="n"/>
    </row>
    <row r="98">
      <c r="A98" s="2" t="n"/>
      <c r="B98" s="2" t="n"/>
      <c r="C98" s="2" t="n"/>
      <c r="D98" s="8">
        <f>SUMIFS(Ingresos!I:I,Ingresos!D:D,"&gt;="&amp;DATE(C98,B98,1),Ingresos!D:D,"&lt;"&amp;EDATE(DATE(C98,B98,1),1))</f>
        <v/>
      </c>
      <c r="E98" s="8">
        <f>SUMIFS(Egresos!G:G,Egresos!B:B,"&gt;="&amp;DATE(C98,B98,1),Egresos!B:B,"&lt;"&amp;EDATE(DATE(C98,B98,1),1),Egresos!L:L,TRUE)</f>
        <v/>
      </c>
      <c r="F98" s="8">
        <f>MAX(D98-E98,0)</f>
        <v/>
      </c>
      <c r="G98" s="8">
        <f>SUMIFS(Ingresos!L:L,Ingresos!D:D,"&gt;="&amp;DATE(C98,B98,1),Ingresos!D:D,"&lt;"&amp;EDATE(DATE(C98,B98,1),1))</f>
        <v/>
      </c>
      <c r="H98" s="8" t="n"/>
      <c r="I98" s="8">
        <f>F98+G98+H98</f>
        <v/>
      </c>
      <c r="J98" s="2" t="n"/>
      <c r="K98" s="10" t="n"/>
      <c r="L98" s="2" t="n"/>
      <c r="M98" s="2" t="n"/>
    </row>
    <row r="99">
      <c r="A99" s="2" t="n"/>
      <c r="B99" s="2" t="n"/>
      <c r="C99" s="2" t="n"/>
      <c r="D99" s="8">
        <f>SUMIFS(Ingresos!I:I,Ingresos!D:D,"&gt;="&amp;DATE(C99,B99,1),Ingresos!D:D,"&lt;"&amp;EDATE(DATE(C99,B99,1),1))</f>
        <v/>
      </c>
      <c r="E99" s="8">
        <f>SUMIFS(Egresos!G:G,Egresos!B:B,"&gt;="&amp;DATE(C99,B99,1),Egresos!B:B,"&lt;"&amp;EDATE(DATE(C99,B99,1),1),Egresos!L:L,TRUE)</f>
        <v/>
      </c>
      <c r="F99" s="8">
        <f>MAX(D99-E99,0)</f>
        <v/>
      </c>
      <c r="G99" s="8">
        <f>SUMIFS(Ingresos!L:L,Ingresos!D:D,"&gt;="&amp;DATE(C99,B99,1),Ingresos!D:D,"&lt;"&amp;EDATE(DATE(C99,B99,1),1))</f>
        <v/>
      </c>
      <c r="H99" s="8" t="n"/>
      <c r="I99" s="8">
        <f>F99+G99+H99</f>
        <v/>
      </c>
      <c r="J99" s="2" t="n"/>
      <c r="K99" s="10" t="n"/>
      <c r="L99" s="2" t="n"/>
      <c r="M99" s="2" t="n"/>
    </row>
    <row r="100">
      <c r="A100" s="2" t="n"/>
      <c r="B100" s="2" t="n"/>
      <c r="C100" s="2" t="n"/>
      <c r="D100" s="8">
        <f>SUMIFS(Ingresos!I:I,Ingresos!D:D,"&gt;="&amp;DATE(C100,B100,1),Ingresos!D:D,"&lt;"&amp;EDATE(DATE(C100,B100,1),1))</f>
        <v/>
      </c>
      <c r="E100" s="8">
        <f>SUMIFS(Egresos!G:G,Egresos!B:B,"&gt;="&amp;DATE(C100,B100,1),Egresos!B:B,"&lt;"&amp;EDATE(DATE(C100,B100,1),1),Egresos!L:L,TRUE)</f>
        <v/>
      </c>
      <c r="F100" s="8">
        <f>MAX(D100-E100,0)</f>
        <v/>
      </c>
      <c r="G100" s="8">
        <f>SUMIFS(Ingresos!L:L,Ingresos!D:D,"&gt;="&amp;DATE(C100,B100,1),Ingresos!D:D,"&lt;"&amp;EDATE(DATE(C100,B100,1),1))</f>
        <v/>
      </c>
      <c r="H100" s="8" t="n"/>
      <c r="I100" s="8">
        <f>F100+G100+H100</f>
        <v/>
      </c>
      <c r="J100" s="2" t="n"/>
      <c r="K100" s="10" t="n"/>
      <c r="L100" s="2" t="n"/>
      <c r="M100" s="2" t="n"/>
    </row>
    <row r="101">
      <c r="A101" s="2" t="n"/>
      <c r="B101" s="2" t="n"/>
      <c r="C101" s="2" t="n"/>
      <c r="D101" s="8">
        <f>SUMIFS(Ingresos!I:I,Ingresos!D:D,"&gt;="&amp;DATE(C101,B101,1),Ingresos!D:D,"&lt;"&amp;EDATE(DATE(C101,B101,1),1))</f>
        <v/>
      </c>
      <c r="E101" s="8">
        <f>SUMIFS(Egresos!G:G,Egresos!B:B,"&gt;="&amp;DATE(C101,B101,1),Egresos!B:B,"&lt;"&amp;EDATE(DATE(C101,B101,1),1),Egresos!L:L,TRUE)</f>
        <v/>
      </c>
      <c r="F101" s="8">
        <f>MAX(D101-E101,0)</f>
        <v/>
      </c>
      <c r="G101" s="8">
        <f>SUMIFS(Ingresos!L:L,Ingresos!D:D,"&gt;="&amp;DATE(C101,B101,1),Ingresos!D:D,"&lt;"&amp;EDATE(DATE(C101,B101,1),1))</f>
        <v/>
      </c>
      <c r="H101" s="8" t="n"/>
      <c r="I101" s="8">
        <f>F101+G101+H101</f>
        <v/>
      </c>
      <c r="J101" s="2" t="n"/>
      <c r="K101" s="10" t="n"/>
      <c r="L101" s="2" t="n"/>
      <c r="M101" s="2" t="n"/>
    </row>
    <row r="102">
      <c r="A102" s="2" t="n"/>
      <c r="B102" s="2" t="n"/>
      <c r="C102" s="2" t="n"/>
      <c r="D102" s="8">
        <f>SUMIFS(Ingresos!I:I,Ingresos!D:D,"&gt;="&amp;DATE(C102,B102,1),Ingresos!D:D,"&lt;"&amp;EDATE(DATE(C102,B102,1),1))</f>
        <v/>
      </c>
      <c r="E102" s="8">
        <f>SUMIFS(Egresos!G:G,Egresos!B:B,"&gt;="&amp;DATE(C102,B102,1),Egresos!B:B,"&lt;"&amp;EDATE(DATE(C102,B102,1),1),Egresos!L:L,TRUE)</f>
        <v/>
      </c>
      <c r="F102" s="8">
        <f>MAX(D102-E102,0)</f>
        <v/>
      </c>
      <c r="G102" s="8">
        <f>SUMIFS(Ingresos!L:L,Ingresos!D:D,"&gt;="&amp;DATE(C102,B102,1),Ingresos!D:D,"&lt;"&amp;EDATE(DATE(C102,B102,1),1))</f>
        <v/>
      </c>
      <c r="H102" s="8" t="n"/>
      <c r="I102" s="8">
        <f>F102+G102+H102</f>
        <v/>
      </c>
      <c r="J102" s="2" t="n"/>
      <c r="K102" s="10" t="n"/>
      <c r="L102" s="2" t="n"/>
      <c r="M102" s="2" t="n"/>
    </row>
    <row r="103">
      <c r="A103" s="2" t="n"/>
      <c r="B103" s="2" t="n"/>
      <c r="C103" s="2" t="n"/>
      <c r="D103" s="8">
        <f>SUMIFS(Ingresos!I:I,Ingresos!D:D,"&gt;="&amp;DATE(C103,B103,1),Ingresos!D:D,"&lt;"&amp;EDATE(DATE(C103,B103,1),1))</f>
        <v/>
      </c>
      <c r="E103" s="8">
        <f>SUMIFS(Egresos!G:G,Egresos!B:B,"&gt;="&amp;DATE(C103,B103,1),Egresos!B:B,"&lt;"&amp;EDATE(DATE(C103,B103,1),1),Egresos!L:L,TRUE)</f>
        <v/>
      </c>
      <c r="F103" s="8">
        <f>MAX(D103-E103,0)</f>
        <v/>
      </c>
      <c r="G103" s="8">
        <f>SUMIFS(Ingresos!L:L,Ingresos!D:D,"&gt;="&amp;DATE(C103,B103,1),Ingresos!D:D,"&lt;"&amp;EDATE(DATE(C103,B103,1),1))</f>
        <v/>
      </c>
      <c r="H103" s="8" t="n"/>
      <c r="I103" s="8">
        <f>F103+G103+H103</f>
        <v/>
      </c>
      <c r="J103" s="2" t="n"/>
      <c r="K103" s="10" t="n"/>
      <c r="L103" s="2" t="n"/>
      <c r="M103" s="2" t="n"/>
    </row>
    <row r="104">
      <c r="A104" s="2" t="n"/>
      <c r="B104" s="2" t="n"/>
      <c r="C104" s="2" t="n"/>
      <c r="D104" s="8">
        <f>SUMIFS(Ingresos!I:I,Ingresos!D:D,"&gt;="&amp;DATE(C104,B104,1),Ingresos!D:D,"&lt;"&amp;EDATE(DATE(C104,B104,1),1))</f>
        <v/>
      </c>
      <c r="E104" s="8">
        <f>SUMIFS(Egresos!G:G,Egresos!B:B,"&gt;="&amp;DATE(C104,B104,1),Egresos!B:B,"&lt;"&amp;EDATE(DATE(C104,B104,1),1),Egresos!L:L,TRUE)</f>
        <v/>
      </c>
      <c r="F104" s="8">
        <f>MAX(D104-E104,0)</f>
        <v/>
      </c>
      <c r="G104" s="8">
        <f>SUMIFS(Ingresos!L:L,Ingresos!D:D,"&gt;="&amp;DATE(C104,B104,1),Ingresos!D:D,"&lt;"&amp;EDATE(DATE(C104,B104,1),1))</f>
        <v/>
      </c>
      <c r="H104" s="8" t="n"/>
      <c r="I104" s="8">
        <f>F104+G104+H104</f>
        <v/>
      </c>
      <c r="J104" s="2" t="n"/>
      <c r="K104" s="10" t="n"/>
      <c r="L104" s="2" t="n"/>
      <c r="M104" s="2" t="n"/>
    </row>
    <row r="105">
      <c r="A105" s="2" t="n"/>
      <c r="B105" s="2" t="n"/>
      <c r="C105" s="2" t="n"/>
      <c r="D105" s="8">
        <f>SUMIFS(Ingresos!I:I,Ingresos!D:D,"&gt;="&amp;DATE(C105,B105,1),Ingresos!D:D,"&lt;"&amp;EDATE(DATE(C105,B105,1),1))</f>
        <v/>
      </c>
      <c r="E105" s="8">
        <f>SUMIFS(Egresos!G:G,Egresos!B:B,"&gt;="&amp;DATE(C105,B105,1),Egresos!B:B,"&lt;"&amp;EDATE(DATE(C105,B105,1),1),Egresos!L:L,TRUE)</f>
        <v/>
      </c>
      <c r="F105" s="8">
        <f>MAX(D105-E105,0)</f>
        <v/>
      </c>
      <c r="G105" s="8">
        <f>SUMIFS(Ingresos!L:L,Ingresos!D:D,"&gt;="&amp;DATE(C105,B105,1),Ingresos!D:D,"&lt;"&amp;EDATE(DATE(C105,B105,1),1))</f>
        <v/>
      </c>
      <c r="H105" s="8" t="n"/>
      <c r="I105" s="8">
        <f>F105+G105+H105</f>
        <v/>
      </c>
      <c r="J105" s="2" t="n"/>
      <c r="K105" s="10" t="n"/>
      <c r="L105" s="2" t="n"/>
      <c r="M105" s="2" t="n"/>
    </row>
    <row r="106">
      <c r="A106" s="2" t="n"/>
      <c r="B106" s="2" t="n"/>
      <c r="C106" s="2" t="n"/>
      <c r="D106" s="8">
        <f>SUMIFS(Ingresos!I:I,Ingresos!D:D,"&gt;="&amp;DATE(C106,B106,1),Ingresos!D:D,"&lt;"&amp;EDATE(DATE(C106,B106,1),1))</f>
        <v/>
      </c>
      <c r="E106" s="8">
        <f>SUMIFS(Egresos!G:G,Egresos!B:B,"&gt;="&amp;DATE(C106,B106,1),Egresos!B:B,"&lt;"&amp;EDATE(DATE(C106,B106,1),1),Egresos!L:L,TRUE)</f>
        <v/>
      </c>
      <c r="F106" s="8">
        <f>MAX(D106-E106,0)</f>
        <v/>
      </c>
      <c r="G106" s="8">
        <f>SUMIFS(Ingresos!L:L,Ingresos!D:D,"&gt;="&amp;DATE(C106,B106,1),Ingresos!D:D,"&lt;"&amp;EDATE(DATE(C106,B106,1),1))</f>
        <v/>
      </c>
      <c r="H106" s="8" t="n"/>
      <c r="I106" s="8">
        <f>F106+G106+H106</f>
        <v/>
      </c>
      <c r="J106" s="2" t="n"/>
      <c r="K106" s="10" t="n"/>
      <c r="L106" s="2" t="n"/>
      <c r="M106" s="2" t="n"/>
    </row>
    <row r="107">
      <c r="A107" s="2" t="n"/>
      <c r="B107" s="2" t="n"/>
      <c r="C107" s="2" t="n"/>
      <c r="D107" s="8">
        <f>SUMIFS(Ingresos!I:I,Ingresos!D:D,"&gt;="&amp;DATE(C107,B107,1),Ingresos!D:D,"&lt;"&amp;EDATE(DATE(C107,B107,1),1))</f>
        <v/>
      </c>
      <c r="E107" s="8">
        <f>SUMIFS(Egresos!G:G,Egresos!B:B,"&gt;="&amp;DATE(C107,B107,1),Egresos!B:B,"&lt;"&amp;EDATE(DATE(C107,B107,1),1),Egresos!L:L,TRUE)</f>
        <v/>
      </c>
      <c r="F107" s="8">
        <f>MAX(D107-E107,0)</f>
        <v/>
      </c>
      <c r="G107" s="8">
        <f>SUMIFS(Ingresos!L:L,Ingresos!D:D,"&gt;="&amp;DATE(C107,B107,1),Ingresos!D:D,"&lt;"&amp;EDATE(DATE(C107,B107,1),1))</f>
        <v/>
      </c>
      <c r="H107" s="8" t="n"/>
      <c r="I107" s="8">
        <f>F107+G107+H107</f>
        <v/>
      </c>
      <c r="J107" s="2" t="n"/>
      <c r="K107" s="10" t="n"/>
      <c r="L107" s="2" t="n"/>
      <c r="M107" s="2" t="n"/>
    </row>
    <row r="108">
      <c r="A108" s="2" t="n"/>
      <c r="B108" s="2" t="n"/>
      <c r="C108" s="2" t="n"/>
      <c r="D108" s="8">
        <f>SUMIFS(Ingresos!I:I,Ingresos!D:D,"&gt;="&amp;DATE(C108,B108,1),Ingresos!D:D,"&lt;"&amp;EDATE(DATE(C108,B108,1),1))</f>
        <v/>
      </c>
      <c r="E108" s="8">
        <f>SUMIFS(Egresos!G:G,Egresos!B:B,"&gt;="&amp;DATE(C108,B108,1),Egresos!B:B,"&lt;"&amp;EDATE(DATE(C108,B108,1),1),Egresos!L:L,TRUE)</f>
        <v/>
      </c>
      <c r="F108" s="8">
        <f>MAX(D108-E108,0)</f>
        <v/>
      </c>
      <c r="G108" s="8">
        <f>SUMIFS(Ingresos!L:L,Ingresos!D:D,"&gt;="&amp;DATE(C108,B108,1),Ingresos!D:D,"&lt;"&amp;EDATE(DATE(C108,B108,1),1))</f>
        <v/>
      </c>
      <c r="H108" s="8" t="n"/>
      <c r="I108" s="8">
        <f>F108+G108+H108</f>
        <v/>
      </c>
      <c r="J108" s="2" t="n"/>
      <c r="K108" s="10" t="n"/>
      <c r="L108" s="2" t="n"/>
      <c r="M108" s="2" t="n"/>
    </row>
    <row r="109">
      <c r="A109" s="2" t="n"/>
      <c r="B109" s="2" t="n"/>
      <c r="C109" s="2" t="n"/>
      <c r="D109" s="8">
        <f>SUMIFS(Ingresos!I:I,Ingresos!D:D,"&gt;="&amp;DATE(C109,B109,1),Ingresos!D:D,"&lt;"&amp;EDATE(DATE(C109,B109,1),1))</f>
        <v/>
      </c>
      <c r="E109" s="8">
        <f>SUMIFS(Egresos!G:G,Egresos!B:B,"&gt;="&amp;DATE(C109,B109,1),Egresos!B:B,"&lt;"&amp;EDATE(DATE(C109,B109,1),1),Egresos!L:L,TRUE)</f>
        <v/>
      </c>
      <c r="F109" s="8">
        <f>MAX(D109-E109,0)</f>
        <v/>
      </c>
      <c r="G109" s="8">
        <f>SUMIFS(Ingresos!L:L,Ingresos!D:D,"&gt;="&amp;DATE(C109,B109,1),Ingresos!D:D,"&lt;"&amp;EDATE(DATE(C109,B109,1),1))</f>
        <v/>
      </c>
      <c r="H109" s="8" t="n"/>
      <c r="I109" s="8">
        <f>F109+G109+H109</f>
        <v/>
      </c>
      <c r="J109" s="2" t="n"/>
      <c r="K109" s="10" t="n"/>
      <c r="L109" s="2" t="n"/>
      <c r="M109" s="2" t="n"/>
    </row>
    <row r="110">
      <c r="A110" s="2" t="n"/>
      <c r="B110" s="2" t="n"/>
      <c r="C110" s="2" t="n"/>
      <c r="D110" s="8">
        <f>SUMIFS(Ingresos!I:I,Ingresos!D:D,"&gt;="&amp;DATE(C110,B110,1),Ingresos!D:D,"&lt;"&amp;EDATE(DATE(C110,B110,1),1))</f>
        <v/>
      </c>
      <c r="E110" s="8">
        <f>SUMIFS(Egresos!G:G,Egresos!B:B,"&gt;="&amp;DATE(C110,B110,1),Egresos!B:B,"&lt;"&amp;EDATE(DATE(C110,B110,1),1),Egresos!L:L,TRUE)</f>
        <v/>
      </c>
      <c r="F110" s="8">
        <f>MAX(D110-E110,0)</f>
        <v/>
      </c>
      <c r="G110" s="8">
        <f>SUMIFS(Ingresos!L:L,Ingresos!D:D,"&gt;="&amp;DATE(C110,B110,1),Ingresos!D:D,"&lt;"&amp;EDATE(DATE(C110,B110,1),1))</f>
        <v/>
      </c>
      <c r="H110" s="8" t="n"/>
      <c r="I110" s="8">
        <f>F110+G110+H110</f>
        <v/>
      </c>
      <c r="J110" s="2" t="n"/>
      <c r="K110" s="10" t="n"/>
      <c r="L110" s="2" t="n"/>
      <c r="M110" s="2" t="n"/>
    </row>
    <row r="111">
      <c r="A111" s="2" t="n"/>
      <c r="B111" s="2" t="n"/>
      <c r="C111" s="2" t="n"/>
      <c r="D111" s="8">
        <f>SUMIFS(Ingresos!I:I,Ingresos!D:D,"&gt;="&amp;DATE(C111,B111,1),Ingresos!D:D,"&lt;"&amp;EDATE(DATE(C111,B111,1),1))</f>
        <v/>
      </c>
      <c r="E111" s="8">
        <f>SUMIFS(Egresos!G:G,Egresos!B:B,"&gt;="&amp;DATE(C111,B111,1),Egresos!B:B,"&lt;"&amp;EDATE(DATE(C111,B111,1),1),Egresos!L:L,TRUE)</f>
        <v/>
      </c>
      <c r="F111" s="8">
        <f>MAX(D111-E111,0)</f>
        <v/>
      </c>
      <c r="G111" s="8">
        <f>SUMIFS(Ingresos!L:L,Ingresos!D:D,"&gt;="&amp;DATE(C111,B111,1),Ingresos!D:D,"&lt;"&amp;EDATE(DATE(C111,B111,1),1))</f>
        <v/>
      </c>
      <c r="H111" s="8" t="n"/>
      <c r="I111" s="8">
        <f>F111+G111+H111</f>
        <v/>
      </c>
      <c r="J111" s="2" t="n"/>
      <c r="K111" s="10" t="n"/>
      <c r="L111" s="2" t="n"/>
      <c r="M111" s="2" t="n"/>
    </row>
    <row r="112">
      <c r="A112" s="2" t="n"/>
      <c r="B112" s="2" t="n"/>
      <c r="C112" s="2" t="n"/>
      <c r="D112" s="8">
        <f>SUMIFS(Ingresos!I:I,Ingresos!D:D,"&gt;="&amp;DATE(C112,B112,1),Ingresos!D:D,"&lt;"&amp;EDATE(DATE(C112,B112,1),1))</f>
        <v/>
      </c>
      <c r="E112" s="8">
        <f>SUMIFS(Egresos!G:G,Egresos!B:B,"&gt;="&amp;DATE(C112,B112,1),Egresos!B:B,"&lt;"&amp;EDATE(DATE(C112,B112,1),1),Egresos!L:L,TRUE)</f>
        <v/>
      </c>
      <c r="F112" s="8">
        <f>MAX(D112-E112,0)</f>
        <v/>
      </c>
      <c r="G112" s="8">
        <f>SUMIFS(Ingresos!L:L,Ingresos!D:D,"&gt;="&amp;DATE(C112,B112,1),Ingresos!D:D,"&lt;"&amp;EDATE(DATE(C112,B112,1),1))</f>
        <v/>
      </c>
      <c r="H112" s="8" t="n"/>
      <c r="I112" s="8">
        <f>F112+G112+H112</f>
        <v/>
      </c>
      <c r="J112" s="2" t="n"/>
      <c r="K112" s="10" t="n"/>
      <c r="L112" s="2" t="n"/>
      <c r="M112" s="2" t="n"/>
    </row>
    <row r="113">
      <c r="A113" s="2" t="n"/>
      <c r="B113" s="2" t="n"/>
      <c r="C113" s="2" t="n"/>
      <c r="D113" s="8">
        <f>SUMIFS(Ingresos!I:I,Ingresos!D:D,"&gt;="&amp;DATE(C113,B113,1),Ingresos!D:D,"&lt;"&amp;EDATE(DATE(C113,B113,1),1))</f>
        <v/>
      </c>
      <c r="E113" s="8">
        <f>SUMIFS(Egresos!G:G,Egresos!B:B,"&gt;="&amp;DATE(C113,B113,1),Egresos!B:B,"&lt;"&amp;EDATE(DATE(C113,B113,1),1),Egresos!L:L,TRUE)</f>
        <v/>
      </c>
      <c r="F113" s="8">
        <f>MAX(D113-E113,0)</f>
        <v/>
      </c>
      <c r="G113" s="8">
        <f>SUMIFS(Ingresos!L:L,Ingresos!D:D,"&gt;="&amp;DATE(C113,B113,1),Ingresos!D:D,"&lt;"&amp;EDATE(DATE(C113,B113,1),1))</f>
        <v/>
      </c>
      <c r="H113" s="8" t="n"/>
      <c r="I113" s="8">
        <f>F113+G113+H113</f>
        <v/>
      </c>
      <c r="J113" s="2" t="n"/>
      <c r="K113" s="10" t="n"/>
      <c r="L113" s="2" t="n"/>
      <c r="M113" s="2" t="n"/>
    </row>
    <row r="114">
      <c r="A114" s="2" t="n"/>
      <c r="B114" s="2" t="n"/>
      <c r="C114" s="2" t="n"/>
      <c r="D114" s="8">
        <f>SUMIFS(Ingresos!I:I,Ingresos!D:D,"&gt;="&amp;DATE(C114,B114,1),Ingresos!D:D,"&lt;"&amp;EDATE(DATE(C114,B114,1),1))</f>
        <v/>
      </c>
      <c r="E114" s="8">
        <f>SUMIFS(Egresos!G:G,Egresos!B:B,"&gt;="&amp;DATE(C114,B114,1),Egresos!B:B,"&lt;"&amp;EDATE(DATE(C114,B114,1),1),Egresos!L:L,TRUE)</f>
        <v/>
      </c>
      <c r="F114" s="8">
        <f>MAX(D114-E114,0)</f>
        <v/>
      </c>
      <c r="G114" s="8">
        <f>SUMIFS(Ingresos!L:L,Ingresos!D:D,"&gt;="&amp;DATE(C114,B114,1),Ingresos!D:D,"&lt;"&amp;EDATE(DATE(C114,B114,1),1))</f>
        <v/>
      </c>
      <c r="H114" s="8" t="n"/>
      <c r="I114" s="8">
        <f>F114+G114+H114</f>
        <v/>
      </c>
      <c r="J114" s="2" t="n"/>
      <c r="K114" s="10" t="n"/>
      <c r="L114" s="2" t="n"/>
      <c r="M114" s="2" t="n"/>
    </row>
    <row r="115">
      <c r="A115" s="2" t="n"/>
      <c r="B115" s="2" t="n"/>
      <c r="C115" s="2" t="n"/>
      <c r="D115" s="8">
        <f>SUMIFS(Ingresos!I:I,Ingresos!D:D,"&gt;="&amp;DATE(C115,B115,1),Ingresos!D:D,"&lt;"&amp;EDATE(DATE(C115,B115,1),1))</f>
        <v/>
      </c>
      <c r="E115" s="8">
        <f>SUMIFS(Egresos!G:G,Egresos!B:B,"&gt;="&amp;DATE(C115,B115,1),Egresos!B:B,"&lt;"&amp;EDATE(DATE(C115,B115,1),1),Egresos!L:L,TRUE)</f>
        <v/>
      </c>
      <c r="F115" s="8">
        <f>MAX(D115-E115,0)</f>
        <v/>
      </c>
      <c r="G115" s="8">
        <f>SUMIFS(Ingresos!L:L,Ingresos!D:D,"&gt;="&amp;DATE(C115,B115,1),Ingresos!D:D,"&lt;"&amp;EDATE(DATE(C115,B115,1),1))</f>
        <v/>
      </c>
      <c r="H115" s="8" t="n"/>
      <c r="I115" s="8">
        <f>F115+G115+H115</f>
        <v/>
      </c>
      <c r="J115" s="2" t="n"/>
      <c r="K115" s="10" t="n"/>
      <c r="L115" s="2" t="n"/>
      <c r="M115" s="2" t="n"/>
    </row>
    <row r="116">
      <c r="A116" s="2" t="n"/>
      <c r="B116" s="2" t="n"/>
      <c r="C116" s="2" t="n"/>
      <c r="D116" s="8">
        <f>SUMIFS(Ingresos!I:I,Ingresos!D:D,"&gt;="&amp;DATE(C116,B116,1),Ingresos!D:D,"&lt;"&amp;EDATE(DATE(C116,B116,1),1))</f>
        <v/>
      </c>
      <c r="E116" s="8">
        <f>SUMIFS(Egresos!G:G,Egresos!B:B,"&gt;="&amp;DATE(C116,B116,1),Egresos!B:B,"&lt;"&amp;EDATE(DATE(C116,B116,1),1),Egresos!L:L,TRUE)</f>
        <v/>
      </c>
      <c r="F116" s="8">
        <f>MAX(D116-E116,0)</f>
        <v/>
      </c>
      <c r="G116" s="8">
        <f>SUMIFS(Ingresos!L:L,Ingresos!D:D,"&gt;="&amp;DATE(C116,B116,1),Ingresos!D:D,"&lt;"&amp;EDATE(DATE(C116,B116,1),1))</f>
        <v/>
      </c>
      <c r="H116" s="8" t="n"/>
      <c r="I116" s="8">
        <f>F116+G116+H116</f>
        <v/>
      </c>
      <c r="J116" s="2" t="n"/>
      <c r="K116" s="10" t="n"/>
      <c r="L116" s="2" t="n"/>
      <c r="M116" s="2" t="n"/>
    </row>
    <row r="117">
      <c r="A117" s="2" t="n"/>
      <c r="B117" s="2" t="n"/>
      <c r="C117" s="2" t="n"/>
      <c r="D117" s="8">
        <f>SUMIFS(Ingresos!I:I,Ingresos!D:D,"&gt;="&amp;DATE(C117,B117,1),Ingresos!D:D,"&lt;"&amp;EDATE(DATE(C117,B117,1),1))</f>
        <v/>
      </c>
      <c r="E117" s="8">
        <f>SUMIFS(Egresos!G:G,Egresos!B:B,"&gt;="&amp;DATE(C117,B117,1),Egresos!B:B,"&lt;"&amp;EDATE(DATE(C117,B117,1),1),Egresos!L:L,TRUE)</f>
        <v/>
      </c>
      <c r="F117" s="8">
        <f>MAX(D117-E117,0)</f>
        <v/>
      </c>
      <c r="G117" s="8">
        <f>SUMIFS(Ingresos!L:L,Ingresos!D:D,"&gt;="&amp;DATE(C117,B117,1),Ingresos!D:D,"&lt;"&amp;EDATE(DATE(C117,B117,1),1))</f>
        <v/>
      </c>
      <c r="H117" s="8" t="n"/>
      <c r="I117" s="8">
        <f>F117+G117+H117</f>
        <v/>
      </c>
      <c r="J117" s="2" t="n"/>
      <c r="K117" s="10" t="n"/>
      <c r="L117" s="2" t="n"/>
      <c r="M117" s="2" t="n"/>
    </row>
    <row r="118">
      <c r="A118" s="2" t="n"/>
      <c r="B118" s="2" t="n"/>
      <c r="C118" s="2" t="n"/>
      <c r="D118" s="8">
        <f>SUMIFS(Ingresos!I:I,Ingresos!D:D,"&gt;="&amp;DATE(C118,B118,1),Ingresos!D:D,"&lt;"&amp;EDATE(DATE(C118,B118,1),1))</f>
        <v/>
      </c>
      <c r="E118" s="8">
        <f>SUMIFS(Egresos!G:G,Egresos!B:B,"&gt;="&amp;DATE(C118,B118,1),Egresos!B:B,"&lt;"&amp;EDATE(DATE(C118,B118,1),1),Egresos!L:L,TRUE)</f>
        <v/>
      </c>
      <c r="F118" s="8">
        <f>MAX(D118-E118,0)</f>
        <v/>
      </c>
      <c r="G118" s="8">
        <f>SUMIFS(Ingresos!L:L,Ingresos!D:D,"&gt;="&amp;DATE(C118,B118,1),Ingresos!D:D,"&lt;"&amp;EDATE(DATE(C118,B118,1),1))</f>
        <v/>
      </c>
      <c r="H118" s="8" t="n"/>
      <c r="I118" s="8">
        <f>F118+G118+H118</f>
        <v/>
      </c>
      <c r="J118" s="2" t="n"/>
      <c r="K118" s="10" t="n"/>
      <c r="L118" s="2" t="n"/>
      <c r="M118" s="2" t="n"/>
    </row>
    <row r="119">
      <c r="A119" s="2" t="n"/>
      <c r="B119" s="2" t="n"/>
      <c r="C119" s="2" t="n"/>
      <c r="D119" s="8">
        <f>SUMIFS(Ingresos!I:I,Ingresos!D:D,"&gt;="&amp;DATE(C119,B119,1),Ingresos!D:D,"&lt;"&amp;EDATE(DATE(C119,B119,1),1))</f>
        <v/>
      </c>
      <c r="E119" s="8">
        <f>SUMIFS(Egresos!G:G,Egresos!B:B,"&gt;="&amp;DATE(C119,B119,1),Egresos!B:B,"&lt;"&amp;EDATE(DATE(C119,B119,1),1),Egresos!L:L,TRUE)</f>
        <v/>
      </c>
      <c r="F119" s="8">
        <f>MAX(D119-E119,0)</f>
        <v/>
      </c>
      <c r="G119" s="8">
        <f>SUMIFS(Ingresos!L:L,Ingresos!D:D,"&gt;="&amp;DATE(C119,B119,1),Ingresos!D:D,"&lt;"&amp;EDATE(DATE(C119,B119,1),1))</f>
        <v/>
      </c>
      <c r="H119" s="8" t="n"/>
      <c r="I119" s="8">
        <f>F119+G119+H119</f>
        <v/>
      </c>
      <c r="J119" s="2" t="n"/>
      <c r="K119" s="10" t="n"/>
      <c r="L119" s="2" t="n"/>
      <c r="M119" s="2" t="n"/>
    </row>
    <row r="120">
      <c r="A120" s="2" t="n"/>
      <c r="B120" s="2" t="n"/>
      <c r="C120" s="2" t="n"/>
      <c r="D120" s="8">
        <f>SUMIFS(Ingresos!I:I,Ingresos!D:D,"&gt;="&amp;DATE(C120,B120,1),Ingresos!D:D,"&lt;"&amp;EDATE(DATE(C120,B120,1),1))</f>
        <v/>
      </c>
      <c r="E120" s="8">
        <f>SUMIFS(Egresos!G:G,Egresos!B:B,"&gt;="&amp;DATE(C120,B120,1),Egresos!B:B,"&lt;"&amp;EDATE(DATE(C120,B120,1),1),Egresos!L:L,TRUE)</f>
        <v/>
      </c>
      <c r="F120" s="8">
        <f>MAX(D120-E120,0)</f>
        <v/>
      </c>
      <c r="G120" s="8">
        <f>SUMIFS(Ingresos!L:L,Ingresos!D:D,"&gt;="&amp;DATE(C120,B120,1),Ingresos!D:D,"&lt;"&amp;EDATE(DATE(C120,B120,1),1))</f>
        <v/>
      </c>
      <c r="H120" s="8" t="n"/>
      <c r="I120" s="8">
        <f>F120+G120+H120</f>
        <v/>
      </c>
      <c r="J120" s="2" t="n"/>
      <c r="K120" s="10" t="n"/>
      <c r="L120" s="2" t="n"/>
      <c r="M120" s="2" t="n"/>
    </row>
    <row r="121">
      <c r="A121" s="2" t="n"/>
      <c r="B121" s="2" t="n"/>
      <c r="C121" s="2" t="n"/>
      <c r="D121" s="8">
        <f>SUMIFS(Ingresos!I:I,Ingresos!D:D,"&gt;="&amp;DATE(C121,B121,1),Ingresos!D:D,"&lt;"&amp;EDATE(DATE(C121,B121,1),1))</f>
        <v/>
      </c>
      <c r="E121" s="8">
        <f>SUMIFS(Egresos!G:G,Egresos!B:B,"&gt;="&amp;DATE(C121,B121,1),Egresos!B:B,"&lt;"&amp;EDATE(DATE(C121,B121,1),1),Egresos!L:L,TRUE)</f>
        <v/>
      </c>
      <c r="F121" s="8">
        <f>MAX(D121-E121,0)</f>
        <v/>
      </c>
      <c r="G121" s="8">
        <f>SUMIFS(Ingresos!L:L,Ingresos!D:D,"&gt;="&amp;DATE(C121,B121,1),Ingresos!D:D,"&lt;"&amp;EDATE(DATE(C121,B121,1),1))</f>
        <v/>
      </c>
      <c r="H121" s="8" t="n"/>
      <c r="I121" s="8">
        <f>F121+G121+H121</f>
        <v/>
      </c>
      <c r="J121" s="2" t="n"/>
      <c r="K121" s="10" t="n"/>
      <c r="L121" s="2" t="n"/>
      <c r="M121" s="2" t="n"/>
    </row>
    <row r="122">
      <c r="A122" s="2" t="n"/>
      <c r="B122" s="2" t="n"/>
      <c r="C122" s="2" t="n"/>
      <c r="D122" s="8">
        <f>SUMIFS(Ingresos!I:I,Ingresos!D:D,"&gt;="&amp;DATE(C122,B122,1),Ingresos!D:D,"&lt;"&amp;EDATE(DATE(C122,B122,1),1))</f>
        <v/>
      </c>
      <c r="E122" s="8">
        <f>SUMIFS(Egresos!G:G,Egresos!B:B,"&gt;="&amp;DATE(C122,B122,1),Egresos!B:B,"&lt;"&amp;EDATE(DATE(C122,B122,1),1),Egresos!L:L,TRUE)</f>
        <v/>
      </c>
      <c r="F122" s="8">
        <f>MAX(D122-E122,0)</f>
        <v/>
      </c>
      <c r="G122" s="8">
        <f>SUMIFS(Ingresos!L:L,Ingresos!D:D,"&gt;="&amp;DATE(C122,B122,1),Ingresos!D:D,"&lt;"&amp;EDATE(DATE(C122,B122,1),1))</f>
        <v/>
      </c>
      <c r="H122" s="8" t="n"/>
      <c r="I122" s="8">
        <f>F122+G122+H122</f>
        <v/>
      </c>
      <c r="J122" s="2" t="n"/>
      <c r="K122" s="10" t="n"/>
      <c r="L122" s="2" t="n"/>
      <c r="M122" s="2" t="n"/>
    </row>
    <row r="123">
      <c r="A123" s="2" t="n"/>
      <c r="B123" s="2" t="n"/>
      <c r="C123" s="2" t="n"/>
      <c r="D123" s="8">
        <f>SUMIFS(Ingresos!I:I,Ingresos!D:D,"&gt;="&amp;DATE(C123,B123,1),Ingresos!D:D,"&lt;"&amp;EDATE(DATE(C123,B123,1),1))</f>
        <v/>
      </c>
      <c r="E123" s="8">
        <f>SUMIFS(Egresos!G:G,Egresos!B:B,"&gt;="&amp;DATE(C123,B123,1),Egresos!B:B,"&lt;"&amp;EDATE(DATE(C123,B123,1),1),Egresos!L:L,TRUE)</f>
        <v/>
      </c>
      <c r="F123" s="8">
        <f>MAX(D123-E123,0)</f>
        <v/>
      </c>
      <c r="G123" s="8">
        <f>SUMIFS(Ingresos!L:L,Ingresos!D:D,"&gt;="&amp;DATE(C123,B123,1),Ingresos!D:D,"&lt;"&amp;EDATE(DATE(C123,B123,1),1))</f>
        <v/>
      </c>
      <c r="H123" s="8" t="n"/>
      <c r="I123" s="8">
        <f>F123+G123+H123</f>
        <v/>
      </c>
      <c r="J123" s="2" t="n"/>
      <c r="K123" s="10" t="n"/>
      <c r="L123" s="2" t="n"/>
      <c r="M123" s="2" t="n"/>
    </row>
    <row r="124">
      <c r="A124" s="2" t="n"/>
      <c r="B124" s="2" t="n"/>
      <c r="C124" s="2" t="n"/>
      <c r="D124" s="8">
        <f>SUMIFS(Ingresos!I:I,Ingresos!D:D,"&gt;="&amp;DATE(C124,B124,1),Ingresos!D:D,"&lt;"&amp;EDATE(DATE(C124,B124,1),1))</f>
        <v/>
      </c>
      <c r="E124" s="8">
        <f>SUMIFS(Egresos!G:G,Egresos!B:B,"&gt;="&amp;DATE(C124,B124,1),Egresos!B:B,"&lt;"&amp;EDATE(DATE(C124,B124,1),1),Egresos!L:L,TRUE)</f>
        <v/>
      </c>
      <c r="F124" s="8">
        <f>MAX(D124-E124,0)</f>
        <v/>
      </c>
      <c r="G124" s="8">
        <f>SUMIFS(Ingresos!L:L,Ingresos!D:D,"&gt;="&amp;DATE(C124,B124,1),Ingresos!D:D,"&lt;"&amp;EDATE(DATE(C124,B124,1),1))</f>
        <v/>
      </c>
      <c r="H124" s="8" t="n"/>
      <c r="I124" s="8">
        <f>F124+G124+H124</f>
        <v/>
      </c>
      <c r="J124" s="2" t="n"/>
      <c r="K124" s="10" t="n"/>
      <c r="L124" s="2" t="n"/>
      <c r="M124" s="2" t="n"/>
    </row>
    <row r="125">
      <c r="A125" s="2" t="n"/>
      <c r="B125" s="2" t="n"/>
      <c r="C125" s="2" t="n"/>
      <c r="D125" s="8">
        <f>SUMIFS(Ingresos!I:I,Ingresos!D:D,"&gt;="&amp;DATE(C125,B125,1),Ingresos!D:D,"&lt;"&amp;EDATE(DATE(C125,B125,1),1))</f>
        <v/>
      </c>
      <c r="E125" s="8">
        <f>SUMIFS(Egresos!G:G,Egresos!B:B,"&gt;="&amp;DATE(C125,B125,1),Egresos!B:B,"&lt;"&amp;EDATE(DATE(C125,B125,1),1),Egresos!L:L,TRUE)</f>
        <v/>
      </c>
      <c r="F125" s="8">
        <f>MAX(D125-E125,0)</f>
        <v/>
      </c>
      <c r="G125" s="8">
        <f>SUMIFS(Ingresos!L:L,Ingresos!D:D,"&gt;="&amp;DATE(C125,B125,1),Ingresos!D:D,"&lt;"&amp;EDATE(DATE(C125,B125,1),1))</f>
        <v/>
      </c>
      <c r="H125" s="8" t="n"/>
      <c r="I125" s="8">
        <f>F125+G125+H125</f>
        <v/>
      </c>
      <c r="J125" s="2" t="n"/>
      <c r="K125" s="10" t="n"/>
      <c r="L125" s="2" t="n"/>
      <c r="M125" s="2" t="n"/>
    </row>
    <row r="126">
      <c r="A126" s="2" t="n"/>
      <c r="B126" s="2" t="n"/>
      <c r="C126" s="2" t="n"/>
      <c r="D126" s="8">
        <f>SUMIFS(Ingresos!I:I,Ingresos!D:D,"&gt;="&amp;DATE(C126,B126,1),Ingresos!D:D,"&lt;"&amp;EDATE(DATE(C126,B126,1),1))</f>
        <v/>
      </c>
      <c r="E126" s="8">
        <f>SUMIFS(Egresos!G:G,Egresos!B:B,"&gt;="&amp;DATE(C126,B126,1),Egresos!B:B,"&lt;"&amp;EDATE(DATE(C126,B126,1),1),Egresos!L:L,TRUE)</f>
        <v/>
      </c>
      <c r="F126" s="8">
        <f>MAX(D126-E126,0)</f>
        <v/>
      </c>
      <c r="G126" s="8">
        <f>SUMIFS(Ingresos!L:L,Ingresos!D:D,"&gt;="&amp;DATE(C126,B126,1),Ingresos!D:D,"&lt;"&amp;EDATE(DATE(C126,B126,1),1))</f>
        <v/>
      </c>
      <c r="H126" s="8" t="n"/>
      <c r="I126" s="8">
        <f>F126+G126+H126</f>
        <v/>
      </c>
      <c r="J126" s="2" t="n"/>
      <c r="K126" s="10" t="n"/>
      <c r="L126" s="2" t="n"/>
      <c r="M126" s="2" t="n"/>
    </row>
    <row r="127">
      <c r="A127" s="2" t="n"/>
      <c r="B127" s="2" t="n"/>
      <c r="C127" s="2" t="n"/>
      <c r="D127" s="8">
        <f>SUMIFS(Ingresos!I:I,Ingresos!D:D,"&gt;="&amp;DATE(C127,B127,1),Ingresos!D:D,"&lt;"&amp;EDATE(DATE(C127,B127,1),1))</f>
        <v/>
      </c>
      <c r="E127" s="8">
        <f>SUMIFS(Egresos!G:G,Egresos!B:B,"&gt;="&amp;DATE(C127,B127,1),Egresos!B:B,"&lt;"&amp;EDATE(DATE(C127,B127,1),1),Egresos!L:L,TRUE)</f>
        <v/>
      </c>
      <c r="F127" s="8">
        <f>MAX(D127-E127,0)</f>
        <v/>
      </c>
      <c r="G127" s="8">
        <f>SUMIFS(Ingresos!L:L,Ingresos!D:D,"&gt;="&amp;DATE(C127,B127,1),Ingresos!D:D,"&lt;"&amp;EDATE(DATE(C127,B127,1),1))</f>
        <v/>
      </c>
      <c r="H127" s="8" t="n"/>
      <c r="I127" s="8">
        <f>F127+G127+H127</f>
        <v/>
      </c>
      <c r="J127" s="2" t="n"/>
      <c r="K127" s="10" t="n"/>
      <c r="L127" s="2" t="n"/>
      <c r="M127" s="2" t="n"/>
    </row>
    <row r="128">
      <c r="A128" s="2" t="n"/>
      <c r="B128" s="2" t="n"/>
      <c r="C128" s="2" t="n"/>
      <c r="D128" s="8">
        <f>SUMIFS(Ingresos!I:I,Ingresos!D:D,"&gt;="&amp;DATE(C128,B128,1),Ingresos!D:D,"&lt;"&amp;EDATE(DATE(C128,B128,1),1))</f>
        <v/>
      </c>
      <c r="E128" s="8">
        <f>SUMIFS(Egresos!G:G,Egresos!B:B,"&gt;="&amp;DATE(C128,B128,1),Egresos!B:B,"&lt;"&amp;EDATE(DATE(C128,B128,1),1),Egresos!L:L,TRUE)</f>
        <v/>
      </c>
      <c r="F128" s="8">
        <f>MAX(D128-E128,0)</f>
        <v/>
      </c>
      <c r="G128" s="8">
        <f>SUMIFS(Ingresos!L:L,Ingresos!D:D,"&gt;="&amp;DATE(C128,B128,1),Ingresos!D:D,"&lt;"&amp;EDATE(DATE(C128,B128,1),1))</f>
        <v/>
      </c>
      <c r="H128" s="8" t="n"/>
      <c r="I128" s="8">
        <f>F128+G128+H128</f>
        <v/>
      </c>
      <c r="J128" s="2" t="n"/>
      <c r="K128" s="10" t="n"/>
      <c r="L128" s="2" t="n"/>
      <c r="M128" s="2" t="n"/>
    </row>
    <row r="129">
      <c r="A129" s="2" t="n"/>
      <c r="B129" s="2" t="n"/>
      <c r="C129" s="2" t="n"/>
      <c r="D129" s="8">
        <f>SUMIFS(Ingresos!I:I,Ingresos!D:D,"&gt;="&amp;DATE(C129,B129,1),Ingresos!D:D,"&lt;"&amp;EDATE(DATE(C129,B129,1),1))</f>
        <v/>
      </c>
      <c r="E129" s="8">
        <f>SUMIFS(Egresos!G:G,Egresos!B:B,"&gt;="&amp;DATE(C129,B129,1),Egresos!B:B,"&lt;"&amp;EDATE(DATE(C129,B129,1),1),Egresos!L:L,TRUE)</f>
        <v/>
      </c>
      <c r="F129" s="8">
        <f>MAX(D129-E129,0)</f>
        <v/>
      </c>
      <c r="G129" s="8">
        <f>SUMIFS(Ingresos!L:L,Ingresos!D:D,"&gt;="&amp;DATE(C129,B129,1),Ingresos!D:D,"&lt;"&amp;EDATE(DATE(C129,B129,1),1))</f>
        <v/>
      </c>
      <c r="H129" s="8" t="n"/>
      <c r="I129" s="8">
        <f>F129+G129+H129</f>
        <v/>
      </c>
      <c r="J129" s="2" t="n"/>
      <c r="K129" s="10" t="n"/>
      <c r="L129" s="2" t="n"/>
      <c r="M129" s="2" t="n"/>
    </row>
    <row r="130">
      <c r="A130" s="2" t="n"/>
      <c r="B130" s="2" t="n"/>
      <c r="C130" s="2" t="n"/>
      <c r="D130" s="8">
        <f>SUMIFS(Ingresos!I:I,Ingresos!D:D,"&gt;="&amp;DATE(C130,B130,1),Ingresos!D:D,"&lt;"&amp;EDATE(DATE(C130,B130,1),1))</f>
        <v/>
      </c>
      <c r="E130" s="8">
        <f>SUMIFS(Egresos!G:G,Egresos!B:B,"&gt;="&amp;DATE(C130,B130,1),Egresos!B:B,"&lt;"&amp;EDATE(DATE(C130,B130,1),1),Egresos!L:L,TRUE)</f>
        <v/>
      </c>
      <c r="F130" s="8">
        <f>MAX(D130-E130,0)</f>
        <v/>
      </c>
      <c r="G130" s="8">
        <f>SUMIFS(Ingresos!L:L,Ingresos!D:D,"&gt;="&amp;DATE(C130,B130,1),Ingresos!D:D,"&lt;"&amp;EDATE(DATE(C130,B130,1),1))</f>
        <v/>
      </c>
      <c r="H130" s="8" t="n"/>
      <c r="I130" s="8">
        <f>F130+G130+H130</f>
        <v/>
      </c>
      <c r="J130" s="2" t="n"/>
      <c r="K130" s="10" t="n"/>
      <c r="L130" s="2" t="n"/>
      <c r="M130" s="2" t="n"/>
    </row>
    <row r="131">
      <c r="A131" s="2" t="n"/>
      <c r="B131" s="2" t="n"/>
      <c r="C131" s="2" t="n"/>
      <c r="D131" s="8">
        <f>SUMIFS(Ingresos!I:I,Ingresos!D:D,"&gt;="&amp;DATE(C131,B131,1),Ingresos!D:D,"&lt;"&amp;EDATE(DATE(C131,B131,1),1))</f>
        <v/>
      </c>
      <c r="E131" s="8">
        <f>SUMIFS(Egresos!G:G,Egresos!B:B,"&gt;="&amp;DATE(C131,B131,1),Egresos!B:B,"&lt;"&amp;EDATE(DATE(C131,B131,1),1),Egresos!L:L,TRUE)</f>
        <v/>
      </c>
      <c r="F131" s="8">
        <f>MAX(D131-E131,0)</f>
        <v/>
      </c>
      <c r="G131" s="8">
        <f>SUMIFS(Ingresos!L:L,Ingresos!D:D,"&gt;="&amp;DATE(C131,B131,1),Ingresos!D:D,"&lt;"&amp;EDATE(DATE(C131,B131,1),1))</f>
        <v/>
      </c>
      <c r="H131" s="8" t="n"/>
      <c r="I131" s="8">
        <f>F131+G131+H131</f>
        <v/>
      </c>
      <c r="J131" s="2" t="n"/>
      <c r="K131" s="10" t="n"/>
      <c r="L131" s="2" t="n"/>
      <c r="M131" s="2" t="n"/>
    </row>
    <row r="132">
      <c r="A132" s="2" t="n"/>
      <c r="B132" s="2" t="n"/>
      <c r="C132" s="2" t="n"/>
      <c r="D132" s="8">
        <f>SUMIFS(Ingresos!I:I,Ingresos!D:D,"&gt;="&amp;DATE(C132,B132,1),Ingresos!D:D,"&lt;"&amp;EDATE(DATE(C132,B132,1),1))</f>
        <v/>
      </c>
      <c r="E132" s="8">
        <f>SUMIFS(Egresos!G:G,Egresos!B:B,"&gt;="&amp;DATE(C132,B132,1),Egresos!B:B,"&lt;"&amp;EDATE(DATE(C132,B132,1),1),Egresos!L:L,TRUE)</f>
        <v/>
      </c>
      <c r="F132" s="8">
        <f>MAX(D132-E132,0)</f>
        <v/>
      </c>
      <c r="G132" s="8">
        <f>SUMIFS(Ingresos!L:L,Ingresos!D:D,"&gt;="&amp;DATE(C132,B132,1),Ingresos!D:D,"&lt;"&amp;EDATE(DATE(C132,B132,1),1))</f>
        <v/>
      </c>
      <c r="H132" s="8" t="n"/>
      <c r="I132" s="8">
        <f>F132+G132+H132</f>
        <v/>
      </c>
      <c r="J132" s="2" t="n"/>
      <c r="K132" s="10" t="n"/>
      <c r="L132" s="2" t="n"/>
      <c r="M132" s="2" t="n"/>
    </row>
    <row r="133">
      <c r="A133" s="2" t="n"/>
      <c r="B133" s="2" t="n"/>
      <c r="C133" s="2" t="n"/>
      <c r="D133" s="8">
        <f>SUMIFS(Ingresos!I:I,Ingresos!D:D,"&gt;="&amp;DATE(C133,B133,1),Ingresos!D:D,"&lt;"&amp;EDATE(DATE(C133,B133,1),1))</f>
        <v/>
      </c>
      <c r="E133" s="8">
        <f>SUMIFS(Egresos!G:G,Egresos!B:B,"&gt;="&amp;DATE(C133,B133,1),Egresos!B:B,"&lt;"&amp;EDATE(DATE(C133,B133,1),1),Egresos!L:L,TRUE)</f>
        <v/>
      </c>
      <c r="F133" s="8">
        <f>MAX(D133-E133,0)</f>
        <v/>
      </c>
      <c r="G133" s="8">
        <f>SUMIFS(Ingresos!L:L,Ingresos!D:D,"&gt;="&amp;DATE(C133,B133,1),Ingresos!D:D,"&lt;"&amp;EDATE(DATE(C133,B133,1),1))</f>
        <v/>
      </c>
      <c r="H133" s="8" t="n"/>
      <c r="I133" s="8">
        <f>F133+G133+H133</f>
        <v/>
      </c>
      <c r="J133" s="2" t="n"/>
      <c r="K133" s="10" t="n"/>
      <c r="L133" s="2" t="n"/>
      <c r="M133" s="2" t="n"/>
    </row>
    <row r="134">
      <c r="A134" s="2" t="n"/>
      <c r="B134" s="2" t="n"/>
      <c r="C134" s="2" t="n"/>
      <c r="D134" s="8">
        <f>SUMIFS(Ingresos!I:I,Ingresos!D:D,"&gt;="&amp;DATE(C134,B134,1),Ingresos!D:D,"&lt;"&amp;EDATE(DATE(C134,B134,1),1))</f>
        <v/>
      </c>
      <c r="E134" s="8">
        <f>SUMIFS(Egresos!G:G,Egresos!B:B,"&gt;="&amp;DATE(C134,B134,1),Egresos!B:B,"&lt;"&amp;EDATE(DATE(C134,B134,1),1),Egresos!L:L,TRUE)</f>
        <v/>
      </c>
      <c r="F134" s="8">
        <f>MAX(D134-E134,0)</f>
        <v/>
      </c>
      <c r="G134" s="8">
        <f>SUMIFS(Ingresos!L:L,Ingresos!D:D,"&gt;="&amp;DATE(C134,B134,1),Ingresos!D:D,"&lt;"&amp;EDATE(DATE(C134,B134,1),1))</f>
        <v/>
      </c>
      <c r="H134" s="8" t="n"/>
      <c r="I134" s="8">
        <f>F134+G134+H134</f>
        <v/>
      </c>
      <c r="J134" s="2" t="n"/>
      <c r="K134" s="10" t="n"/>
      <c r="L134" s="2" t="n"/>
      <c r="M134" s="2" t="n"/>
    </row>
    <row r="135">
      <c r="A135" s="2" t="n"/>
      <c r="B135" s="2" t="n"/>
      <c r="C135" s="2" t="n"/>
      <c r="D135" s="8">
        <f>SUMIFS(Ingresos!I:I,Ingresos!D:D,"&gt;="&amp;DATE(C135,B135,1),Ingresos!D:D,"&lt;"&amp;EDATE(DATE(C135,B135,1),1))</f>
        <v/>
      </c>
      <c r="E135" s="8">
        <f>SUMIFS(Egresos!G:G,Egresos!B:B,"&gt;="&amp;DATE(C135,B135,1),Egresos!B:B,"&lt;"&amp;EDATE(DATE(C135,B135,1),1),Egresos!L:L,TRUE)</f>
        <v/>
      </c>
      <c r="F135" s="8">
        <f>MAX(D135-E135,0)</f>
        <v/>
      </c>
      <c r="G135" s="8">
        <f>SUMIFS(Ingresos!L:L,Ingresos!D:D,"&gt;="&amp;DATE(C135,B135,1),Ingresos!D:D,"&lt;"&amp;EDATE(DATE(C135,B135,1),1))</f>
        <v/>
      </c>
      <c r="H135" s="8" t="n"/>
      <c r="I135" s="8">
        <f>F135+G135+H135</f>
        <v/>
      </c>
      <c r="J135" s="2" t="n"/>
      <c r="K135" s="10" t="n"/>
      <c r="L135" s="2" t="n"/>
      <c r="M135" s="2" t="n"/>
    </row>
    <row r="136">
      <c r="A136" s="2" t="n"/>
      <c r="B136" s="2" t="n"/>
      <c r="C136" s="2" t="n"/>
      <c r="D136" s="8">
        <f>SUMIFS(Ingresos!I:I,Ingresos!D:D,"&gt;="&amp;DATE(C136,B136,1),Ingresos!D:D,"&lt;"&amp;EDATE(DATE(C136,B136,1),1))</f>
        <v/>
      </c>
      <c r="E136" s="8">
        <f>SUMIFS(Egresos!G:G,Egresos!B:B,"&gt;="&amp;DATE(C136,B136,1),Egresos!B:B,"&lt;"&amp;EDATE(DATE(C136,B136,1),1),Egresos!L:L,TRUE)</f>
        <v/>
      </c>
      <c r="F136" s="8">
        <f>MAX(D136-E136,0)</f>
        <v/>
      </c>
      <c r="G136" s="8">
        <f>SUMIFS(Ingresos!L:L,Ingresos!D:D,"&gt;="&amp;DATE(C136,B136,1),Ingresos!D:D,"&lt;"&amp;EDATE(DATE(C136,B136,1),1))</f>
        <v/>
      </c>
      <c r="H136" s="8" t="n"/>
      <c r="I136" s="8">
        <f>F136+G136+H136</f>
        <v/>
      </c>
      <c r="J136" s="2" t="n"/>
      <c r="K136" s="10" t="n"/>
      <c r="L136" s="2" t="n"/>
      <c r="M136" s="2" t="n"/>
    </row>
    <row r="137">
      <c r="A137" s="2" t="n"/>
      <c r="B137" s="2" t="n"/>
      <c r="C137" s="2" t="n"/>
      <c r="D137" s="8">
        <f>SUMIFS(Ingresos!I:I,Ingresos!D:D,"&gt;="&amp;DATE(C137,B137,1),Ingresos!D:D,"&lt;"&amp;EDATE(DATE(C137,B137,1),1))</f>
        <v/>
      </c>
      <c r="E137" s="8">
        <f>SUMIFS(Egresos!G:G,Egresos!B:B,"&gt;="&amp;DATE(C137,B137,1),Egresos!B:B,"&lt;"&amp;EDATE(DATE(C137,B137,1),1),Egresos!L:L,TRUE)</f>
        <v/>
      </c>
      <c r="F137" s="8">
        <f>MAX(D137-E137,0)</f>
        <v/>
      </c>
      <c r="G137" s="8">
        <f>SUMIFS(Ingresos!L:L,Ingresos!D:D,"&gt;="&amp;DATE(C137,B137,1),Ingresos!D:D,"&lt;"&amp;EDATE(DATE(C137,B137,1),1))</f>
        <v/>
      </c>
      <c r="H137" s="8" t="n"/>
      <c r="I137" s="8">
        <f>F137+G137+H137</f>
        <v/>
      </c>
      <c r="J137" s="2" t="n"/>
      <c r="K137" s="10" t="n"/>
      <c r="L137" s="2" t="n"/>
      <c r="M137" s="2" t="n"/>
    </row>
    <row r="138">
      <c r="A138" s="2" t="n"/>
      <c r="B138" s="2" t="n"/>
      <c r="C138" s="2" t="n"/>
      <c r="D138" s="8">
        <f>SUMIFS(Ingresos!I:I,Ingresos!D:D,"&gt;="&amp;DATE(C138,B138,1),Ingresos!D:D,"&lt;"&amp;EDATE(DATE(C138,B138,1),1))</f>
        <v/>
      </c>
      <c r="E138" s="8">
        <f>SUMIFS(Egresos!G:G,Egresos!B:B,"&gt;="&amp;DATE(C138,B138,1),Egresos!B:B,"&lt;"&amp;EDATE(DATE(C138,B138,1),1),Egresos!L:L,TRUE)</f>
        <v/>
      </c>
      <c r="F138" s="8">
        <f>MAX(D138-E138,0)</f>
        <v/>
      </c>
      <c r="G138" s="8">
        <f>SUMIFS(Ingresos!L:L,Ingresos!D:D,"&gt;="&amp;DATE(C138,B138,1),Ingresos!D:D,"&lt;"&amp;EDATE(DATE(C138,B138,1),1))</f>
        <v/>
      </c>
      <c r="H138" s="8" t="n"/>
      <c r="I138" s="8">
        <f>F138+G138+H138</f>
        <v/>
      </c>
      <c r="J138" s="2" t="n"/>
      <c r="K138" s="10" t="n"/>
      <c r="L138" s="2" t="n"/>
      <c r="M138" s="2" t="n"/>
    </row>
    <row r="139">
      <c r="A139" s="2" t="n"/>
      <c r="B139" s="2" t="n"/>
      <c r="C139" s="2" t="n"/>
      <c r="D139" s="8">
        <f>SUMIFS(Ingresos!I:I,Ingresos!D:D,"&gt;="&amp;DATE(C139,B139,1),Ingresos!D:D,"&lt;"&amp;EDATE(DATE(C139,B139,1),1))</f>
        <v/>
      </c>
      <c r="E139" s="8">
        <f>SUMIFS(Egresos!G:G,Egresos!B:B,"&gt;="&amp;DATE(C139,B139,1),Egresos!B:B,"&lt;"&amp;EDATE(DATE(C139,B139,1),1),Egresos!L:L,TRUE)</f>
        <v/>
      </c>
      <c r="F139" s="8">
        <f>MAX(D139-E139,0)</f>
        <v/>
      </c>
      <c r="G139" s="8">
        <f>SUMIFS(Ingresos!L:L,Ingresos!D:D,"&gt;="&amp;DATE(C139,B139,1),Ingresos!D:D,"&lt;"&amp;EDATE(DATE(C139,B139,1),1))</f>
        <v/>
      </c>
      <c r="H139" s="8" t="n"/>
      <c r="I139" s="8">
        <f>F139+G139+H139</f>
        <v/>
      </c>
      <c r="J139" s="2" t="n"/>
      <c r="K139" s="10" t="n"/>
      <c r="L139" s="2" t="n"/>
      <c r="M139" s="2" t="n"/>
    </row>
    <row r="140">
      <c r="A140" s="2" t="n"/>
      <c r="B140" s="2" t="n"/>
      <c r="C140" s="2" t="n"/>
      <c r="D140" s="8">
        <f>SUMIFS(Ingresos!I:I,Ingresos!D:D,"&gt;="&amp;DATE(C140,B140,1),Ingresos!D:D,"&lt;"&amp;EDATE(DATE(C140,B140,1),1))</f>
        <v/>
      </c>
      <c r="E140" s="8">
        <f>SUMIFS(Egresos!G:G,Egresos!B:B,"&gt;="&amp;DATE(C140,B140,1),Egresos!B:B,"&lt;"&amp;EDATE(DATE(C140,B140,1),1),Egresos!L:L,TRUE)</f>
        <v/>
      </c>
      <c r="F140" s="8">
        <f>MAX(D140-E140,0)</f>
        <v/>
      </c>
      <c r="G140" s="8">
        <f>SUMIFS(Ingresos!L:L,Ingresos!D:D,"&gt;="&amp;DATE(C140,B140,1),Ingresos!D:D,"&lt;"&amp;EDATE(DATE(C140,B140,1),1))</f>
        <v/>
      </c>
      <c r="H140" s="8" t="n"/>
      <c r="I140" s="8">
        <f>F140+G140+H140</f>
        <v/>
      </c>
      <c r="J140" s="2" t="n"/>
      <c r="K140" s="10" t="n"/>
      <c r="L140" s="2" t="n"/>
      <c r="M140" s="2" t="n"/>
    </row>
    <row r="141">
      <c r="A141" s="2" t="n"/>
      <c r="B141" s="2" t="n"/>
      <c r="C141" s="2" t="n"/>
      <c r="D141" s="8">
        <f>SUMIFS(Ingresos!I:I,Ingresos!D:D,"&gt;="&amp;DATE(C141,B141,1),Ingresos!D:D,"&lt;"&amp;EDATE(DATE(C141,B141,1),1))</f>
        <v/>
      </c>
      <c r="E141" s="8">
        <f>SUMIFS(Egresos!G:G,Egresos!B:B,"&gt;="&amp;DATE(C141,B141,1),Egresos!B:B,"&lt;"&amp;EDATE(DATE(C141,B141,1),1),Egresos!L:L,TRUE)</f>
        <v/>
      </c>
      <c r="F141" s="8">
        <f>MAX(D141-E141,0)</f>
        <v/>
      </c>
      <c r="G141" s="8">
        <f>SUMIFS(Ingresos!L:L,Ingresos!D:D,"&gt;="&amp;DATE(C141,B141,1),Ingresos!D:D,"&lt;"&amp;EDATE(DATE(C141,B141,1),1))</f>
        <v/>
      </c>
      <c r="H141" s="8" t="n"/>
      <c r="I141" s="8">
        <f>F141+G141+H141</f>
        <v/>
      </c>
      <c r="J141" s="2" t="n"/>
      <c r="K141" s="10" t="n"/>
      <c r="L141" s="2" t="n"/>
      <c r="M141" s="2" t="n"/>
    </row>
    <row r="142">
      <c r="A142" s="2" t="n"/>
      <c r="B142" s="2" t="n"/>
      <c r="C142" s="2" t="n"/>
      <c r="D142" s="8">
        <f>SUMIFS(Ingresos!I:I,Ingresos!D:D,"&gt;="&amp;DATE(C142,B142,1),Ingresos!D:D,"&lt;"&amp;EDATE(DATE(C142,B142,1),1))</f>
        <v/>
      </c>
      <c r="E142" s="8">
        <f>SUMIFS(Egresos!G:G,Egresos!B:B,"&gt;="&amp;DATE(C142,B142,1),Egresos!B:B,"&lt;"&amp;EDATE(DATE(C142,B142,1),1),Egresos!L:L,TRUE)</f>
        <v/>
      </c>
      <c r="F142" s="8">
        <f>MAX(D142-E142,0)</f>
        <v/>
      </c>
      <c r="G142" s="8">
        <f>SUMIFS(Ingresos!L:L,Ingresos!D:D,"&gt;="&amp;DATE(C142,B142,1),Ingresos!D:D,"&lt;"&amp;EDATE(DATE(C142,B142,1),1))</f>
        <v/>
      </c>
      <c r="H142" s="8" t="n"/>
      <c r="I142" s="8">
        <f>F142+G142+H142</f>
        <v/>
      </c>
      <c r="J142" s="2" t="n"/>
      <c r="K142" s="10" t="n"/>
      <c r="L142" s="2" t="n"/>
      <c r="M142" s="2" t="n"/>
    </row>
    <row r="143">
      <c r="A143" s="2" t="n"/>
      <c r="B143" s="2" t="n"/>
      <c r="C143" s="2" t="n"/>
      <c r="D143" s="8">
        <f>SUMIFS(Ingresos!I:I,Ingresos!D:D,"&gt;="&amp;DATE(C143,B143,1),Ingresos!D:D,"&lt;"&amp;EDATE(DATE(C143,B143,1),1))</f>
        <v/>
      </c>
      <c r="E143" s="8">
        <f>SUMIFS(Egresos!G:G,Egresos!B:B,"&gt;="&amp;DATE(C143,B143,1),Egresos!B:B,"&lt;"&amp;EDATE(DATE(C143,B143,1),1),Egresos!L:L,TRUE)</f>
        <v/>
      </c>
      <c r="F143" s="8">
        <f>MAX(D143-E143,0)</f>
        <v/>
      </c>
      <c r="G143" s="8">
        <f>SUMIFS(Ingresos!L:L,Ingresos!D:D,"&gt;="&amp;DATE(C143,B143,1),Ingresos!D:D,"&lt;"&amp;EDATE(DATE(C143,B143,1),1))</f>
        <v/>
      </c>
      <c r="H143" s="8" t="n"/>
      <c r="I143" s="8">
        <f>F143+G143+H143</f>
        <v/>
      </c>
      <c r="J143" s="2" t="n"/>
      <c r="K143" s="10" t="n"/>
      <c r="L143" s="2" t="n"/>
      <c r="M143" s="2" t="n"/>
    </row>
    <row r="144">
      <c r="A144" s="2" t="n"/>
      <c r="B144" s="2" t="n"/>
      <c r="C144" s="2" t="n"/>
      <c r="D144" s="8">
        <f>SUMIFS(Ingresos!I:I,Ingresos!D:D,"&gt;="&amp;DATE(C144,B144,1),Ingresos!D:D,"&lt;"&amp;EDATE(DATE(C144,B144,1),1))</f>
        <v/>
      </c>
      <c r="E144" s="8">
        <f>SUMIFS(Egresos!G:G,Egresos!B:B,"&gt;="&amp;DATE(C144,B144,1),Egresos!B:B,"&lt;"&amp;EDATE(DATE(C144,B144,1),1),Egresos!L:L,TRUE)</f>
        <v/>
      </c>
      <c r="F144" s="8">
        <f>MAX(D144-E144,0)</f>
        <v/>
      </c>
      <c r="G144" s="8">
        <f>SUMIFS(Ingresos!L:L,Ingresos!D:D,"&gt;="&amp;DATE(C144,B144,1),Ingresos!D:D,"&lt;"&amp;EDATE(DATE(C144,B144,1),1))</f>
        <v/>
      </c>
      <c r="H144" s="8" t="n"/>
      <c r="I144" s="8">
        <f>F144+G144+H144</f>
        <v/>
      </c>
      <c r="J144" s="2" t="n"/>
      <c r="K144" s="10" t="n"/>
      <c r="L144" s="2" t="n"/>
      <c r="M144" s="2" t="n"/>
    </row>
    <row r="145">
      <c r="A145" s="2" t="n"/>
      <c r="B145" s="2" t="n"/>
      <c r="C145" s="2" t="n"/>
      <c r="D145" s="8">
        <f>SUMIFS(Ingresos!I:I,Ingresos!D:D,"&gt;="&amp;DATE(C145,B145,1),Ingresos!D:D,"&lt;"&amp;EDATE(DATE(C145,B145,1),1))</f>
        <v/>
      </c>
      <c r="E145" s="8">
        <f>SUMIFS(Egresos!G:G,Egresos!B:B,"&gt;="&amp;DATE(C145,B145,1),Egresos!B:B,"&lt;"&amp;EDATE(DATE(C145,B145,1),1),Egresos!L:L,TRUE)</f>
        <v/>
      </c>
      <c r="F145" s="8">
        <f>MAX(D145-E145,0)</f>
        <v/>
      </c>
      <c r="G145" s="8">
        <f>SUMIFS(Ingresos!L:L,Ingresos!D:D,"&gt;="&amp;DATE(C145,B145,1),Ingresos!D:D,"&lt;"&amp;EDATE(DATE(C145,B145,1),1))</f>
        <v/>
      </c>
      <c r="H145" s="8" t="n"/>
      <c r="I145" s="8">
        <f>F145+G145+H145</f>
        <v/>
      </c>
      <c r="J145" s="2" t="n"/>
      <c r="K145" s="10" t="n"/>
      <c r="L145" s="2" t="n"/>
      <c r="M145" s="2" t="n"/>
    </row>
    <row r="146">
      <c r="A146" s="2" t="n"/>
      <c r="B146" s="2" t="n"/>
      <c r="C146" s="2" t="n"/>
      <c r="D146" s="8">
        <f>SUMIFS(Ingresos!I:I,Ingresos!D:D,"&gt;="&amp;DATE(C146,B146,1),Ingresos!D:D,"&lt;"&amp;EDATE(DATE(C146,B146,1),1))</f>
        <v/>
      </c>
      <c r="E146" s="8">
        <f>SUMIFS(Egresos!G:G,Egresos!B:B,"&gt;="&amp;DATE(C146,B146,1),Egresos!B:B,"&lt;"&amp;EDATE(DATE(C146,B146,1),1),Egresos!L:L,TRUE)</f>
        <v/>
      </c>
      <c r="F146" s="8">
        <f>MAX(D146-E146,0)</f>
        <v/>
      </c>
      <c r="G146" s="8">
        <f>SUMIFS(Ingresos!L:L,Ingresos!D:D,"&gt;="&amp;DATE(C146,B146,1),Ingresos!D:D,"&lt;"&amp;EDATE(DATE(C146,B146,1),1))</f>
        <v/>
      </c>
      <c r="H146" s="8" t="n"/>
      <c r="I146" s="8">
        <f>F146+G146+H146</f>
        <v/>
      </c>
      <c r="J146" s="2" t="n"/>
      <c r="K146" s="10" t="n"/>
      <c r="L146" s="2" t="n"/>
      <c r="M146" s="2" t="n"/>
    </row>
    <row r="147">
      <c r="A147" s="2" t="n"/>
      <c r="B147" s="2" t="n"/>
      <c r="C147" s="2" t="n"/>
      <c r="D147" s="8">
        <f>SUMIFS(Ingresos!I:I,Ingresos!D:D,"&gt;="&amp;DATE(C147,B147,1),Ingresos!D:D,"&lt;"&amp;EDATE(DATE(C147,B147,1),1))</f>
        <v/>
      </c>
      <c r="E147" s="8">
        <f>SUMIFS(Egresos!G:G,Egresos!B:B,"&gt;="&amp;DATE(C147,B147,1),Egresos!B:B,"&lt;"&amp;EDATE(DATE(C147,B147,1),1),Egresos!L:L,TRUE)</f>
        <v/>
      </c>
      <c r="F147" s="8">
        <f>MAX(D147-E147,0)</f>
        <v/>
      </c>
      <c r="G147" s="8">
        <f>SUMIFS(Ingresos!L:L,Ingresos!D:D,"&gt;="&amp;DATE(C147,B147,1),Ingresos!D:D,"&lt;"&amp;EDATE(DATE(C147,B147,1),1))</f>
        <v/>
      </c>
      <c r="H147" s="8" t="n"/>
      <c r="I147" s="8">
        <f>F147+G147+H147</f>
        <v/>
      </c>
      <c r="J147" s="2" t="n"/>
      <c r="K147" s="10" t="n"/>
      <c r="L147" s="2" t="n"/>
      <c r="M147" s="2" t="n"/>
    </row>
    <row r="148">
      <c r="A148" s="2" t="n"/>
      <c r="B148" s="2" t="n"/>
      <c r="C148" s="2" t="n"/>
      <c r="D148" s="8">
        <f>SUMIFS(Ingresos!I:I,Ingresos!D:D,"&gt;="&amp;DATE(C148,B148,1),Ingresos!D:D,"&lt;"&amp;EDATE(DATE(C148,B148,1),1))</f>
        <v/>
      </c>
      <c r="E148" s="8">
        <f>SUMIFS(Egresos!G:G,Egresos!B:B,"&gt;="&amp;DATE(C148,B148,1),Egresos!B:B,"&lt;"&amp;EDATE(DATE(C148,B148,1),1),Egresos!L:L,TRUE)</f>
        <v/>
      </c>
      <c r="F148" s="8">
        <f>MAX(D148-E148,0)</f>
        <v/>
      </c>
      <c r="G148" s="8">
        <f>SUMIFS(Ingresos!L:L,Ingresos!D:D,"&gt;="&amp;DATE(C148,B148,1),Ingresos!D:D,"&lt;"&amp;EDATE(DATE(C148,B148,1),1))</f>
        <v/>
      </c>
      <c r="H148" s="8" t="n"/>
      <c r="I148" s="8">
        <f>F148+G148+H148</f>
        <v/>
      </c>
      <c r="J148" s="2" t="n"/>
      <c r="K148" s="10" t="n"/>
      <c r="L148" s="2" t="n"/>
      <c r="M148" s="2" t="n"/>
    </row>
    <row r="149">
      <c r="A149" s="2" t="n"/>
      <c r="B149" s="2" t="n"/>
      <c r="C149" s="2" t="n"/>
      <c r="D149" s="8">
        <f>SUMIFS(Ingresos!I:I,Ingresos!D:D,"&gt;="&amp;DATE(C149,B149,1),Ingresos!D:D,"&lt;"&amp;EDATE(DATE(C149,B149,1),1))</f>
        <v/>
      </c>
      <c r="E149" s="8">
        <f>SUMIFS(Egresos!G:G,Egresos!B:B,"&gt;="&amp;DATE(C149,B149,1),Egresos!B:B,"&lt;"&amp;EDATE(DATE(C149,B149,1),1),Egresos!L:L,TRUE)</f>
        <v/>
      </c>
      <c r="F149" s="8">
        <f>MAX(D149-E149,0)</f>
        <v/>
      </c>
      <c r="G149" s="8">
        <f>SUMIFS(Ingresos!L:L,Ingresos!D:D,"&gt;="&amp;DATE(C149,B149,1),Ingresos!D:D,"&lt;"&amp;EDATE(DATE(C149,B149,1),1))</f>
        <v/>
      </c>
      <c r="H149" s="8" t="n"/>
      <c r="I149" s="8">
        <f>F149+G149+H149</f>
        <v/>
      </c>
      <c r="J149" s="2" t="n"/>
      <c r="K149" s="10" t="n"/>
      <c r="L149" s="2" t="n"/>
      <c r="M149" s="2" t="n"/>
    </row>
    <row r="150">
      <c r="A150" s="2" t="n"/>
      <c r="B150" s="2" t="n"/>
      <c r="C150" s="2" t="n"/>
      <c r="D150" s="8">
        <f>SUMIFS(Ingresos!I:I,Ingresos!D:D,"&gt;="&amp;DATE(C150,B150,1),Ingresos!D:D,"&lt;"&amp;EDATE(DATE(C150,B150,1),1))</f>
        <v/>
      </c>
      <c r="E150" s="8">
        <f>SUMIFS(Egresos!G:G,Egresos!B:B,"&gt;="&amp;DATE(C150,B150,1),Egresos!B:B,"&lt;"&amp;EDATE(DATE(C150,B150,1),1),Egresos!L:L,TRUE)</f>
        <v/>
      </c>
      <c r="F150" s="8">
        <f>MAX(D150-E150,0)</f>
        <v/>
      </c>
      <c r="G150" s="8">
        <f>SUMIFS(Ingresos!L:L,Ingresos!D:D,"&gt;="&amp;DATE(C150,B150,1),Ingresos!D:D,"&lt;"&amp;EDATE(DATE(C150,B150,1),1))</f>
        <v/>
      </c>
      <c r="H150" s="8" t="n"/>
      <c r="I150" s="8">
        <f>F150+G150+H150</f>
        <v/>
      </c>
      <c r="J150" s="2" t="n"/>
      <c r="K150" s="10" t="n"/>
      <c r="L150" s="2" t="n"/>
      <c r="M150" s="2" t="n"/>
    </row>
    <row r="151">
      <c r="A151" s="2" t="n"/>
      <c r="B151" s="2" t="n"/>
      <c r="C151" s="2" t="n"/>
      <c r="D151" s="8">
        <f>SUMIFS(Ingresos!I:I,Ingresos!D:D,"&gt;="&amp;DATE(C151,B151,1),Ingresos!D:D,"&lt;"&amp;EDATE(DATE(C151,B151,1),1))</f>
        <v/>
      </c>
      <c r="E151" s="8">
        <f>SUMIFS(Egresos!G:G,Egresos!B:B,"&gt;="&amp;DATE(C151,B151,1),Egresos!B:B,"&lt;"&amp;EDATE(DATE(C151,B151,1),1),Egresos!L:L,TRUE)</f>
        <v/>
      </c>
      <c r="F151" s="8">
        <f>MAX(D151-E151,0)</f>
        <v/>
      </c>
      <c r="G151" s="8">
        <f>SUMIFS(Ingresos!L:L,Ingresos!D:D,"&gt;="&amp;DATE(C151,B151,1),Ingresos!D:D,"&lt;"&amp;EDATE(DATE(C151,B151,1),1))</f>
        <v/>
      </c>
      <c r="H151" s="8" t="n"/>
      <c r="I151" s="8">
        <f>F151+G151+H151</f>
        <v/>
      </c>
      <c r="J151" s="2" t="n"/>
      <c r="K151" s="10" t="n"/>
      <c r="L151" s="2" t="n"/>
      <c r="M151" s="2" t="n"/>
    </row>
    <row r="152">
      <c r="A152" s="2" t="n"/>
      <c r="B152" s="2" t="n"/>
      <c r="C152" s="2" t="n"/>
      <c r="D152" s="8">
        <f>SUMIFS(Ingresos!I:I,Ingresos!D:D,"&gt;="&amp;DATE(C152,B152,1),Ingresos!D:D,"&lt;"&amp;EDATE(DATE(C152,B152,1),1))</f>
        <v/>
      </c>
      <c r="E152" s="8">
        <f>SUMIFS(Egresos!G:G,Egresos!B:B,"&gt;="&amp;DATE(C152,B152,1),Egresos!B:B,"&lt;"&amp;EDATE(DATE(C152,B152,1),1),Egresos!L:L,TRUE)</f>
        <v/>
      </c>
      <c r="F152" s="8">
        <f>MAX(D152-E152,0)</f>
        <v/>
      </c>
      <c r="G152" s="8">
        <f>SUMIFS(Ingresos!L:L,Ingresos!D:D,"&gt;="&amp;DATE(C152,B152,1),Ingresos!D:D,"&lt;"&amp;EDATE(DATE(C152,B152,1),1))</f>
        <v/>
      </c>
      <c r="H152" s="8" t="n"/>
      <c r="I152" s="8">
        <f>F152+G152+H152</f>
        <v/>
      </c>
      <c r="J152" s="2" t="n"/>
      <c r="K152" s="10" t="n"/>
      <c r="L152" s="2" t="n"/>
      <c r="M152" s="2" t="n"/>
    </row>
    <row r="153">
      <c r="A153" s="2" t="n"/>
      <c r="B153" s="2" t="n"/>
      <c r="C153" s="2" t="n"/>
      <c r="D153" s="8">
        <f>SUMIFS(Ingresos!I:I,Ingresos!D:D,"&gt;="&amp;DATE(C153,B153,1),Ingresos!D:D,"&lt;"&amp;EDATE(DATE(C153,B153,1),1))</f>
        <v/>
      </c>
      <c r="E153" s="8">
        <f>SUMIFS(Egresos!G:G,Egresos!B:B,"&gt;="&amp;DATE(C153,B153,1),Egresos!B:B,"&lt;"&amp;EDATE(DATE(C153,B153,1),1),Egresos!L:L,TRUE)</f>
        <v/>
      </c>
      <c r="F153" s="8">
        <f>MAX(D153-E153,0)</f>
        <v/>
      </c>
      <c r="G153" s="8">
        <f>SUMIFS(Ingresos!L:L,Ingresos!D:D,"&gt;="&amp;DATE(C153,B153,1),Ingresos!D:D,"&lt;"&amp;EDATE(DATE(C153,B153,1),1))</f>
        <v/>
      </c>
      <c r="H153" s="8" t="n"/>
      <c r="I153" s="8">
        <f>F153+G153+H153</f>
        <v/>
      </c>
      <c r="J153" s="2" t="n"/>
      <c r="K153" s="10" t="n"/>
      <c r="L153" s="2" t="n"/>
      <c r="M153" s="2" t="n"/>
    </row>
    <row r="154">
      <c r="A154" s="2" t="n"/>
      <c r="B154" s="2" t="n"/>
      <c r="C154" s="2" t="n"/>
      <c r="D154" s="8">
        <f>SUMIFS(Ingresos!I:I,Ingresos!D:D,"&gt;="&amp;DATE(C154,B154,1),Ingresos!D:D,"&lt;"&amp;EDATE(DATE(C154,B154,1),1))</f>
        <v/>
      </c>
      <c r="E154" s="8">
        <f>SUMIFS(Egresos!G:G,Egresos!B:B,"&gt;="&amp;DATE(C154,B154,1),Egresos!B:B,"&lt;"&amp;EDATE(DATE(C154,B154,1),1),Egresos!L:L,TRUE)</f>
        <v/>
      </c>
      <c r="F154" s="8">
        <f>MAX(D154-E154,0)</f>
        <v/>
      </c>
      <c r="G154" s="8">
        <f>SUMIFS(Ingresos!L:L,Ingresos!D:D,"&gt;="&amp;DATE(C154,B154,1),Ingresos!D:D,"&lt;"&amp;EDATE(DATE(C154,B154,1),1))</f>
        <v/>
      </c>
      <c r="H154" s="8" t="n"/>
      <c r="I154" s="8">
        <f>F154+G154+H154</f>
        <v/>
      </c>
      <c r="J154" s="2" t="n"/>
      <c r="K154" s="10" t="n"/>
      <c r="L154" s="2" t="n"/>
      <c r="M154" s="2" t="n"/>
    </row>
    <row r="155">
      <c r="A155" s="2" t="n"/>
      <c r="B155" s="2" t="n"/>
      <c r="C155" s="2" t="n"/>
      <c r="D155" s="8">
        <f>SUMIFS(Ingresos!I:I,Ingresos!D:D,"&gt;="&amp;DATE(C155,B155,1),Ingresos!D:D,"&lt;"&amp;EDATE(DATE(C155,B155,1),1))</f>
        <v/>
      </c>
      <c r="E155" s="8">
        <f>SUMIFS(Egresos!G:G,Egresos!B:B,"&gt;="&amp;DATE(C155,B155,1),Egresos!B:B,"&lt;"&amp;EDATE(DATE(C155,B155,1),1),Egresos!L:L,TRUE)</f>
        <v/>
      </c>
      <c r="F155" s="8">
        <f>MAX(D155-E155,0)</f>
        <v/>
      </c>
      <c r="G155" s="8">
        <f>SUMIFS(Ingresos!L:L,Ingresos!D:D,"&gt;="&amp;DATE(C155,B155,1),Ingresos!D:D,"&lt;"&amp;EDATE(DATE(C155,B155,1),1))</f>
        <v/>
      </c>
      <c r="H155" s="8" t="n"/>
      <c r="I155" s="8">
        <f>F155+G155+H155</f>
        <v/>
      </c>
      <c r="J155" s="2" t="n"/>
      <c r="K155" s="10" t="n"/>
      <c r="L155" s="2" t="n"/>
      <c r="M155" s="2" t="n"/>
    </row>
    <row r="156">
      <c r="A156" s="2" t="n"/>
      <c r="B156" s="2" t="n"/>
      <c r="C156" s="2" t="n"/>
      <c r="D156" s="8">
        <f>SUMIFS(Ingresos!I:I,Ingresos!D:D,"&gt;="&amp;DATE(C156,B156,1),Ingresos!D:D,"&lt;"&amp;EDATE(DATE(C156,B156,1),1))</f>
        <v/>
      </c>
      <c r="E156" s="8">
        <f>SUMIFS(Egresos!G:G,Egresos!B:B,"&gt;="&amp;DATE(C156,B156,1),Egresos!B:B,"&lt;"&amp;EDATE(DATE(C156,B156,1),1),Egresos!L:L,TRUE)</f>
        <v/>
      </c>
      <c r="F156" s="8">
        <f>MAX(D156-E156,0)</f>
        <v/>
      </c>
      <c r="G156" s="8">
        <f>SUMIFS(Ingresos!L:L,Ingresos!D:D,"&gt;="&amp;DATE(C156,B156,1),Ingresos!D:D,"&lt;"&amp;EDATE(DATE(C156,B156,1),1))</f>
        <v/>
      </c>
      <c r="H156" s="8" t="n"/>
      <c r="I156" s="8">
        <f>F156+G156+H156</f>
        <v/>
      </c>
      <c r="J156" s="2" t="n"/>
      <c r="K156" s="10" t="n"/>
      <c r="L156" s="2" t="n"/>
      <c r="M156" s="2" t="n"/>
    </row>
    <row r="157">
      <c r="A157" s="2" t="n"/>
      <c r="B157" s="2" t="n"/>
      <c r="C157" s="2" t="n"/>
      <c r="D157" s="8">
        <f>SUMIFS(Ingresos!I:I,Ingresos!D:D,"&gt;="&amp;DATE(C157,B157,1),Ingresos!D:D,"&lt;"&amp;EDATE(DATE(C157,B157,1),1))</f>
        <v/>
      </c>
      <c r="E157" s="8">
        <f>SUMIFS(Egresos!G:G,Egresos!B:B,"&gt;="&amp;DATE(C157,B157,1),Egresos!B:B,"&lt;"&amp;EDATE(DATE(C157,B157,1),1),Egresos!L:L,TRUE)</f>
        <v/>
      </c>
      <c r="F157" s="8">
        <f>MAX(D157-E157,0)</f>
        <v/>
      </c>
      <c r="G157" s="8">
        <f>SUMIFS(Ingresos!L:L,Ingresos!D:D,"&gt;="&amp;DATE(C157,B157,1),Ingresos!D:D,"&lt;"&amp;EDATE(DATE(C157,B157,1),1))</f>
        <v/>
      </c>
      <c r="H157" s="8" t="n"/>
      <c r="I157" s="8">
        <f>F157+G157+H157</f>
        <v/>
      </c>
      <c r="J157" s="2" t="n"/>
      <c r="K157" s="10" t="n"/>
      <c r="L157" s="2" t="n"/>
      <c r="M157" s="2" t="n"/>
    </row>
    <row r="158">
      <c r="A158" s="2" t="n"/>
      <c r="B158" s="2" t="n"/>
      <c r="C158" s="2" t="n"/>
      <c r="D158" s="8">
        <f>SUMIFS(Ingresos!I:I,Ingresos!D:D,"&gt;="&amp;DATE(C158,B158,1),Ingresos!D:D,"&lt;"&amp;EDATE(DATE(C158,B158,1),1))</f>
        <v/>
      </c>
      <c r="E158" s="8">
        <f>SUMIFS(Egresos!G:G,Egresos!B:B,"&gt;="&amp;DATE(C158,B158,1),Egresos!B:B,"&lt;"&amp;EDATE(DATE(C158,B158,1),1),Egresos!L:L,TRUE)</f>
        <v/>
      </c>
      <c r="F158" s="8">
        <f>MAX(D158-E158,0)</f>
        <v/>
      </c>
      <c r="G158" s="8">
        <f>SUMIFS(Ingresos!L:L,Ingresos!D:D,"&gt;="&amp;DATE(C158,B158,1),Ingresos!D:D,"&lt;"&amp;EDATE(DATE(C158,B158,1),1))</f>
        <v/>
      </c>
      <c r="H158" s="8" t="n"/>
      <c r="I158" s="8">
        <f>F158+G158+H158</f>
        <v/>
      </c>
      <c r="J158" s="2" t="n"/>
      <c r="K158" s="10" t="n"/>
      <c r="L158" s="2" t="n"/>
      <c r="M158" s="2" t="n"/>
    </row>
    <row r="159">
      <c r="A159" s="2" t="n"/>
      <c r="B159" s="2" t="n"/>
      <c r="C159" s="2" t="n"/>
      <c r="D159" s="8">
        <f>SUMIFS(Ingresos!I:I,Ingresos!D:D,"&gt;="&amp;DATE(C159,B159,1),Ingresos!D:D,"&lt;"&amp;EDATE(DATE(C159,B159,1),1))</f>
        <v/>
      </c>
      <c r="E159" s="8">
        <f>SUMIFS(Egresos!G:G,Egresos!B:B,"&gt;="&amp;DATE(C159,B159,1),Egresos!B:B,"&lt;"&amp;EDATE(DATE(C159,B159,1),1),Egresos!L:L,TRUE)</f>
        <v/>
      </c>
      <c r="F159" s="8">
        <f>MAX(D159-E159,0)</f>
        <v/>
      </c>
      <c r="G159" s="8">
        <f>SUMIFS(Ingresos!L:L,Ingresos!D:D,"&gt;="&amp;DATE(C159,B159,1),Ingresos!D:D,"&lt;"&amp;EDATE(DATE(C159,B159,1),1))</f>
        <v/>
      </c>
      <c r="H159" s="8" t="n"/>
      <c r="I159" s="8">
        <f>F159+G159+H159</f>
        <v/>
      </c>
      <c r="J159" s="2" t="n"/>
      <c r="K159" s="10" t="n"/>
      <c r="L159" s="2" t="n"/>
      <c r="M159" s="2" t="n"/>
    </row>
    <row r="160">
      <c r="A160" s="2" t="n"/>
      <c r="B160" s="2" t="n"/>
      <c r="C160" s="2" t="n"/>
      <c r="D160" s="8">
        <f>SUMIFS(Ingresos!I:I,Ingresos!D:D,"&gt;="&amp;DATE(C160,B160,1),Ingresos!D:D,"&lt;"&amp;EDATE(DATE(C160,B160,1),1))</f>
        <v/>
      </c>
      <c r="E160" s="8">
        <f>SUMIFS(Egresos!G:G,Egresos!B:B,"&gt;="&amp;DATE(C160,B160,1),Egresos!B:B,"&lt;"&amp;EDATE(DATE(C160,B160,1),1),Egresos!L:L,TRUE)</f>
        <v/>
      </c>
      <c r="F160" s="8">
        <f>MAX(D160-E160,0)</f>
        <v/>
      </c>
      <c r="G160" s="8">
        <f>SUMIFS(Ingresos!L:L,Ingresos!D:D,"&gt;="&amp;DATE(C160,B160,1),Ingresos!D:D,"&lt;"&amp;EDATE(DATE(C160,B160,1),1))</f>
        <v/>
      </c>
      <c r="H160" s="8" t="n"/>
      <c r="I160" s="8">
        <f>F160+G160+H160</f>
        <v/>
      </c>
      <c r="J160" s="2" t="n"/>
      <c r="K160" s="10" t="n"/>
      <c r="L160" s="2" t="n"/>
      <c r="M160" s="2" t="n"/>
    </row>
    <row r="161">
      <c r="A161" s="2" t="n"/>
      <c r="B161" s="2" t="n"/>
      <c r="C161" s="2" t="n"/>
      <c r="D161" s="8">
        <f>SUMIFS(Ingresos!I:I,Ingresos!D:D,"&gt;="&amp;DATE(C161,B161,1),Ingresos!D:D,"&lt;"&amp;EDATE(DATE(C161,B161,1),1))</f>
        <v/>
      </c>
      <c r="E161" s="8">
        <f>SUMIFS(Egresos!G:G,Egresos!B:B,"&gt;="&amp;DATE(C161,B161,1),Egresos!B:B,"&lt;"&amp;EDATE(DATE(C161,B161,1),1),Egresos!L:L,TRUE)</f>
        <v/>
      </c>
      <c r="F161" s="8">
        <f>MAX(D161-E161,0)</f>
        <v/>
      </c>
      <c r="G161" s="8">
        <f>SUMIFS(Ingresos!L:L,Ingresos!D:D,"&gt;="&amp;DATE(C161,B161,1),Ingresos!D:D,"&lt;"&amp;EDATE(DATE(C161,B161,1),1))</f>
        <v/>
      </c>
      <c r="H161" s="8" t="n"/>
      <c r="I161" s="8">
        <f>F161+G161+H161</f>
        <v/>
      </c>
      <c r="J161" s="2" t="n"/>
      <c r="K161" s="10" t="n"/>
      <c r="L161" s="2" t="n"/>
      <c r="M161" s="2" t="n"/>
    </row>
    <row r="162">
      <c r="A162" s="2" t="n"/>
      <c r="B162" s="2" t="n"/>
      <c r="C162" s="2" t="n"/>
      <c r="D162" s="8">
        <f>SUMIFS(Ingresos!I:I,Ingresos!D:D,"&gt;="&amp;DATE(C162,B162,1),Ingresos!D:D,"&lt;"&amp;EDATE(DATE(C162,B162,1),1))</f>
        <v/>
      </c>
      <c r="E162" s="8">
        <f>SUMIFS(Egresos!G:G,Egresos!B:B,"&gt;="&amp;DATE(C162,B162,1),Egresos!B:B,"&lt;"&amp;EDATE(DATE(C162,B162,1),1),Egresos!L:L,TRUE)</f>
        <v/>
      </c>
      <c r="F162" s="8">
        <f>MAX(D162-E162,0)</f>
        <v/>
      </c>
      <c r="G162" s="8">
        <f>SUMIFS(Ingresos!L:L,Ingresos!D:D,"&gt;="&amp;DATE(C162,B162,1),Ingresos!D:D,"&lt;"&amp;EDATE(DATE(C162,B162,1),1))</f>
        <v/>
      </c>
      <c r="H162" s="8" t="n"/>
      <c r="I162" s="8">
        <f>F162+G162+H162</f>
        <v/>
      </c>
      <c r="J162" s="2" t="n"/>
      <c r="K162" s="10" t="n"/>
      <c r="L162" s="2" t="n"/>
      <c r="M162" s="2" t="n"/>
    </row>
    <row r="163">
      <c r="A163" s="2" t="n"/>
      <c r="B163" s="2" t="n"/>
      <c r="C163" s="2" t="n"/>
      <c r="D163" s="8">
        <f>SUMIFS(Ingresos!I:I,Ingresos!D:D,"&gt;="&amp;DATE(C163,B163,1),Ingresos!D:D,"&lt;"&amp;EDATE(DATE(C163,B163,1),1))</f>
        <v/>
      </c>
      <c r="E163" s="8">
        <f>SUMIFS(Egresos!G:G,Egresos!B:B,"&gt;="&amp;DATE(C163,B163,1),Egresos!B:B,"&lt;"&amp;EDATE(DATE(C163,B163,1),1),Egresos!L:L,TRUE)</f>
        <v/>
      </c>
      <c r="F163" s="8">
        <f>MAX(D163-E163,0)</f>
        <v/>
      </c>
      <c r="G163" s="8">
        <f>SUMIFS(Ingresos!L:L,Ingresos!D:D,"&gt;="&amp;DATE(C163,B163,1),Ingresos!D:D,"&lt;"&amp;EDATE(DATE(C163,B163,1),1))</f>
        <v/>
      </c>
      <c r="H163" s="8" t="n"/>
      <c r="I163" s="8">
        <f>F163+G163+H163</f>
        <v/>
      </c>
      <c r="J163" s="2" t="n"/>
      <c r="K163" s="10" t="n"/>
      <c r="L163" s="2" t="n"/>
      <c r="M163" s="2" t="n"/>
    </row>
    <row r="164">
      <c r="A164" s="2" t="n"/>
      <c r="B164" s="2" t="n"/>
      <c r="C164" s="2" t="n"/>
      <c r="D164" s="8">
        <f>SUMIFS(Ingresos!I:I,Ingresos!D:D,"&gt;="&amp;DATE(C164,B164,1),Ingresos!D:D,"&lt;"&amp;EDATE(DATE(C164,B164,1),1))</f>
        <v/>
      </c>
      <c r="E164" s="8">
        <f>SUMIFS(Egresos!G:G,Egresos!B:B,"&gt;="&amp;DATE(C164,B164,1),Egresos!B:B,"&lt;"&amp;EDATE(DATE(C164,B164,1),1),Egresos!L:L,TRUE)</f>
        <v/>
      </c>
      <c r="F164" s="8">
        <f>MAX(D164-E164,0)</f>
        <v/>
      </c>
      <c r="G164" s="8">
        <f>SUMIFS(Ingresos!L:L,Ingresos!D:D,"&gt;="&amp;DATE(C164,B164,1),Ingresos!D:D,"&lt;"&amp;EDATE(DATE(C164,B164,1),1))</f>
        <v/>
      </c>
      <c r="H164" s="8" t="n"/>
      <c r="I164" s="8">
        <f>F164+G164+H164</f>
        <v/>
      </c>
      <c r="J164" s="2" t="n"/>
      <c r="K164" s="10" t="n"/>
      <c r="L164" s="2" t="n"/>
      <c r="M164" s="2" t="n"/>
    </row>
    <row r="165">
      <c r="A165" s="2" t="n"/>
      <c r="B165" s="2" t="n"/>
      <c r="C165" s="2" t="n"/>
      <c r="D165" s="8">
        <f>SUMIFS(Ingresos!I:I,Ingresos!D:D,"&gt;="&amp;DATE(C165,B165,1),Ingresos!D:D,"&lt;"&amp;EDATE(DATE(C165,B165,1),1))</f>
        <v/>
      </c>
      <c r="E165" s="8">
        <f>SUMIFS(Egresos!G:G,Egresos!B:B,"&gt;="&amp;DATE(C165,B165,1),Egresos!B:B,"&lt;"&amp;EDATE(DATE(C165,B165,1),1),Egresos!L:L,TRUE)</f>
        <v/>
      </c>
      <c r="F165" s="8">
        <f>MAX(D165-E165,0)</f>
        <v/>
      </c>
      <c r="G165" s="8">
        <f>SUMIFS(Ingresos!L:L,Ingresos!D:D,"&gt;="&amp;DATE(C165,B165,1),Ingresos!D:D,"&lt;"&amp;EDATE(DATE(C165,B165,1),1))</f>
        <v/>
      </c>
      <c r="H165" s="8" t="n"/>
      <c r="I165" s="8">
        <f>F165+G165+H165</f>
        <v/>
      </c>
      <c r="J165" s="2" t="n"/>
      <c r="K165" s="10" t="n"/>
      <c r="L165" s="2" t="n"/>
      <c r="M165" s="2" t="n"/>
    </row>
    <row r="166">
      <c r="A166" s="2" t="n"/>
      <c r="B166" s="2" t="n"/>
      <c r="C166" s="2" t="n"/>
      <c r="D166" s="8">
        <f>SUMIFS(Ingresos!I:I,Ingresos!D:D,"&gt;="&amp;DATE(C166,B166,1),Ingresos!D:D,"&lt;"&amp;EDATE(DATE(C166,B166,1),1))</f>
        <v/>
      </c>
      <c r="E166" s="8">
        <f>SUMIFS(Egresos!G:G,Egresos!B:B,"&gt;="&amp;DATE(C166,B166,1),Egresos!B:B,"&lt;"&amp;EDATE(DATE(C166,B166,1),1),Egresos!L:L,TRUE)</f>
        <v/>
      </c>
      <c r="F166" s="8">
        <f>MAX(D166-E166,0)</f>
        <v/>
      </c>
      <c r="G166" s="8">
        <f>SUMIFS(Ingresos!L:L,Ingresos!D:D,"&gt;="&amp;DATE(C166,B166,1),Ingresos!D:D,"&lt;"&amp;EDATE(DATE(C166,B166,1),1))</f>
        <v/>
      </c>
      <c r="H166" s="8" t="n"/>
      <c r="I166" s="8">
        <f>F166+G166+H166</f>
        <v/>
      </c>
      <c r="J166" s="2" t="n"/>
      <c r="K166" s="10" t="n"/>
      <c r="L166" s="2" t="n"/>
      <c r="M166" s="2" t="n"/>
    </row>
    <row r="167">
      <c r="A167" s="2" t="n"/>
      <c r="B167" s="2" t="n"/>
      <c r="C167" s="2" t="n"/>
      <c r="D167" s="8">
        <f>SUMIFS(Ingresos!I:I,Ingresos!D:D,"&gt;="&amp;DATE(C167,B167,1),Ingresos!D:D,"&lt;"&amp;EDATE(DATE(C167,B167,1),1))</f>
        <v/>
      </c>
      <c r="E167" s="8">
        <f>SUMIFS(Egresos!G:G,Egresos!B:B,"&gt;="&amp;DATE(C167,B167,1),Egresos!B:B,"&lt;"&amp;EDATE(DATE(C167,B167,1),1),Egresos!L:L,TRUE)</f>
        <v/>
      </c>
      <c r="F167" s="8">
        <f>MAX(D167-E167,0)</f>
        <v/>
      </c>
      <c r="G167" s="8">
        <f>SUMIFS(Ingresos!L:L,Ingresos!D:D,"&gt;="&amp;DATE(C167,B167,1),Ingresos!D:D,"&lt;"&amp;EDATE(DATE(C167,B167,1),1))</f>
        <v/>
      </c>
      <c r="H167" s="8" t="n"/>
      <c r="I167" s="8">
        <f>F167+G167+H167</f>
        <v/>
      </c>
      <c r="J167" s="2" t="n"/>
      <c r="K167" s="10" t="n"/>
      <c r="L167" s="2" t="n"/>
      <c r="M167" s="2" t="n"/>
    </row>
    <row r="168">
      <c r="A168" s="2" t="n"/>
      <c r="B168" s="2" t="n"/>
      <c r="C168" s="2" t="n"/>
      <c r="D168" s="8">
        <f>SUMIFS(Ingresos!I:I,Ingresos!D:D,"&gt;="&amp;DATE(C168,B168,1),Ingresos!D:D,"&lt;"&amp;EDATE(DATE(C168,B168,1),1))</f>
        <v/>
      </c>
      <c r="E168" s="8">
        <f>SUMIFS(Egresos!G:G,Egresos!B:B,"&gt;="&amp;DATE(C168,B168,1),Egresos!B:B,"&lt;"&amp;EDATE(DATE(C168,B168,1),1),Egresos!L:L,TRUE)</f>
        <v/>
      </c>
      <c r="F168" s="8">
        <f>MAX(D168-E168,0)</f>
        <v/>
      </c>
      <c r="G168" s="8">
        <f>SUMIFS(Ingresos!L:L,Ingresos!D:D,"&gt;="&amp;DATE(C168,B168,1),Ingresos!D:D,"&lt;"&amp;EDATE(DATE(C168,B168,1),1))</f>
        <v/>
      </c>
      <c r="H168" s="8" t="n"/>
      <c r="I168" s="8">
        <f>F168+G168+H168</f>
        <v/>
      </c>
      <c r="J168" s="2" t="n"/>
      <c r="K168" s="10" t="n"/>
      <c r="L168" s="2" t="n"/>
      <c r="M168" s="2" t="n"/>
    </row>
    <row r="169">
      <c r="A169" s="2" t="n"/>
      <c r="B169" s="2" t="n"/>
      <c r="C169" s="2" t="n"/>
      <c r="D169" s="8">
        <f>SUMIFS(Ingresos!I:I,Ingresos!D:D,"&gt;="&amp;DATE(C169,B169,1),Ingresos!D:D,"&lt;"&amp;EDATE(DATE(C169,B169,1),1))</f>
        <v/>
      </c>
      <c r="E169" s="8">
        <f>SUMIFS(Egresos!G:G,Egresos!B:B,"&gt;="&amp;DATE(C169,B169,1),Egresos!B:B,"&lt;"&amp;EDATE(DATE(C169,B169,1),1),Egresos!L:L,TRUE)</f>
        <v/>
      </c>
      <c r="F169" s="8">
        <f>MAX(D169-E169,0)</f>
        <v/>
      </c>
      <c r="G169" s="8">
        <f>SUMIFS(Ingresos!L:L,Ingresos!D:D,"&gt;="&amp;DATE(C169,B169,1),Ingresos!D:D,"&lt;"&amp;EDATE(DATE(C169,B169,1),1))</f>
        <v/>
      </c>
      <c r="H169" s="8" t="n"/>
      <c r="I169" s="8">
        <f>F169+G169+H169</f>
        <v/>
      </c>
      <c r="J169" s="2" t="n"/>
      <c r="K169" s="10" t="n"/>
      <c r="L169" s="2" t="n"/>
      <c r="M169" s="2" t="n"/>
    </row>
    <row r="170">
      <c r="A170" s="2" t="n"/>
      <c r="B170" s="2" t="n"/>
      <c r="C170" s="2" t="n"/>
      <c r="D170" s="8">
        <f>SUMIFS(Ingresos!I:I,Ingresos!D:D,"&gt;="&amp;DATE(C170,B170,1),Ingresos!D:D,"&lt;"&amp;EDATE(DATE(C170,B170,1),1))</f>
        <v/>
      </c>
      <c r="E170" s="8">
        <f>SUMIFS(Egresos!G:G,Egresos!B:B,"&gt;="&amp;DATE(C170,B170,1),Egresos!B:B,"&lt;"&amp;EDATE(DATE(C170,B170,1),1),Egresos!L:L,TRUE)</f>
        <v/>
      </c>
      <c r="F170" s="8">
        <f>MAX(D170-E170,0)</f>
        <v/>
      </c>
      <c r="G170" s="8">
        <f>SUMIFS(Ingresos!L:L,Ingresos!D:D,"&gt;="&amp;DATE(C170,B170,1),Ingresos!D:D,"&lt;"&amp;EDATE(DATE(C170,B170,1),1))</f>
        <v/>
      </c>
      <c r="H170" s="8" t="n"/>
      <c r="I170" s="8">
        <f>F170+G170+H170</f>
        <v/>
      </c>
      <c r="J170" s="2" t="n"/>
      <c r="K170" s="10" t="n"/>
      <c r="L170" s="2" t="n"/>
      <c r="M170" s="2" t="n"/>
    </row>
    <row r="171">
      <c r="A171" s="2" t="n"/>
      <c r="B171" s="2" t="n"/>
      <c r="C171" s="2" t="n"/>
      <c r="D171" s="8">
        <f>SUMIFS(Ingresos!I:I,Ingresos!D:D,"&gt;="&amp;DATE(C171,B171,1),Ingresos!D:D,"&lt;"&amp;EDATE(DATE(C171,B171,1),1))</f>
        <v/>
      </c>
      <c r="E171" s="8">
        <f>SUMIFS(Egresos!G:G,Egresos!B:B,"&gt;="&amp;DATE(C171,B171,1),Egresos!B:B,"&lt;"&amp;EDATE(DATE(C171,B171,1),1),Egresos!L:L,TRUE)</f>
        <v/>
      </c>
      <c r="F171" s="8">
        <f>MAX(D171-E171,0)</f>
        <v/>
      </c>
      <c r="G171" s="8">
        <f>SUMIFS(Ingresos!L:L,Ingresos!D:D,"&gt;="&amp;DATE(C171,B171,1),Ingresos!D:D,"&lt;"&amp;EDATE(DATE(C171,B171,1),1))</f>
        <v/>
      </c>
      <c r="H171" s="8" t="n"/>
      <c r="I171" s="8">
        <f>F171+G171+H171</f>
        <v/>
      </c>
      <c r="J171" s="2" t="n"/>
      <c r="K171" s="10" t="n"/>
      <c r="L171" s="2" t="n"/>
      <c r="M171" s="2" t="n"/>
    </row>
    <row r="172">
      <c r="A172" s="2" t="n"/>
      <c r="B172" s="2" t="n"/>
      <c r="C172" s="2" t="n"/>
      <c r="D172" s="8">
        <f>SUMIFS(Ingresos!I:I,Ingresos!D:D,"&gt;="&amp;DATE(C172,B172,1),Ingresos!D:D,"&lt;"&amp;EDATE(DATE(C172,B172,1),1))</f>
        <v/>
      </c>
      <c r="E172" s="8">
        <f>SUMIFS(Egresos!G:G,Egresos!B:B,"&gt;="&amp;DATE(C172,B172,1),Egresos!B:B,"&lt;"&amp;EDATE(DATE(C172,B172,1),1),Egresos!L:L,TRUE)</f>
        <v/>
      </c>
      <c r="F172" s="8">
        <f>MAX(D172-E172,0)</f>
        <v/>
      </c>
      <c r="G172" s="8">
        <f>SUMIFS(Ingresos!L:L,Ingresos!D:D,"&gt;="&amp;DATE(C172,B172,1),Ingresos!D:D,"&lt;"&amp;EDATE(DATE(C172,B172,1),1))</f>
        <v/>
      </c>
      <c r="H172" s="8" t="n"/>
      <c r="I172" s="8">
        <f>F172+G172+H172</f>
        <v/>
      </c>
      <c r="J172" s="2" t="n"/>
      <c r="K172" s="10" t="n"/>
      <c r="L172" s="2" t="n"/>
      <c r="M172" s="2" t="n"/>
    </row>
    <row r="173">
      <c r="A173" s="2" t="n"/>
      <c r="B173" s="2" t="n"/>
      <c r="C173" s="2" t="n"/>
      <c r="D173" s="8">
        <f>SUMIFS(Ingresos!I:I,Ingresos!D:D,"&gt;="&amp;DATE(C173,B173,1),Ingresos!D:D,"&lt;"&amp;EDATE(DATE(C173,B173,1),1))</f>
        <v/>
      </c>
      <c r="E173" s="8">
        <f>SUMIFS(Egresos!G:G,Egresos!B:B,"&gt;="&amp;DATE(C173,B173,1),Egresos!B:B,"&lt;"&amp;EDATE(DATE(C173,B173,1),1),Egresos!L:L,TRUE)</f>
        <v/>
      </c>
      <c r="F173" s="8">
        <f>MAX(D173-E173,0)</f>
        <v/>
      </c>
      <c r="G173" s="8">
        <f>SUMIFS(Ingresos!L:L,Ingresos!D:D,"&gt;="&amp;DATE(C173,B173,1),Ingresos!D:D,"&lt;"&amp;EDATE(DATE(C173,B173,1),1))</f>
        <v/>
      </c>
      <c r="H173" s="8" t="n"/>
      <c r="I173" s="8">
        <f>F173+G173+H173</f>
        <v/>
      </c>
      <c r="J173" s="2" t="n"/>
      <c r="K173" s="10" t="n"/>
      <c r="L173" s="2" t="n"/>
      <c r="M173" s="2" t="n"/>
    </row>
    <row r="174">
      <c r="A174" s="2" t="n"/>
      <c r="B174" s="2" t="n"/>
      <c r="C174" s="2" t="n"/>
      <c r="D174" s="8">
        <f>SUMIFS(Ingresos!I:I,Ingresos!D:D,"&gt;="&amp;DATE(C174,B174,1),Ingresos!D:D,"&lt;"&amp;EDATE(DATE(C174,B174,1),1))</f>
        <v/>
      </c>
      <c r="E174" s="8">
        <f>SUMIFS(Egresos!G:G,Egresos!B:B,"&gt;="&amp;DATE(C174,B174,1),Egresos!B:B,"&lt;"&amp;EDATE(DATE(C174,B174,1),1),Egresos!L:L,TRUE)</f>
        <v/>
      </c>
      <c r="F174" s="8">
        <f>MAX(D174-E174,0)</f>
        <v/>
      </c>
      <c r="G174" s="8">
        <f>SUMIFS(Ingresos!L:L,Ingresos!D:D,"&gt;="&amp;DATE(C174,B174,1),Ingresos!D:D,"&lt;"&amp;EDATE(DATE(C174,B174,1),1))</f>
        <v/>
      </c>
      <c r="H174" s="8" t="n"/>
      <c r="I174" s="8">
        <f>F174+G174+H174</f>
        <v/>
      </c>
      <c r="J174" s="2" t="n"/>
      <c r="K174" s="10" t="n"/>
      <c r="L174" s="2" t="n"/>
      <c r="M174" s="2" t="n"/>
    </row>
    <row r="175">
      <c r="A175" s="2" t="n"/>
      <c r="B175" s="2" t="n"/>
      <c r="C175" s="2" t="n"/>
      <c r="D175" s="8">
        <f>SUMIFS(Ingresos!I:I,Ingresos!D:D,"&gt;="&amp;DATE(C175,B175,1),Ingresos!D:D,"&lt;"&amp;EDATE(DATE(C175,B175,1),1))</f>
        <v/>
      </c>
      <c r="E175" s="8">
        <f>SUMIFS(Egresos!G:G,Egresos!B:B,"&gt;="&amp;DATE(C175,B175,1),Egresos!B:B,"&lt;"&amp;EDATE(DATE(C175,B175,1),1),Egresos!L:L,TRUE)</f>
        <v/>
      </c>
      <c r="F175" s="8">
        <f>MAX(D175-E175,0)</f>
        <v/>
      </c>
      <c r="G175" s="8">
        <f>SUMIFS(Ingresos!L:L,Ingresos!D:D,"&gt;="&amp;DATE(C175,B175,1),Ingresos!D:D,"&lt;"&amp;EDATE(DATE(C175,B175,1),1))</f>
        <v/>
      </c>
      <c r="H175" s="8" t="n"/>
      <c r="I175" s="8">
        <f>F175+G175+H175</f>
        <v/>
      </c>
      <c r="J175" s="2" t="n"/>
      <c r="K175" s="10" t="n"/>
      <c r="L175" s="2" t="n"/>
      <c r="M175" s="2" t="n"/>
    </row>
    <row r="176">
      <c r="A176" s="2" t="n"/>
      <c r="B176" s="2" t="n"/>
      <c r="C176" s="2" t="n"/>
      <c r="D176" s="8">
        <f>SUMIFS(Ingresos!I:I,Ingresos!D:D,"&gt;="&amp;DATE(C176,B176,1),Ingresos!D:D,"&lt;"&amp;EDATE(DATE(C176,B176,1),1))</f>
        <v/>
      </c>
      <c r="E176" s="8">
        <f>SUMIFS(Egresos!G:G,Egresos!B:B,"&gt;="&amp;DATE(C176,B176,1),Egresos!B:B,"&lt;"&amp;EDATE(DATE(C176,B176,1),1),Egresos!L:L,TRUE)</f>
        <v/>
      </c>
      <c r="F176" s="8">
        <f>MAX(D176-E176,0)</f>
        <v/>
      </c>
      <c r="G176" s="8">
        <f>SUMIFS(Ingresos!L:L,Ingresos!D:D,"&gt;="&amp;DATE(C176,B176,1),Ingresos!D:D,"&lt;"&amp;EDATE(DATE(C176,B176,1),1))</f>
        <v/>
      </c>
      <c r="H176" s="8" t="n"/>
      <c r="I176" s="8">
        <f>F176+G176+H176</f>
        <v/>
      </c>
      <c r="J176" s="2" t="n"/>
      <c r="K176" s="10" t="n"/>
      <c r="L176" s="2" t="n"/>
      <c r="M176" s="2" t="n"/>
    </row>
    <row r="177">
      <c r="A177" s="2" t="n"/>
      <c r="B177" s="2" t="n"/>
      <c r="C177" s="2" t="n"/>
      <c r="D177" s="8">
        <f>SUMIFS(Ingresos!I:I,Ingresos!D:D,"&gt;="&amp;DATE(C177,B177,1),Ingresos!D:D,"&lt;"&amp;EDATE(DATE(C177,B177,1),1))</f>
        <v/>
      </c>
      <c r="E177" s="8">
        <f>SUMIFS(Egresos!G:G,Egresos!B:B,"&gt;="&amp;DATE(C177,B177,1),Egresos!B:B,"&lt;"&amp;EDATE(DATE(C177,B177,1),1),Egresos!L:L,TRUE)</f>
        <v/>
      </c>
      <c r="F177" s="8">
        <f>MAX(D177-E177,0)</f>
        <v/>
      </c>
      <c r="G177" s="8">
        <f>SUMIFS(Ingresos!L:L,Ingresos!D:D,"&gt;="&amp;DATE(C177,B177,1),Ingresos!D:D,"&lt;"&amp;EDATE(DATE(C177,B177,1),1))</f>
        <v/>
      </c>
      <c r="H177" s="8" t="n"/>
      <c r="I177" s="8">
        <f>F177+G177+H177</f>
        <v/>
      </c>
      <c r="J177" s="2" t="n"/>
      <c r="K177" s="10" t="n"/>
      <c r="L177" s="2" t="n"/>
      <c r="M177" s="2" t="n"/>
    </row>
    <row r="178">
      <c r="A178" s="2" t="n"/>
      <c r="B178" s="2" t="n"/>
      <c r="C178" s="2" t="n"/>
      <c r="D178" s="8">
        <f>SUMIFS(Ingresos!I:I,Ingresos!D:D,"&gt;="&amp;DATE(C178,B178,1),Ingresos!D:D,"&lt;"&amp;EDATE(DATE(C178,B178,1),1))</f>
        <v/>
      </c>
      <c r="E178" s="8">
        <f>SUMIFS(Egresos!G:G,Egresos!B:B,"&gt;="&amp;DATE(C178,B178,1),Egresos!B:B,"&lt;"&amp;EDATE(DATE(C178,B178,1),1),Egresos!L:L,TRUE)</f>
        <v/>
      </c>
      <c r="F178" s="8">
        <f>MAX(D178-E178,0)</f>
        <v/>
      </c>
      <c r="G178" s="8">
        <f>SUMIFS(Ingresos!L:L,Ingresos!D:D,"&gt;="&amp;DATE(C178,B178,1),Ingresos!D:D,"&lt;"&amp;EDATE(DATE(C178,B178,1),1))</f>
        <v/>
      </c>
      <c r="H178" s="8" t="n"/>
      <c r="I178" s="8">
        <f>F178+G178+H178</f>
        <v/>
      </c>
      <c r="J178" s="2" t="n"/>
      <c r="K178" s="10" t="n"/>
      <c r="L178" s="2" t="n"/>
      <c r="M178" s="2" t="n"/>
    </row>
    <row r="179">
      <c r="A179" s="2" t="n"/>
      <c r="B179" s="2" t="n"/>
      <c r="C179" s="2" t="n"/>
      <c r="D179" s="8">
        <f>SUMIFS(Ingresos!I:I,Ingresos!D:D,"&gt;="&amp;DATE(C179,B179,1),Ingresos!D:D,"&lt;"&amp;EDATE(DATE(C179,B179,1),1))</f>
        <v/>
      </c>
      <c r="E179" s="8">
        <f>SUMIFS(Egresos!G:G,Egresos!B:B,"&gt;="&amp;DATE(C179,B179,1),Egresos!B:B,"&lt;"&amp;EDATE(DATE(C179,B179,1),1),Egresos!L:L,TRUE)</f>
        <v/>
      </c>
      <c r="F179" s="8">
        <f>MAX(D179-E179,0)</f>
        <v/>
      </c>
      <c r="G179" s="8">
        <f>SUMIFS(Ingresos!L:L,Ingresos!D:D,"&gt;="&amp;DATE(C179,B179,1),Ingresos!D:D,"&lt;"&amp;EDATE(DATE(C179,B179,1),1))</f>
        <v/>
      </c>
      <c r="H179" s="8" t="n"/>
      <c r="I179" s="8">
        <f>F179+G179+H179</f>
        <v/>
      </c>
      <c r="J179" s="2" t="n"/>
      <c r="K179" s="10" t="n"/>
      <c r="L179" s="2" t="n"/>
      <c r="M179" s="2" t="n"/>
    </row>
    <row r="180">
      <c r="A180" s="2" t="n"/>
      <c r="B180" s="2" t="n"/>
      <c r="C180" s="2" t="n"/>
      <c r="D180" s="8">
        <f>SUMIFS(Ingresos!I:I,Ingresos!D:D,"&gt;="&amp;DATE(C180,B180,1),Ingresos!D:D,"&lt;"&amp;EDATE(DATE(C180,B180,1),1))</f>
        <v/>
      </c>
      <c r="E180" s="8">
        <f>SUMIFS(Egresos!G:G,Egresos!B:B,"&gt;="&amp;DATE(C180,B180,1),Egresos!B:B,"&lt;"&amp;EDATE(DATE(C180,B180,1),1),Egresos!L:L,TRUE)</f>
        <v/>
      </c>
      <c r="F180" s="8">
        <f>MAX(D180-E180,0)</f>
        <v/>
      </c>
      <c r="G180" s="8">
        <f>SUMIFS(Ingresos!L:L,Ingresos!D:D,"&gt;="&amp;DATE(C180,B180,1),Ingresos!D:D,"&lt;"&amp;EDATE(DATE(C180,B180,1),1))</f>
        <v/>
      </c>
      <c r="H180" s="8" t="n"/>
      <c r="I180" s="8">
        <f>F180+G180+H180</f>
        <v/>
      </c>
      <c r="J180" s="2" t="n"/>
      <c r="K180" s="10" t="n"/>
      <c r="L180" s="2" t="n"/>
      <c r="M180" s="2" t="n"/>
    </row>
    <row r="181">
      <c r="A181" s="2" t="n"/>
      <c r="B181" s="2" t="n"/>
      <c r="C181" s="2" t="n"/>
      <c r="D181" s="8">
        <f>SUMIFS(Ingresos!I:I,Ingresos!D:D,"&gt;="&amp;DATE(C181,B181,1),Ingresos!D:D,"&lt;"&amp;EDATE(DATE(C181,B181,1),1))</f>
        <v/>
      </c>
      <c r="E181" s="8">
        <f>SUMIFS(Egresos!G:G,Egresos!B:B,"&gt;="&amp;DATE(C181,B181,1),Egresos!B:B,"&lt;"&amp;EDATE(DATE(C181,B181,1),1),Egresos!L:L,TRUE)</f>
        <v/>
      </c>
      <c r="F181" s="8">
        <f>MAX(D181-E181,0)</f>
        <v/>
      </c>
      <c r="G181" s="8">
        <f>SUMIFS(Ingresos!L:L,Ingresos!D:D,"&gt;="&amp;DATE(C181,B181,1),Ingresos!D:D,"&lt;"&amp;EDATE(DATE(C181,B181,1),1))</f>
        <v/>
      </c>
      <c r="H181" s="8" t="n"/>
      <c r="I181" s="8">
        <f>F181+G181+H181</f>
        <v/>
      </c>
      <c r="J181" s="2" t="n"/>
      <c r="K181" s="10" t="n"/>
      <c r="L181" s="2" t="n"/>
      <c r="M181" s="2" t="n"/>
    </row>
    <row r="182">
      <c r="A182" s="2" t="n"/>
      <c r="B182" s="2" t="n"/>
      <c r="C182" s="2" t="n"/>
      <c r="D182" s="8">
        <f>SUMIFS(Ingresos!I:I,Ingresos!D:D,"&gt;="&amp;DATE(C182,B182,1),Ingresos!D:D,"&lt;"&amp;EDATE(DATE(C182,B182,1),1))</f>
        <v/>
      </c>
      <c r="E182" s="8">
        <f>SUMIFS(Egresos!G:G,Egresos!B:B,"&gt;="&amp;DATE(C182,B182,1),Egresos!B:B,"&lt;"&amp;EDATE(DATE(C182,B182,1),1),Egresos!L:L,TRUE)</f>
        <v/>
      </c>
      <c r="F182" s="8">
        <f>MAX(D182-E182,0)</f>
        <v/>
      </c>
      <c r="G182" s="8">
        <f>SUMIFS(Ingresos!L:L,Ingresos!D:D,"&gt;="&amp;DATE(C182,B182,1),Ingresos!D:D,"&lt;"&amp;EDATE(DATE(C182,B182,1),1))</f>
        <v/>
      </c>
      <c r="H182" s="8" t="n"/>
      <c r="I182" s="8">
        <f>F182+G182+H182</f>
        <v/>
      </c>
      <c r="J182" s="2" t="n"/>
      <c r="K182" s="10" t="n"/>
      <c r="L182" s="2" t="n"/>
      <c r="M182" s="2" t="n"/>
    </row>
    <row r="183">
      <c r="A183" s="2" t="n"/>
      <c r="B183" s="2" t="n"/>
      <c r="C183" s="2" t="n"/>
      <c r="D183" s="8">
        <f>SUMIFS(Ingresos!I:I,Ingresos!D:D,"&gt;="&amp;DATE(C183,B183,1),Ingresos!D:D,"&lt;"&amp;EDATE(DATE(C183,B183,1),1))</f>
        <v/>
      </c>
      <c r="E183" s="8">
        <f>SUMIFS(Egresos!G:G,Egresos!B:B,"&gt;="&amp;DATE(C183,B183,1),Egresos!B:B,"&lt;"&amp;EDATE(DATE(C183,B183,1),1),Egresos!L:L,TRUE)</f>
        <v/>
      </c>
      <c r="F183" s="8">
        <f>MAX(D183-E183,0)</f>
        <v/>
      </c>
      <c r="G183" s="8">
        <f>SUMIFS(Ingresos!L:L,Ingresos!D:D,"&gt;="&amp;DATE(C183,B183,1),Ingresos!D:D,"&lt;"&amp;EDATE(DATE(C183,B183,1),1))</f>
        <v/>
      </c>
      <c r="H183" s="8" t="n"/>
      <c r="I183" s="8">
        <f>F183+G183+H183</f>
        <v/>
      </c>
      <c r="J183" s="2" t="n"/>
      <c r="K183" s="10" t="n"/>
      <c r="L183" s="2" t="n"/>
      <c r="M183" s="2" t="n"/>
    </row>
    <row r="184">
      <c r="A184" s="2" t="n"/>
      <c r="B184" s="2" t="n"/>
      <c r="C184" s="2" t="n"/>
      <c r="D184" s="8">
        <f>SUMIFS(Ingresos!I:I,Ingresos!D:D,"&gt;="&amp;DATE(C184,B184,1),Ingresos!D:D,"&lt;"&amp;EDATE(DATE(C184,B184,1),1))</f>
        <v/>
      </c>
      <c r="E184" s="8">
        <f>SUMIFS(Egresos!G:G,Egresos!B:B,"&gt;="&amp;DATE(C184,B184,1),Egresos!B:B,"&lt;"&amp;EDATE(DATE(C184,B184,1),1),Egresos!L:L,TRUE)</f>
        <v/>
      </c>
      <c r="F184" s="8">
        <f>MAX(D184-E184,0)</f>
        <v/>
      </c>
      <c r="G184" s="8">
        <f>SUMIFS(Ingresos!L:L,Ingresos!D:D,"&gt;="&amp;DATE(C184,B184,1),Ingresos!D:D,"&lt;"&amp;EDATE(DATE(C184,B184,1),1))</f>
        <v/>
      </c>
      <c r="H184" s="8" t="n"/>
      <c r="I184" s="8">
        <f>F184+G184+H184</f>
        <v/>
      </c>
      <c r="J184" s="2" t="n"/>
      <c r="K184" s="10" t="n"/>
      <c r="L184" s="2" t="n"/>
      <c r="M184" s="2" t="n"/>
    </row>
    <row r="185">
      <c r="A185" s="2" t="n"/>
      <c r="B185" s="2" t="n"/>
      <c r="C185" s="2" t="n"/>
      <c r="D185" s="8">
        <f>SUMIFS(Ingresos!I:I,Ingresos!D:D,"&gt;="&amp;DATE(C185,B185,1),Ingresos!D:D,"&lt;"&amp;EDATE(DATE(C185,B185,1),1))</f>
        <v/>
      </c>
      <c r="E185" s="8">
        <f>SUMIFS(Egresos!G:G,Egresos!B:B,"&gt;="&amp;DATE(C185,B185,1),Egresos!B:B,"&lt;"&amp;EDATE(DATE(C185,B185,1),1),Egresos!L:L,TRUE)</f>
        <v/>
      </c>
      <c r="F185" s="8">
        <f>MAX(D185-E185,0)</f>
        <v/>
      </c>
      <c r="G185" s="8">
        <f>SUMIFS(Ingresos!L:L,Ingresos!D:D,"&gt;="&amp;DATE(C185,B185,1),Ingresos!D:D,"&lt;"&amp;EDATE(DATE(C185,B185,1),1))</f>
        <v/>
      </c>
      <c r="H185" s="8" t="n"/>
      <c r="I185" s="8">
        <f>F185+G185+H185</f>
        <v/>
      </c>
      <c r="J185" s="2" t="n"/>
      <c r="K185" s="10" t="n"/>
      <c r="L185" s="2" t="n"/>
      <c r="M185" s="2" t="n"/>
    </row>
    <row r="186">
      <c r="A186" s="2" t="n"/>
      <c r="B186" s="2" t="n"/>
      <c r="C186" s="2" t="n"/>
      <c r="D186" s="8">
        <f>SUMIFS(Ingresos!I:I,Ingresos!D:D,"&gt;="&amp;DATE(C186,B186,1),Ingresos!D:D,"&lt;"&amp;EDATE(DATE(C186,B186,1),1))</f>
        <v/>
      </c>
      <c r="E186" s="8">
        <f>SUMIFS(Egresos!G:G,Egresos!B:B,"&gt;="&amp;DATE(C186,B186,1),Egresos!B:B,"&lt;"&amp;EDATE(DATE(C186,B186,1),1),Egresos!L:L,TRUE)</f>
        <v/>
      </c>
      <c r="F186" s="8">
        <f>MAX(D186-E186,0)</f>
        <v/>
      </c>
      <c r="G186" s="8">
        <f>SUMIFS(Ingresos!L:L,Ingresos!D:D,"&gt;="&amp;DATE(C186,B186,1),Ingresos!D:D,"&lt;"&amp;EDATE(DATE(C186,B186,1),1))</f>
        <v/>
      </c>
      <c r="H186" s="8" t="n"/>
      <c r="I186" s="8">
        <f>F186+G186+H186</f>
        <v/>
      </c>
      <c r="J186" s="2" t="n"/>
      <c r="K186" s="10" t="n"/>
      <c r="L186" s="2" t="n"/>
      <c r="M186" s="2" t="n"/>
    </row>
    <row r="187">
      <c r="A187" s="2" t="n"/>
      <c r="B187" s="2" t="n"/>
      <c r="C187" s="2" t="n"/>
      <c r="D187" s="8">
        <f>SUMIFS(Ingresos!I:I,Ingresos!D:D,"&gt;="&amp;DATE(C187,B187,1),Ingresos!D:D,"&lt;"&amp;EDATE(DATE(C187,B187,1),1))</f>
        <v/>
      </c>
      <c r="E187" s="8">
        <f>SUMIFS(Egresos!G:G,Egresos!B:B,"&gt;="&amp;DATE(C187,B187,1),Egresos!B:B,"&lt;"&amp;EDATE(DATE(C187,B187,1),1),Egresos!L:L,TRUE)</f>
        <v/>
      </c>
      <c r="F187" s="8">
        <f>MAX(D187-E187,0)</f>
        <v/>
      </c>
      <c r="G187" s="8">
        <f>SUMIFS(Ingresos!L:L,Ingresos!D:D,"&gt;="&amp;DATE(C187,B187,1),Ingresos!D:D,"&lt;"&amp;EDATE(DATE(C187,B187,1),1))</f>
        <v/>
      </c>
      <c r="H187" s="8" t="n"/>
      <c r="I187" s="8">
        <f>F187+G187+H187</f>
        <v/>
      </c>
      <c r="J187" s="2" t="n"/>
      <c r="K187" s="10" t="n"/>
      <c r="L187" s="2" t="n"/>
      <c r="M187" s="2" t="n"/>
    </row>
    <row r="188">
      <c r="A188" s="2" t="n"/>
      <c r="B188" s="2" t="n"/>
      <c r="C188" s="2" t="n"/>
      <c r="D188" s="8">
        <f>SUMIFS(Ingresos!I:I,Ingresos!D:D,"&gt;="&amp;DATE(C188,B188,1),Ingresos!D:D,"&lt;"&amp;EDATE(DATE(C188,B188,1),1))</f>
        <v/>
      </c>
      <c r="E188" s="8">
        <f>SUMIFS(Egresos!G:G,Egresos!B:B,"&gt;="&amp;DATE(C188,B188,1),Egresos!B:B,"&lt;"&amp;EDATE(DATE(C188,B188,1),1),Egresos!L:L,TRUE)</f>
        <v/>
      </c>
      <c r="F188" s="8">
        <f>MAX(D188-E188,0)</f>
        <v/>
      </c>
      <c r="G188" s="8">
        <f>SUMIFS(Ingresos!L:L,Ingresos!D:D,"&gt;="&amp;DATE(C188,B188,1),Ingresos!D:D,"&lt;"&amp;EDATE(DATE(C188,B188,1),1))</f>
        <v/>
      </c>
      <c r="H188" s="8" t="n"/>
      <c r="I188" s="8">
        <f>F188+G188+H188</f>
        <v/>
      </c>
      <c r="J188" s="2" t="n"/>
      <c r="K188" s="10" t="n"/>
      <c r="L188" s="2" t="n"/>
      <c r="M188" s="2" t="n"/>
    </row>
    <row r="189">
      <c r="A189" s="2" t="n"/>
      <c r="B189" s="2" t="n"/>
      <c r="C189" s="2" t="n"/>
      <c r="D189" s="8">
        <f>SUMIFS(Ingresos!I:I,Ingresos!D:D,"&gt;="&amp;DATE(C189,B189,1),Ingresos!D:D,"&lt;"&amp;EDATE(DATE(C189,B189,1),1))</f>
        <v/>
      </c>
      <c r="E189" s="8">
        <f>SUMIFS(Egresos!G:G,Egresos!B:B,"&gt;="&amp;DATE(C189,B189,1),Egresos!B:B,"&lt;"&amp;EDATE(DATE(C189,B189,1),1),Egresos!L:L,TRUE)</f>
        <v/>
      </c>
      <c r="F189" s="8">
        <f>MAX(D189-E189,0)</f>
        <v/>
      </c>
      <c r="G189" s="8">
        <f>SUMIFS(Ingresos!L:L,Ingresos!D:D,"&gt;="&amp;DATE(C189,B189,1),Ingresos!D:D,"&lt;"&amp;EDATE(DATE(C189,B189,1),1))</f>
        <v/>
      </c>
      <c r="H189" s="8" t="n"/>
      <c r="I189" s="8">
        <f>F189+G189+H189</f>
        <v/>
      </c>
      <c r="J189" s="2" t="n"/>
      <c r="K189" s="10" t="n"/>
      <c r="L189" s="2" t="n"/>
      <c r="M189" s="2" t="n"/>
    </row>
    <row r="190">
      <c r="A190" s="2" t="n"/>
      <c r="B190" s="2" t="n"/>
      <c r="C190" s="2" t="n"/>
      <c r="D190" s="8">
        <f>SUMIFS(Ingresos!I:I,Ingresos!D:D,"&gt;="&amp;DATE(C190,B190,1),Ingresos!D:D,"&lt;"&amp;EDATE(DATE(C190,B190,1),1))</f>
        <v/>
      </c>
      <c r="E190" s="8">
        <f>SUMIFS(Egresos!G:G,Egresos!B:B,"&gt;="&amp;DATE(C190,B190,1),Egresos!B:B,"&lt;"&amp;EDATE(DATE(C190,B190,1),1),Egresos!L:L,TRUE)</f>
        <v/>
      </c>
      <c r="F190" s="8">
        <f>MAX(D190-E190,0)</f>
        <v/>
      </c>
      <c r="G190" s="8">
        <f>SUMIFS(Ingresos!L:L,Ingresos!D:D,"&gt;="&amp;DATE(C190,B190,1),Ingresos!D:D,"&lt;"&amp;EDATE(DATE(C190,B190,1),1))</f>
        <v/>
      </c>
      <c r="H190" s="8" t="n"/>
      <c r="I190" s="8">
        <f>F190+G190+H190</f>
        <v/>
      </c>
      <c r="J190" s="2" t="n"/>
      <c r="K190" s="10" t="n"/>
      <c r="L190" s="2" t="n"/>
      <c r="M190" s="2" t="n"/>
    </row>
    <row r="191">
      <c r="A191" s="2" t="n"/>
      <c r="B191" s="2" t="n"/>
      <c r="C191" s="2" t="n"/>
      <c r="D191" s="8">
        <f>SUMIFS(Ingresos!I:I,Ingresos!D:D,"&gt;="&amp;DATE(C191,B191,1),Ingresos!D:D,"&lt;"&amp;EDATE(DATE(C191,B191,1),1))</f>
        <v/>
      </c>
      <c r="E191" s="8">
        <f>SUMIFS(Egresos!G:G,Egresos!B:B,"&gt;="&amp;DATE(C191,B191,1),Egresos!B:B,"&lt;"&amp;EDATE(DATE(C191,B191,1),1),Egresos!L:L,TRUE)</f>
        <v/>
      </c>
      <c r="F191" s="8">
        <f>MAX(D191-E191,0)</f>
        <v/>
      </c>
      <c r="G191" s="8">
        <f>SUMIFS(Ingresos!L:L,Ingresos!D:D,"&gt;="&amp;DATE(C191,B191,1),Ingresos!D:D,"&lt;"&amp;EDATE(DATE(C191,B191,1),1))</f>
        <v/>
      </c>
      <c r="H191" s="8" t="n"/>
      <c r="I191" s="8">
        <f>F191+G191+H191</f>
        <v/>
      </c>
      <c r="J191" s="2" t="n"/>
      <c r="K191" s="10" t="n"/>
      <c r="L191" s="2" t="n"/>
      <c r="M191" s="2" t="n"/>
    </row>
    <row r="192">
      <c r="A192" s="2" t="n"/>
      <c r="B192" s="2" t="n"/>
      <c r="C192" s="2" t="n"/>
      <c r="D192" s="8">
        <f>SUMIFS(Ingresos!I:I,Ingresos!D:D,"&gt;="&amp;DATE(C192,B192,1),Ingresos!D:D,"&lt;"&amp;EDATE(DATE(C192,B192,1),1))</f>
        <v/>
      </c>
      <c r="E192" s="8">
        <f>SUMIFS(Egresos!G:G,Egresos!B:B,"&gt;="&amp;DATE(C192,B192,1),Egresos!B:B,"&lt;"&amp;EDATE(DATE(C192,B192,1),1),Egresos!L:L,TRUE)</f>
        <v/>
      </c>
      <c r="F192" s="8">
        <f>MAX(D192-E192,0)</f>
        <v/>
      </c>
      <c r="G192" s="8">
        <f>SUMIFS(Ingresos!L:L,Ingresos!D:D,"&gt;="&amp;DATE(C192,B192,1),Ingresos!D:D,"&lt;"&amp;EDATE(DATE(C192,B192,1),1))</f>
        <v/>
      </c>
      <c r="H192" s="8" t="n"/>
      <c r="I192" s="8">
        <f>F192+G192+H192</f>
        <v/>
      </c>
      <c r="J192" s="2" t="n"/>
      <c r="K192" s="10" t="n"/>
      <c r="L192" s="2" t="n"/>
      <c r="M192" s="2" t="n"/>
    </row>
    <row r="193">
      <c r="A193" s="2" t="n"/>
      <c r="B193" s="2" t="n"/>
      <c r="C193" s="2" t="n"/>
      <c r="D193" s="8">
        <f>SUMIFS(Ingresos!I:I,Ingresos!D:D,"&gt;="&amp;DATE(C193,B193,1),Ingresos!D:D,"&lt;"&amp;EDATE(DATE(C193,B193,1),1))</f>
        <v/>
      </c>
      <c r="E193" s="8">
        <f>SUMIFS(Egresos!G:G,Egresos!B:B,"&gt;="&amp;DATE(C193,B193,1),Egresos!B:B,"&lt;"&amp;EDATE(DATE(C193,B193,1),1),Egresos!L:L,TRUE)</f>
        <v/>
      </c>
      <c r="F193" s="8">
        <f>MAX(D193-E193,0)</f>
        <v/>
      </c>
      <c r="G193" s="8">
        <f>SUMIFS(Ingresos!L:L,Ingresos!D:D,"&gt;="&amp;DATE(C193,B193,1),Ingresos!D:D,"&lt;"&amp;EDATE(DATE(C193,B193,1),1))</f>
        <v/>
      </c>
      <c r="H193" s="8" t="n"/>
      <c r="I193" s="8">
        <f>F193+G193+H193</f>
        <v/>
      </c>
      <c r="J193" s="2" t="n"/>
      <c r="K193" s="10" t="n"/>
      <c r="L193" s="2" t="n"/>
      <c r="M193" s="2" t="n"/>
    </row>
    <row r="194">
      <c r="A194" s="2" t="n"/>
      <c r="B194" s="2" t="n"/>
      <c r="C194" s="2" t="n"/>
      <c r="D194" s="8">
        <f>SUMIFS(Ingresos!I:I,Ingresos!D:D,"&gt;="&amp;DATE(C194,B194,1),Ingresos!D:D,"&lt;"&amp;EDATE(DATE(C194,B194,1),1))</f>
        <v/>
      </c>
      <c r="E194" s="8">
        <f>SUMIFS(Egresos!G:G,Egresos!B:B,"&gt;="&amp;DATE(C194,B194,1),Egresos!B:B,"&lt;"&amp;EDATE(DATE(C194,B194,1),1),Egresos!L:L,TRUE)</f>
        <v/>
      </c>
      <c r="F194" s="8">
        <f>MAX(D194-E194,0)</f>
        <v/>
      </c>
      <c r="G194" s="8">
        <f>SUMIFS(Ingresos!L:L,Ingresos!D:D,"&gt;="&amp;DATE(C194,B194,1),Ingresos!D:D,"&lt;"&amp;EDATE(DATE(C194,B194,1),1))</f>
        <v/>
      </c>
      <c r="H194" s="8" t="n"/>
      <c r="I194" s="8">
        <f>F194+G194+H194</f>
        <v/>
      </c>
      <c r="J194" s="2" t="n"/>
      <c r="K194" s="10" t="n"/>
      <c r="L194" s="2" t="n"/>
      <c r="M194" s="2" t="n"/>
    </row>
    <row r="195">
      <c r="A195" s="2" t="n"/>
      <c r="B195" s="2" t="n"/>
      <c r="C195" s="2" t="n"/>
      <c r="D195" s="8">
        <f>SUMIFS(Ingresos!I:I,Ingresos!D:D,"&gt;="&amp;DATE(C195,B195,1),Ingresos!D:D,"&lt;"&amp;EDATE(DATE(C195,B195,1),1))</f>
        <v/>
      </c>
      <c r="E195" s="8">
        <f>SUMIFS(Egresos!G:G,Egresos!B:B,"&gt;="&amp;DATE(C195,B195,1),Egresos!B:B,"&lt;"&amp;EDATE(DATE(C195,B195,1),1),Egresos!L:L,TRUE)</f>
        <v/>
      </c>
      <c r="F195" s="8">
        <f>MAX(D195-E195,0)</f>
        <v/>
      </c>
      <c r="G195" s="8">
        <f>SUMIFS(Ingresos!L:L,Ingresos!D:D,"&gt;="&amp;DATE(C195,B195,1),Ingresos!D:D,"&lt;"&amp;EDATE(DATE(C195,B195,1),1))</f>
        <v/>
      </c>
      <c r="H195" s="8" t="n"/>
      <c r="I195" s="8">
        <f>F195+G195+H195</f>
        <v/>
      </c>
      <c r="J195" s="2" t="n"/>
      <c r="K195" s="10" t="n"/>
      <c r="L195" s="2" t="n"/>
      <c r="M195" s="2" t="n"/>
    </row>
    <row r="196">
      <c r="A196" s="2" t="n"/>
      <c r="B196" s="2" t="n"/>
      <c r="C196" s="2" t="n"/>
      <c r="D196" s="8">
        <f>SUMIFS(Ingresos!I:I,Ingresos!D:D,"&gt;="&amp;DATE(C196,B196,1),Ingresos!D:D,"&lt;"&amp;EDATE(DATE(C196,B196,1),1))</f>
        <v/>
      </c>
      <c r="E196" s="8">
        <f>SUMIFS(Egresos!G:G,Egresos!B:B,"&gt;="&amp;DATE(C196,B196,1),Egresos!B:B,"&lt;"&amp;EDATE(DATE(C196,B196,1),1),Egresos!L:L,TRUE)</f>
        <v/>
      </c>
      <c r="F196" s="8">
        <f>MAX(D196-E196,0)</f>
        <v/>
      </c>
      <c r="G196" s="8">
        <f>SUMIFS(Ingresos!L:L,Ingresos!D:D,"&gt;="&amp;DATE(C196,B196,1),Ingresos!D:D,"&lt;"&amp;EDATE(DATE(C196,B196,1),1))</f>
        <v/>
      </c>
      <c r="H196" s="8" t="n"/>
      <c r="I196" s="8">
        <f>F196+G196+H196</f>
        <v/>
      </c>
      <c r="J196" s="2" t="n"/>
      <c r="K196" s="10" t="n"/>
      <c r="L196" s="2" t="n"/>
      <c r="M196" s="2" t="n"/>
    </row>
    <row r="197">
      <c r="A197" s="2" t="n"/>
      <c r="B197" s="2" t="n"/>
      <c r="C197" s="2" t="n"/>
      <c r="D197" s="8">
        <f>SUMIFS(Ingresos!I:I,Ingresos!D:D,"&gt;="&amp;DATE(C197,B197,1),Ingresos!D:D,"&lt;"&amp;EDATE(DATE(C197,B197,1),1))</f>
        <v/>
      </c>
      <c r="E197" s="8">
        <f>SUMIFS(Egresos!G:G,Egresos!B:B,"&gt;="&amp;DATE(C197,B197,1),Egresos!B:B,"&lt;"&amp;EDATE(DATE(C197,B197,1),1),Egresos!L:L,TRUE)</f>
        <v/>
      </c>
      <c r="F197" s="8">
        <f>MAX(D197-E197,0)</f>
        <v/>
      </c>
      <c r="G197" s="8">
        <f>SUMIFS(Ingresos!L:L,Ingresos!D:D,"&gt;="&amp;DATE(C197,B197,1),Ingresos!D:D,"&lt;"&amp;EDATE(DATE(C197,B197,1),1))</f>
        <v/>
      </c>
      <c r="H197" s="8" t="n"/>
      <c r="I197" s="8">
        <f>F197+G197+H197</f>
        <v/>
      </c>
      <c r="J197" s="2" t="n"/>
      <c r="K197" s="10" t="n"/>
      <c r="L197" s="2" t="n"/>
      <c r="M197" s="2" t="n"/>
    </row>
    <row r="198">
      <c r="A198" s="2" t="n"/>
      <c r="B198" s="2" t="n"/>
      <c r="C198" s="2" t="n"/>
      <c r="D198" s="8">
        <f>SUMIFS(Ingresos!I:I,Ingresos!D:D,"&gt;="&amp;DATE(C198,B198,1),Ingresos!D:D,"&lt;"&amp;EDATE(DATE(C198,B198,1),1))</f>
        <v/>
      </c>
      <c r="E198" s="8">
        <f>SUMIFS(Egresos!G:G,Egresos!B:B,"&gt;="&amp;DATE(C198,B198,1),Egresos!B:B,"&lt;"&amp;EDATE(DATE(C198,B198,1),1),Egresos!L:L,TRUE)</f>
        <v/>
      </c>
      <c r="F198" s="8">
        <f>MAX(D198-E198,0)</f>
        <v/>
      </c>
      <c r="G198" s="8">
        <f>SUMIFS(Ingresos!L:L,Ingresos!D:D,"&gt;="&amp;DATE(C198,B198,1),Ingresos!D:D,"&lt;"&amp;EDATE(DATE(C198,B198,1),1))</f>
        <v/>
      </c>
      <c r="H198" s="8" t="n"/>
      <c r="I198" s="8">
        <f>F198+G198+H198</f>
        <v/>
      </c>
      <c r="J198" s="2" t="n"/>
      <c r="K198" s="10" t="n"/>
      <c r="L198" s="2" t="n"/>
      <c r="M198" s="2" t="n"/>
    </row>
    <row r="199">
      <c r="A199" s="2" t="n"/>
      <c r="B199" s="2" t="n"/>
      <c r="C199" s="2" t="n"/>
      <c r="D199" s="8">
        <f>SUMIFS(Ingresos!I:I,Ingresos!D:D,"&gt;="&amp;DATE(C199,B199,1),Ingresos!D:D,"&lt;"&amp;EDATE(DATE(C199,B199,1),1))</f>
        <v/>
      </c>
      <c r="E199" s="8">
        <f>SUMIFS(Egresos!G:G,Egresos!B:B,"&gt;="&amp;DATE(C199,B199,1),Egresos!B:B,"&lt;"&amp;EDATE(DATE(C199,B199,1),1),Egresos!L:L,TRUE)</f>
        <v/>
      </c>
      <c r="F199" s="8">
        <f>MAX(D199-E199,0)</f>
        <v/>
      </c>
      <c r="G199" s="8">
        <f>SUMIFS(Ingresos!L:L,Ingresos!D:D,"&gt;="&amp;DATE(C199,B199,1),Ingresos!D:D,"&lt;"&amp;EDATE(DATE(C199,B199,1),1))</f>
        <v/>
      </c>
      <c r="H199" s="8" t="n"/>
      <c r="I199" s="8">
        <f>F199+G199+H199</f>
        <v/>
      </c>
      <c r="J199" s="2" t="n"/>
      <c r="K199" s="10" t="n"/>
      <c r="L199" s="2" t="n"/>
      <c r="M199" s="2" t="n"/>
    </row>
    <row r="200">
      <c r="A200" s="2" t="n"/>
      <c r="B200" s="2" t="n"/>
      <c r="C200" s="2" t="n"/>
      <c r="D200" s="8">
        <f>SUMIFS(Ingresos!I:I,Ingresos!D:D,"&gt;="&amp;DATE(C200,B200,1),Ingresos!D:D,"&lt;"&amp;EDATE(DATE(C200,B200,1),1))</f>
        <v/>
      </c>
      <c r="E200" s="8">
        <f>SUMIFS(Egresos!G:G,Egresos!B:B,"&gt;="&amp;DATE(C200,B200,1),Egresos!B:B,"&lt;"&amp;EDATE(DATE(C200,B200,1),1),Egresos!L:L,TRUE)</f>
        <v/>
      </c>
      <c r="F200" s="8">
        <f>MAX(D200-E200,0)</f>
        <v/>
      </c>
      <c r="G200" s="8">
        <f>SUMIFS(Ingresos!L:L,Ingresos!D:D,"&gt;="&amp;DATE(C200,B200,1),Ingresos!D:D,"&lt;"&amp;EDATE(DATE(C200,B200,1),1))</f>
        <v/>
      </c>
      <c r="H200" s="8" t="n"/>
      <c r="I200" s="8">
        <f>F200+G200+H200</f>
        <v/>
      </c>
      <c r="J200" s="2" t="n"/>
      <c r="K200" s="10" t="n"/>
      <c r="L200" s="2" t="n"/>
      <c r="M200" s="2" t="n"/>
    </row>
    <row r="201">
      <c r="A201" s="2" t="n"/>
      <c r="B201" s="2" t="n"/>
      <c r="C201" s="2" t="n"/>
      <c r="D201" s="8">
        <f>SUMIFS(Ingresos!I:I,Ingresos!D:D,"&gt;="&amp;DATE(C201,B201,1),Ingresos!D:D,"&lt;"&amp;EDATE(DATE(C201,B201,1),1))</f>
        <v/>
      </c>
      <c r="E201" s="8">
        <f>SUMIFS(Egresos!G:G,Egresos!B:B,"&gt;="&amp;DATE(C201,B201,1),Egresos!B:B,"&lt;"&amp;EDATE(DATE(C201,B201,1),1),Egresos!L:L,TRUE)</f>
        <v/>
      </c>
      <c r="F201" s="8">
        <f>MAX(D201-E201,0)</f>
        <v/>
      </c>
      <c r="G201" s="8">
        <f>SUMIFS(Ingresos!L:L,Ingresos!D:D,"&gt;="&amp;DATE(C201,B201,1),Ingresos!D:D,"&lt;"&amp;EDATE(DATE(C201,B201,1),1))</f>
        <v/>
      </c>
      <c r="H201" s="8" t="n"/>
      <c r="I201" s="8">
        <f>F201+G201+H201</f>
        <v/>
      </c>
      <c r="J201" s="2" t="n"/>
      <c r="K201" s="10" t="n"/>
      <c r="L201" s="2" t="n"/>
      <c r="M201" s="2" t="n"/>
    </row>
    <row r="202">
      <c r="A202" s="2" t="n"/>
      <c r="B202" s="2" t="n"/>
      <c r="C202" s="2" t="n"/>
      <c r="D202" s="8">
        <f>SUMIFS(Ingresos!I:I,Ingresos!D:D,"&gt;="&amp;DATE(C202,B202,1),Ingresos!D:D,"&lt;"&amp;EDATE(DATE(C202,B202,1),1))</f>
        <v/>
      </c>
      <c r="E202" s="8">
        <f>SUMIFS(Egresos!G:G,Egresos!B:B,"&gt;="&amp;DATE(C202,B202,1),Egresos!B:B,"&lt;"&amp;EDATE(DATE(C202,B202,1),1),Egresos!L:L,TRUE)</f>
        <v/>
      </c>
      <c r="F202" s="8">
        <f>MAX(D202-E202,0)</f>
        <v/>
      </c>
      <c r="G202" s="8">
        <f>SUMIFS(Ingresos!L:L,Ingresos!D:D,"&gt;="&amp;DATE(C202,B202,1),Ingresos!D:D,"&lt;"&amp;EDATE(DATE(C202,B202,1),1))</f>
        <v/>
      </c>
      <c r="H202" s="8" t="n"/>
      <c r="I202" s="8">
        <f>F202+G202+H202</f>
        <v/>
      </c>
      <c r="J202" s="2" t="n"/>
      <c r="K202" s="10" t="n"/>
      <c r="L202" s="2" t="n"/>
      <c r="M202" s="2" t="n"/>
    </row>
    <row r="203">
      <c r="A203" s="2" t="n"/>
      <c r="B203" s="2" t="n"/>
      <c r="C203" s="2" t="n"/>
      <c r="D203" s="8">
        <f>SUMIFS(Ingresos!I:I,Ingresos!D:D,"&gt;="&amp;DATE(C203,B203,1),Ingresos!D:D,"&lt;"&amp;EDATE(DATE(C203,B203,1),1))</f>
        <v/>
      </c>
      <c r="E203" s="8">
        <f>SUMIFS(Egresos!G:G,Egresos!B:B,"&gt;="&amp;DATE(C203,B203,1),Egresos!B:B,"&lt;"&amp;EDATE(DATE(C203,B203,1),1),Egresos!L:L,TRUE)</f>
        <v/>
      </c>
      <c r="F203" s="8">
        <f>MAX(D203-E203,0)</f>
        <v/>
      </c>
      <c r="G203" s="8">
        <f>SUMIFS(Ingresos!L:L,Ingresos!D:D,"&gt;="&amp;DATE(C203,B203,1),Ingresos!D:D,"&lt;"&amp;EDATE(DATE(C203,B203,1),1))</f>
        <v/>
      </c>
      <c r="H203" s="8" t="n"/>
      <c r="I203" s="8">
        <f>F203+G203+H203</f>
        <v/>
      </c>
      <c r="J203" s="2" t="n"/>
      <c r="K203" s="10" t="n"/>
      <c r="L203" s="2" t="n"/>
      <c r="M203" s="2" t="n"/>
    </row>
    <row r="204">
      <c r="A204" s="2" t="n"/>
      <c r="B204" s="2" t="n"/>
      <c r="C204" s="2" t="n"/>
      <c r="D204" s="8">
        <f>SUMIFS(Ingresos!I:I,Ingresos!D:D,"&gt;="&amp;DATE(C204,B204,1),Ingresos!D:D,"&lt;"&amp;EDATE(DATE(C204,B204,1),1))</f>
        <v/>
      </c>
      <c r="E204" s="8">
        <f>SUMIFS(Egresos!G:G,Egresos!B:B,"&gt;="&amp;DATE(C204,B204,1),Egresos!B:B,"&lt;"&amp;EDATE(DATE(C204,B204,1),1),Egresos!L:L,TRUE)</f>
        <v/>
      </c>
      <c r="F204" s="8">
        <f>MAX(D204-E204,0)</f>
        <v/>
      </c>
      <c r="G204" s="8">
        <f>SUMIFS(Ingresos!L:L,Ingresos!D:D,"&gt;="&amp;DATE(C204,B204,1),Ingresos!D:D,"&lt;"&amp;EDATE(DATE(C204,B204,1),1))</f>
        <v/>
      </c>
      <c r="H204" s="8" t="n"/>
      <c r="I204" s="8">
        <f>F204+G204+H204</f>
        <v/>
      </c>
      <c r="J204" s="2" t="n"/>
      <c r="K204" s="10" t="n"/>
      <c r="L204" s="2" t="n"/>
      <c r="M204" s="2" t="n"/>
    </row>
    <row r="205">
      <c r="A205" s="2" t="n"/>
      <c r="B205" s="2" t="n"/>
      <c r="C205" s="2" t="n"/>
      <c r="D205" s="8">
        <f>SUMIFS(Ingresos!I:I,Ingresos!D:D,"&gt;="&amp;DATE(C205,B205,1),Ingresos!D:D,"&lt;"&amp;EDATE(DATE(C205,B205,1),1))</f>
        <v/>
      </c>
      <c r="E205" s="8">
        <f>SUMIFS(Egresos!G:G,Egresos!B:B,"&gt;="&amp;DATE(C205,B205,1),Egresos!B:B,"&lt;"&amp;EDATE(DATE(C205,B205,1),1),Egresos!L:L,TRUE)</f>
        <v/>
      </c>
      <c r="F205" s="8">
        <f>MAX(D205-E205,0)</f>
        <v/>
      </c>
      <c r="G205" s="8">
        <f>SUMIFS(Ingresos!L:L,Ingresos!D:D,"&gt;="&amp;DATE(C205,B205,1),Ingresos!D:D,"&lt;"&amp;EDATE(DATE(C205,B205,1),1))</f>
        <v/>
      </c>
      <c r="H205" s="8" t="n"/>
      <c r="I205" s="8">
        <f>F205+G205+H205</f>
        <v/>
      </c>
      <c r="J205" s="2" t="n"/>
      <c r="K205" s="10" t="n"/>
      <c r="L205" s="2" t="n"/>
      <c r="M205" s="2" t="n"/>
    </row>
    <row r="206">
      <c r="A206" s="2" t="n"/>
      <c r="B206" s="2" t="n"/>
      <c r="C206" s="2" t="n"/>
      <c r="D206" s="8">
        <f>SUMIFS(Ingresos!I:I,Ingresos!D:D,"&gt;="&amp;DATE(C206,B206,1),Ingresos!D:D,"&lt;"&amp;EDATE(DATE(C206,B206,1),1))</f>
        <v/>
      </c>
      <c r="E206" s="8">
        <f>SUMIFS(Egresos!G:G,Egresos!B:B,"&gt;="&amp;DATE(C206,B206,1),Egresos!B:B,"&lt;"&amp;EDATE(DATE(C206,B206,1),1),Egresos!L:L,TRUE)</f>
        <v/>
      </c>
      <c r="F206" s="8">
        <f>MAX(D206-E206,0)</f>
        <v/>
      </c>
      <c r="G206" s="8">
        <f>SUMIFS(Ingresos!L:L,Ingresos!D:D,"&gt;="&amp;DATE(C206,B206,1),Ingresos!D:D,"&lt;"&amp;EDATE(DATE(C206,B206,1),1))</f>
        <v/>
      </c>
      <c r="H206" s="8" t="n"/>
      <c r="I206" s="8">
        <f>F206+G206+H206</f>
        <v/>
      </c>
      <c r="J206" s="2" t="n"/>
      <c r="K206" s="10" t="n"/>
      <c r="L206" s="2" t="n"/>
      <c r="M206" s="2" t="n"/>
    </row>
    <row r="207">
      <c r="A207" s="2" t="n"/>
      <c r="B207" s="2" t="n"/>
      <c r="C207" s="2" t="n"/>
      <c r="D207" s="8">
        <f>SUMIFS(Ingresos!I:I,Ingresos!D:D,"&gt;="&amp;DATE(C207,B207,1),Ingresos!D:D,"&lt;"&amp;EDATE(DATE(C207,B207,1),1))</f>
        <v/>
      </c>
      <c r="E207" s="8">
        <f>SUMIFS(Egresos!G:G,Egresos!B:B,"&gt;="&amp;DATE(C207,B207,1),Egresos!B:B,"&lt;"&amp;EDATE(DATE(C207,B207,1),1),Egresos!L:L,TRUE)</f>
        <v/>
      </c>
      <c r="F207" s="8">
        <f>MAX(D207-E207,0)</f>
        <v/>
      </c>
      <c r="G207" s="8">
        <f>SUMIFS(Ingresos!L:L,Ingresos!D:D,"&gt;="&amp;DATE(C207,B207,1),Ingresos!D:D,"&lt;"&amp;EDATE(DATE(C207,B207,1),1))</f>
        <v/>
      </c>
      <c r="H207" s="8" t="n"/>
      <c r="I207" s="8">
        <f>F207+G207+H207</f>
        <v/>
      </c>
      <c r="J207" s="2" t="n"/>
      <c r="K207" s="10" t="n"/>
      <c r="L207" s="2" t="n"/>
      <c r="M207" s="2" t="n"/>
    </row>
    <row r="208">
      <c r="A208" s="2" t="n"/>
      <c r="B208" s="2" t="n"/>
      <c r="C208" s="2" t="n"/>
      <c r="D208" s="8">
        <f>SUMIFS(Ingresos!I:I,Ingresos!D:D,"&gt;="&amp;DATE(C208,B208,1),Ingresos!D:D,"&lt;"&amp;EDATE(DATE(C208,B208,1),1))</f>
        <v/>
      </c>
      <c r="E208" s="8">
        <f>SUMIFS(Egresos!G:G,Egresos!B:B,"&gt;="&amp;DATE(C208,B208,1),Egresos!B:B,"&lt;"&amp;EDATE(DATE(C208,B208,1),1),Egresos!L:L,TRUE)</f>
        <v/>
      </c>
      <c r="F208" s="8">
        <f>MAX(D208-E208,0)</f>
        <v/>
      </c>
      <c r="G208" s="8">
        <f>SUMIFS(Ingresos!L:L,Ingresos!D:D,"&gt;="&amp;DATE(C208,B208,1),Ingresos!D:D,"&lt;"&amp;EDATE(DATE(C208,B208,1),1))</f>
        <v/>
      </c>
      <c r="H208" s="8" t="n"/>
      <c r="I208" s="8">
        <f>F208+G208+H208</f>
        <v/>
      </c>
      <c r="J208" s="2" t="n"/>
      <c r="K208" s="10" t="n"/>
      <c r="L208" s="2" t="n"/>
      <c r="M208" s="2" t="n"/>
    </row>
    <row r="209">
      <c r="A209" s="2" t="n"/>
      <c r="B209" s="2" t="n"/>
      <c r="C209" s="2" t="n"/>
      <c r="D209" s="8">
        <f>SUMIFS(Ingresos!I:I,Ingresos!D:D,"&gt;="&amp;DATE(C209,B209,1),Ingresos!D:D,"&lt;"&amp;EDATE(DATE(C209,B209,1),1))</f>
        <v/>
      </c>
      <c r="E209" s="8">
        <f>SUMIFS(Egresos!G:G,Egresos!B:B,"&gt;="&amp;DATE(C209,B209,1),Egresos!B:B,"&lt;"&amp;EDATE(DATE(C209,B209,1),1),Egresos!L:L,TRUE)</f>
        <v/>
      </c>
      <c r="F209" s="8">
        <f>MAX(D209-E209,0)</f>
        <v/>
      </c>
      <c r="G209" s="8">
        <f>SUMIFS(Ingresos!L:L,Ingresos!D:D,"&gt;="&amp;DATE(C209,B209,1),Ingresos!D:D,"&lt;"&amp;EDATE(DATE(C209,B209,1),1))</f>
        <v/>
      </c>
      <c r="H209" s="8" t="n"/>
      <c r="I209" s="8">
        <f>F209+G209+H209</f>
        <v/>
      </c>
      <c r="J209" s="2" t="n"/>
      <c r="K209" s="10" t="n"/>
      <c r="L209" s="2" t="n"/>
      <c r="M209" s="2" t="n"/>
    </row>
    <row r="210">
      <c r="A210" s="2" t="n"/>
      <c r="B210" s="2" t="n"/>
      <c r="C210" s="2" t="n"/>
      <c r="D210" s="8">
        <f>SUMIFS(Ingresos!I:I,Ingresos!D:D,"&gt;="&amp;DATE(C210,B210,1),Ingresos!D:D,"&lt;"&amp;EDATE(DATE(C210,B210,1),1))</f>
        <v/>
      </c>
      <c r="E210" s="8">
        <f>SUMIFS(Egresos!G:G,Egresos!B:B,"&gt;="&amp;DATE(C210,B210,1),Egresos!B:B,"&lt;"&amp;EDATE(DATE(C210,B210,1),1),Egresos!L:L,TRUE)</f>
        <v/>
      </c>
      <c r="F210" s="8">
        <f>MAX(D210-E210,0)</f>
        <v/>
      </c>
      <c r="G210" s="8">
        <f>SUMIFS(Ingresos!L:L,Ingresos!D:D,"&gt;="&amp;DATE(C210,B210,1),Ingresos!D:D,"&lt;"&amp;EDATE(DATE(C210,B210,1),1))</f>
        <v/>
      </c>
      <c r="H210" s="8" t="n"/>
      <c r="I210" s="8">
        <f>F210+G210+H210</f>
        <v/>
      </c>
      <c r="J210" s="2" t="n"/>
      <c r="K210" s="10" t="n"/>
      <c r="L210" s="2" t="n"/>
      <c r="M210" s="2" t="n"/>
    </row>
    <row r="211">
      <c r="A211" s="2" t="n"/>
      <c r="B211" s="2" t="n"/>
      <c r="C211" s="2" t="n"/>
      <c r="D211" s="8">
        <f>SUMIFS(Ingresos!I:I,Ingresos!D:D,"&gt;="&amp;DATE(C211,B211,1),Ingresos!D:D,"&lt;"&amp;EDATE(DATE(C211,B211,1),1))</f>
        <v/>
      </c>
      <c r="E211" s="8">
        <f>SUMIFS(Egresos!G:G,Egresos!B:B,"&gt;="&amp;DATE(C211,B211,1),Egresos!B:B,"&lt;"&amp;EDATE(DATE(C211,B211,1),1),Egresos!L:L,TRUE)</f>
        <v/>
      </c>
      <c r="F211" s="8">
        <f>MAX(D211-E211,0)</f>
        <v/>
      </c>
      <c r="G211" s="8">
        <f>SUMIFS(Ingresos!L:L,Ingresos!D:D,"&gt;="&amp;DATE(C211,B211,1),Ingresos!D:D,"&lt;"&amp;EDATE(DATE(C211,B211,1),1))</f>
        <v/>
      </c>
      <c r="H211" s="8" t="n"/>
      <c r="I211" s="8">
        <f>F211+G211+H211</f>
        <v/>
      </c>
      <c r="J211" s="2" t="n"/>
      <c r="K211" s="10" t="n"/>
      <c r="L211" s="2" t="n"/>
      <c r="M211" s="2" t="n"/>
    </row>
    <row r="212">
      <c r="A212" s="2" t="n"/>
      <c r="B212" s="2" t="n"/>
      <c r="C212" s="2" t="n"/>
      <c r="D212" s="8">
        <f>SUMIFS(Ingresos!I:I,Ingresos!D:D,"&gt;="&amp;DATE(C212,B212,1),Ingresos!D:D,"&lt;"&amp;EDATE(DATE(C212,B212,1),1))</f>
        <v/>
      </c>
      <c r="E212" s="8">
        <f>SUMIFS(Egresos!G:G,Egresos!B:B,"&gt;="&amp;DATE(C212,B212,1),Egresos!B:B,"&lt;"&amp;EDATE(DATE(C212,B212,1),1),Egresos!L:L,TRUE)</f>
        <v/>
      </c>
      <c r="F212" s="8">
        <f>MAX(D212-E212,0)</f>
        <v/>
      </c>
      <c r="G212" s="8">
        <f>SUMIFS(Ingresos!L:L,Ingresos!D:D,"&gt;="&amp;DATE(C212,B212,1),Ingresos!D:D,"&lt;"&amp;EDATE(DATE(C212,B212,1),1))</f>
        <v/>
      </c>
      <c r="H212" s="8" t="n"/>
      <c r="I212" s="8">
        <f>F212+G212+H212</f>
        <v/>
      </c>
      <c r="J212" s="2" t="n"/>
      <c r="K212" s="10" t="n"/>
      <c r="L212" s="2" t="n"/>
      <c r="M212" s="2" t="n"/>
    </row>
    <row r="213">
      <c r="A213" s="2" t="n"/>
      <c r="B213" s="2" t="n"/>
      <c r="C213" s="2" t="n"/>
      <c r="D213" s="8">
        <f>SUMIFS(Ingresos!I:I,Ingresos!D:D,"&gt;="&amp;DATE(C213,B213,1),Ingresos!D:D,"&lt;"&amp;EDATE(DATE(C213,B213,1),1))</f>
        <v/>
      </c>
      <c r="E213" s="8">
        <f>SUMIFS(Egresos!G:G,Egresos!B:B,"&gt;="&amp;DATE(C213,B213,1),Egresos!B:B,"&lt;"&amp;EDATE(DATE(C213,B213,1),1),Egresos!L:L,TRUE)</f>
        <v/>
      </c>
      <c r="F213" s="8">
        <f>MAX(D213-E213,0)</f>
        <v/>
      </c>
      <c r="G213" s="8">
        <f>SUMIFS(Ingresos!L:L,Ingresos!D:D,"&gt;="&amp;DATE(C213,B213,1),Ingresos!D:D,"&lt;"&amp;EDATE(DATE(C213,B213,1),1))</f>
        <v/>
      </c>
      <c r="H213" s="8" t="n"/>
      <c r="I213" s="8">
        <f>F213+G213+H213</f>
        <v/>
      </c>
      <c r="J213" s="2" t="n"/>
      <c r="K213" s="10" t="n"/>
      <c r="L213" s="2" t="n"/>
      <c r="M213" s="2" t="n"/>
    </row>
    <row r="214">
      <c r="A214" s="2" t="n"/>
      <c r="B214" s="2" t="n"/>
      <c r="C214" s="2" t="n"/>
      <c r="D214" s="8">
        <f>SUMIFS(Ingresos!I:I,Ingresos!D:D,"&gt;="&amp;DATE(C214,B214,1),Ingresos!D:D,"&lt;"&amp;EDATE(DATE(C214,B214,1),1))</f>
        <v/>
      </c>
      <c r="E214" s="8">
        <f>SUMIFS(Egresos!G:G,Egresos!B:B,"&gt;="&amp;DATE(C214,B214,1),Egresos!B:B,"&lt;"&amp;EDATE(DATE(C214,B214,1),1),Egresos!L:L,TRUE)</f>
        <v/>
      </c>
      <c r="F214" s="8">
        <f>MAX(D214-E214,0)</f>
        <v/>
      </c>
      <c r="G214" s="8">
        <f>SUMIFS(Ingresos!L:L,Ingresos!D:D,"&gt;="&amp;DATE(C214,B214,1),Ingresos!D:D,"&lt;"&amp;EDATE(DATE(C214,B214,1),1))</f>
        <v/>
      </c>
      <c r="H214" s="8" t="n"/>
      <c r="I214" s="8">
        <f>F214+G214+H214</f>
        <v/>
      </c>
      <c r="J214" s="2" t="n"/>
      <c r="K214" s="10" t="n"/>
      <c r="L214" s="2" t="n"/>
      <c r="M214" s="2" t="n"/>
    </row>
    <row r="215">
      <c r="A215" s="2" t="n"/>
      <c r="B215" s="2" t="n"/>
      <c r="C215" s="2" t="n"/>
      <c r="D215" s="8">
        <f>SUMIFS(Ingresos!I:I,Ingresos!D:D,"&gt;="&amp;DATE(C215,B215,1),Ingresos!D:D,"&lt;"&amp;EDATE(DATE(C215,B215,1),1))</f>
        <v/>
      </c>
      <c r="E215" s="8">
        <f>SUMIFS(Egresos!G:G,Egresos!B:B,"&gt;="&amp;DATE(C215,B215,1),Egresos!B:B,"&lt;"&amp;EDATE(DATE(C215,B215,1),1),Egresos!L:L,TRUE)</f>
        <v/>
      </c>
      <c r="F215" s="8">
        <f>MAX(D215-E215,0)</f>
        <v/>
      </c>
      <c r="G215" s="8">
        <f>SUMIFS(Ingresos!L:L,Ingresos!D:D,"&gt;="&amp;DATE(C215,B215,1),Ingresos!D:D,"&lt;"&amp;EDATE(DATE(C215,B215,1),1))</f>
        <v/>
      </c>
      <c r="H215" s="8" t="n"/>
      <c r="I215" s="8">
        <f>F215+G215+H215</f>
        <v/>
      </c>
      <c r="J215" s="2" t="n"/>
      <c r="K215" s="10" t="n"/>
      <c r="L215" s="2" t="n"/>
      <c r="M215" s="2" t="n"/>
    </row>
    <row r="216">
      <c r="A216" s="2" t="n"/>
      <c r="B216" s="2" t="n"/>
      <c r="C216" s="2" t="n"/>
      <c r="D216" s="8">
        <f>SUMIFS(Ingresos!I:I,Ingresos!D:D,"&gt;="&amp;DATE(C216,B216,1),Ingresos!D:D,"&lt;"&amp;EDATE(DATE(C216,B216,1),1))</f>
        <v/>
      </c>
      <c r="E216" s="8">
        <f>SUMIFS(Egresos!G:G,Egresos!B:B,"&gt;="&amp;DATE(C216,B216,1),Egresos!B:B,"&lt;"&amp;EDATE(DATE(C216,B216,1),1),Egresos!L:L,TRUE)</f>
        <v/>
      </c>
      <c r="F216" s="8">
        <f>MAX(D216-E216,0)</f>
        <v/>
      </c>
      <c r="G216" s="8">
        <f>SUMIFS(Ingresos!L:L,Ingresos!D:D,"&gt;="&amp;DATE(C216,B216,1),Ingresos!D:D,"&lt;"&amp;EDATE(DATE(C216,B216,1),1))</f>
        <v/>
      </c>
      <c r="H216" s="8" t="n"/>
      <c r="I216" s="8">
        <f>F216+G216+H216</f>
        <v/>
      </c>
      <c r="J216" s="2" t="n"/>
      <c r="K216" s="10" t="n"/>
      <c r="L216" s="2" t="n"/>
      <c r="M216" s="2" t="n"/>
    </row>
    <row r="217">
      <c r="A217" s="2" t="n"/>
      <c r="B217" s="2" t="n"/>
      <c r="C217" s="2" t="n"/>
      <c r="D217" s="8">
        <f>SUMIFS(Ingresos!I:I,Ingresos!D:D,"&gt;="&amp;DATE(C217,B217,1),Ingresos!D:D,"&lt;"&amp;EDATE(DATE(C217,B217,1),1))</f>
        <v/>
      </c>
      <c r="E217" s="8">
        <f>SUMIFS(Egresos!G:G,Egresos!B:B,"&gt;="&amp;DATE(C217,B217,1),Egresos!B:B,"&lt;"&amp;EDATE(DATE(C217,B217,1),1),Egresos!L:L,TRUE)</f>
        <v/>
      </c>
      <c r="F217" s="8">
        <f>MAX(D217-E217,0)</f>
        <v/>
      </c>
      <c r="G217" s="8">
        <f>SUMIFS(Ingresos!L:L,Ingresos!D:D,"&gt;="&amp;DATE(C217,B217,1),Ingresos!D:D,"&lt;"&amp;EDATE(DATE(C217,B217,1),1))</f>
        <v/>
      </c>
      <c r="H217" s="8" t="n"/>
      <c r="I217" s="8">
        <f>F217+G217+H217</f>
        <v/>
      </c>
      <c r="J217" s="2" t="n"/>
      <c r="K217" s="10" t="n"/>
      <c r="L217" s="2" t="n"/>
      <c r="M217" s="2" t="n"/>
    </row>
    <row r="218">
      <c r="A218" s="2" t="n"/>
      <c r="B218" s="2" t="n"/>
      <c r="C218" s="2" t="n"/>
      <c r="D218" s="8">
        <f>SUMIFS(Ingresos!I:I,Ingresos!D:D,"&gt;="&amp;DATE(C218,B218,1),Ingresos!D:D,"&lt;"&amp;EDATE(DATE(C218,B218,1),1))</f>
        <v/>
      </c>
      <c r="E218" s="8">
        <f>SUMIFS(Egresos!G:G,Egresos!B:B,"&gt;="&amp;DATE(C218,B218,1),Egresos!B:B,"&lt;"&amp;EDATE(DATE(C218,B218,1),1),Egresos!L:L,TRUE)</f>
        <v/>
      </c>
      <c r="F218" s="8">
        <f>MAX(D218-E218,0)</f>
        <v/>
      </c>
      <c r="G218" s="8">
        <f>SUMIFS(Ingresos!L:L,Ingresos!D:D,"&gt;="&amp;DATE(C218,B218,1),Ingresos!D:D,"&lt;"&amp;EDATE(DATE(C218,B218,1),1))</f>
        <v/>
      </c>
      <c r="H218" s="8" t="n"/>
      <c r="I218" s="8">
        <f>F218+G218+H218</f>
        <v/>
      </c>
      <c r="J218" s="2" t="n"/>
      <c r="K218" s="10" t="n"/>
      <c r="L218" s="2" t="n"/>
      <c r="M218" s="2" t="n"/>
    </row>
    <row r="219">
      <c r="A219" s="2" t="n"/>
      <c r="B219" s="2" t="n"/>
      <c r="C219" s="2" t="n"/>
      <c r="D219" s="8">
        <f>SUMIFS(Ingresos!I:I,Ingresos!D:D,"&gt;="&amp;DATE(C219,B219,1),Ingresos!D:D,"&lt;"&amp;EDATE(DATE(C219,B219,1),1))</f>
        <v/>
      </c>
      <c r="E219" s="8">
        <f>SUMIFS(Egresos!G:G,Egresos!B:B,"&gt;="&amp;DATE(C219,B219,1),Egresos!B:B,"&lt;"&amp;EDATE(DATE(C219,B219,1),1),Egresos!L:L,TRUE)</f>
        <v/>
      </c>
      <c r="F219" s="8">
        <f>MAX(D219-E219,0)</f>
        <v/>
      </c>
      <c r="G219" s="8">
        <f>SUMIFS(Ingresos!L:L,Ingresos!D:D,"&gt;="&amp;DATE(C219,B219,1),Ingresos!D:D,"&lt;"&amp;EDATE(DATE(C219,B219,1),1))</f>
        <v/>
      </c>
      <c r="H219" s="8" t="n"/>
      <c r="I219" s="8">
        <f>F219+G219+H219</f>
        <v/>
      </c>
      <c r="J219" s="2" t="n"/>
      <c r="K219" s="10" t="n"/>
      <c r="L219" s="2" t="n"/>
      <c r="M219" s="2" t="n"/>
    </row>
    <row r="220">
      <c r="A220" s="2" t="n"/>
      <c r="B220" s="2" t="n"/>
      <c r="C220" s="2" t="n"/>
      <c r="D220" s="8">
        <f>SUMIFS(Ingresos!I:I,Ingresos!D:D,"&gt;="&amp;DATE(C220,B220,1),Ingresos!D:D,"&lt;"&amp;EDATE(DATE(C220,B220,1),1))</f>
        <v/>
      </c>
      <c r="E220" s="8">
        <f>SUMIFS(Egresos!G:G,Egresos!B:B,"&gt;="&amp;DATE(C220,B220,1),Egresos!B:B,"&lt;"&amp;EDATE(DATE(C220,B220,1),1),Egresos!L:L,TRUE)</f>
        <v/>
      </c>
      <c r="F220" s="8">
        <f>MAX(D220-E220,0)</f>
        <v/>
      </c>
      <c r="G220" s="8">
        <f>SUMIFS(Ingresos!L:L,Ingresos!D:D,"&gt;="&amp;DATE(C220,B220,1),Ingresos!D:D,"&lt;"&amp;EDATE(DATE(C220,B220,1),1))</f>
        <v/>
      </c>
      <c r="H220" s="8" t="n"/>
      <c r="I220" s="8">
        <f>F220+G220+H220</f>
        <v/>
      </c>
      <c r="J220" s="2" t="n"/>
      <c r="K220" s="10" t="n"/>
      <c r="L220" s="2" t="n"/>
      <c r="M220" s="2" t="n"/>
    </row>
    <row r="221">
      <c r="A221" s="2" t="n"/>
      <c r="B221" s="2" t="n"/>
      <c r="C221" s="2" t="n"/>
      <c r="D221" s="8">
        <f>SUMIFS(Ingresos!I:I,Ingresos!D:D,"&gt;="&amp;DATE(C221,B221,1),Ingresos!D:D,"&lt;"&amp;EDATE(DATE(C221,B221,1),1))</f>
        <v/>
      </c>
      <c r="E221" s="8">
        <f>SUMIFS(Egresos!G:G,Egresos!B:B,"&gt;="&amp;DATE(C221,B221,1),Egresos!B:B,"&lt;"&amp;EDATE(DATE(C221,B221,1),1),Egresos!L:L,TRUE)</f>
        <v/>
      </c>
      <c r="F221" s="8">
        <f>MAX(D221-E221,0)</f>
        <v/>
      </c>
      <c r="G221" s="8">
        <f>SUMIFS(Ingresos!L:L,Ingresos!D:D,"&gt;="&amp;DATE(C221,B221,1),Ingresos!D:D,"&lt;"&amp;EDATE(DATE(C221,B221,1),1))</f>
        <v/>
      </c>
      <c r="H221" s="8" t="n"/>
      <c r="I221" s="8">
        <f>F221+G221+H221</f>
        <v/>
      </c>
      <c r="J221" s="2" t="n"/>
      <c r="K221" s="10" t="n"/>
      <c r="L221" s="2" t="n"/>
      <c r="M221" s="2" t="n"/>
    </row>
    <row r="222">
      <c r="A222" s="2" t="n"/>
      <c r="B222" s="2" t="n"/>
      <c r="C222" s="2" t="n"/>
      <c r="D222" s="8">
        <f>SUMIFS(Ingresos!I:I,Ingresos!D:D,"&gt;="&amp;DATE(C222,B222,1),Ingresos!D:D,"&lt;"&amp;EDATE(DATE(C222,B222,1),1))</f>
        <v/>
      </c>
      <c r="E222" s="8">
        <f>SUMIFS(Egresos!G:G,Egresos!B:B,"&gt;="&amp;DATE(C222,B222,1),Egresos!B:B,"&lt;"&amp;EDATE(DATE(C222,B222,1),1),Egresos!L:L,TRUE)</f>
        <v/>
      </c>
      <c r="F222" s="8">
        <f>MAX(D222-E222,0)</f>
        <v/>
      </c>
      <c r="G222" s="8">
        <f>SUMIFS(Ingresos!L:L,Ingresos!D:D,"&gt;="&amp;DATE(C222,B222,1),Ingresos!D:D,"&lt;"&amp;EDATE(DATE(C222,B222,1),1))</f>
        <v/>
      </c>
      <c r="H222" s="8" t="n"/>
      <c r="I222" s="8">
        <f>F222+G222+H222</f>
        <v/>
      </c>
      <c r="J222" s="2" t="n"/>
      <c r="K222" s="10" t="n"/>
      <c r="L222" s="2" t="n"/>
      <c r="M222" s="2" t="n"/>
    </row>
    <row r="223">
      <c r="A223" s="2" t="n"/>
      <c r="B223" s="2" t="n"/>
      <c r="C223" s="2" t="n"/>
      <c r="D223" s="8">
        <f>SUMIFS(Ingresos!I:I,Ingresos!D:D,"&gt;="&amp;DATE(C223,B223,1),Ingresos!D:D,"&lt;"&amp;EDATE(DATE(C223,B223,1),1))</f>
        <v/>
      </c>
      <c r="E223" s="8">
        <f>SUMIFS(Egresos!G:G,Egresos!B:B,"&gt;="&amp;DATE(C223,B223,1),Egresos!B:B,"&lt;"&amp;EDATE(DATE(C223,B223,1),1),Egresos!L:L,TRUE)</f>
        <v/>
      </c>
      <c r="F223" s="8">
        <f>MAX(D223-E223,0)</f>
        <v/>
      </c>
      <c r="G223" s="8">
        <f>SUMIFS(Ingresos!L:L,Ingresos!D:D,"&gt;="&amp;DATE(C223,B223,1),Ingresos!D:D,"&lt;"&amp;EDATE(DATE(C223,B223,1),1))</f>
        <v/>
      </c>
      <c r="H223" s="8" t="n"/>
      <c r="I223" s="8">
        <f>F223+G223+H223</f>
        <v/>
      </c>
      <c r="J223" s="2" t="n"/>
      <c r="K223" s="10" t="n"/>
      <c r="L223" s="2" t="n"/>
      <c r="M223" s="2" t="n"/>
    </row>
    <row r="224">
      <c r="A224" s="2" t="n"/>
      <c r="B224" s="2" t="n"/>
      <c r="C224" s="2" t="n"/>
      <c r="D224" s="8">
        <f>SUMIFS(Ingresos!I:I,Ingresos!D:D,"&gt;="&amp;DATE(C224,B224,1),Ingresos!D:D,"&lt;"&amp;EDATE(DATE(C224,B224,1),1))</f>
        <v/>
      </c>
      <c r="E224" s="8">
        <f>SUMIFS(Egresos!G:G,Egresos!B:B,"&gt;="&amp;DATE(C224,B224,1),Egresos!B:B,"&lt;"&amp;EDATE(DATE(C224,B224,1),1),Egresos!L:L,TRUE)</f>
        <v/>
      </c>
      <c r="F224" s="8">
        <f>MAX(D224-E224,0)</f>
        <v/>
      </c>
      <c r="G224" s="8">
        <f>SUMIFS(Ingresos!L:L,Ingresos!D:D,"&gt;="&amp;DATE(C224,B224,1),Ingresos!D:D,"&lt;"&amp;EDATE(DATE(C224,B224,1),1))</f>
        <v/>
      </c>
      <c r="H224" s="8" t="n"/>
      <c r="I224" s="8">
        <f>F224+G224+H224</f>
        <v/>
      </c>
      <c r="J224" s="2" t="n"/>
      <c r="K224" s="10" t="n"/>
      <c r="L224" s="2" t="n"/>
      <c r="M224" s="2" t="n"/>
    </row>
    <row r="225">
      <c r="A225" s="2" t="n"/>
      <c r="B225" s="2" t="n"/>
      <c r="C225" s="2" t="n"/>
      <c r="D225" s="8">
        <f>SUMIFS(Ingresos!I:I,Ingresos!D:D,"&gt;="&amp;DATE(C225,B225,1),Ingresos!D:D,"&lt;"&amp;EDATE(DATE(C225,B225,1),1))</f>
        <v/>
      </c>
      <c r="E225" s="8">
        <f>SUMIFS(Egresos!G:G,Egresos!B:B,"&gt;="&amp;DATE(C225,B225,1),Egresos!B:B,"&lt;"&amp;EDATE(DATE(C225,B225,1),1),Egresos!L:L,TRUE)</f>
        <v/>
      </c>
      <c r="F225" s="8">
        <f>MAX(D225-E225,0)</f>
        <v/>
      </c>
      <c r="G225" s="8">
        <f>SUMIFS(Ingresos!L:L,Ingresos!D:D,"&gt;="&amp;DATE(C225,B225,1),Ingresos!D:D,"&lt;"&amp;EDATE(DATE(C225,B225,1),1))</f>
        <v/>
      </c>
      <c r="H225" s="8" t="n"/>
      <c r="I225" s="8">
        <f>F225+G225+H225</f>
        <v/>
      </c>
      <c r="J225" s="2" t="n"/>
      <c r="K225" s="10" t="n"/>
      <c r="L225" s="2" t="n"/>
      <c r="M225" s="2" t="n"/>
    </row>
    <row r="226">
      <c r="A226" s="2" t="n"/>
      <c r="B226" s="2" t="n"/>
      <c r="C226" s="2" t="n"/>
      <c r="D226" s="8">
        <f>SUMIFS(Ingresos!I:I,Ingresos!D:D,"&gt;="&amp;DATE(C226,B226,1),Ingresos!D:D,"&lt;"&amp;EDATE(DATE(C226,B226,1),1))</f>
        <v/>
      </c>
      <c r="E226" s="8">
        <f>SUMIFS(Egresos!G:G,Egresos!B:B,"&gt;="&amp;DATE(C226,B226,1),Egresos!B:B,"&lt;"&amp;EDATE(DATE(C226,B226,1),1),Egresos!L:L,TRUE)</f>
        <v/>
      </c>
      <c r="F226" s="8">
        <f>MAX(D226-E226,0)</f>
        <v/>
      </c>
      <c r="G226" s="8">
        <f>SUMIFS(Ingresos!L:L,Ingresos!D:D,"&gt;="&amp;DATE(C226,B226,1),Ingresos!D:D,"&lt;"&amp;EDATE(DATE(C226,B226,1),1))</f>
        <v/>
      </c>
      <c r="H226" s="8" t="n"/>
      <c r="I226" s="8">
        <f>F226+G226+H226</f>
        <v/>
      </c>
      <c r="J226" s="2" t="n"/>
      <c r="K226" s="10" t="n"/>
      <c r="L226" s="2" t="n"/>
      <c r="M226" s="2" t="n"/>
    </row>
    <row r="227">
      <c r="A227" s="2" t="n"/>
      <c r="B227" s="2" t="n"/>
      <c r="C227" s="2" t="n"/>
      <c r="D227" s="8">
        <f>SUMIFS(Ingresos!I:I,Ingresos!D:D,"&gt;="&amp;DATE(C227,B227,1),Ingresos!D:D,"&lt;"&amp;EDATE(DATE(C227,B227,1),1))</f>
        <v/>
      </c>
      <c r="E227" s="8">
        <f>SUMIFS(Egresos!G:G,Egresos!B:B,"&gt;="&amp;DATE(C227,B227,1),Egresos!B:B,"&lt;"&amp;EDATE(DATE(C227,B227,1),1),Egresos!L:L,TRUE)</f>
        <v/>
      </c>
      <c r="F227" s="8">
        <f>MAX(D227-E227,0)</f>
        <v/>
      </c>
      <c r="G227" s="8">
        <f>SUMIFS(Ingresos!L:L,Ingresos!D:D,"&gt;="&amp;DATE(C227,B227,1),Ingresos!D:D,"&lt;"&amp;EDATE(DATE(C227,B227,1),1))</f>
        <v/>
      </c>
      <c r="H227" s="8" t="n"/>
      <c r="I227" s="8">
        <f>F227+G227+H227</f>
        <v/>
      </c>
      <c r="J227" s="2" t="n"/>
      <c r="K227" s="10" t="n"/>
      <c r="L227" s="2" t="n"/>
      <c r="M227" s="2" t="n"/>
    </row>
    <row r="228">
      <c r="A228" s="2" t="n"/>
      <c r="B228" s="2" t="n"/>
      <c r="C228" s="2" t="n"/>
      <c r="D228" s="8">
        <f>SUMIFS(Ingresos!I:I,Ingresos!D:D,"&gt;="&amp;DATE(C228,B228,1),Ingresos!D:D,"&lt;"&amp;EDATE(DATE(C228,B228,1),1))</f>
        <v/>
      </c>
      <c r="E228" s="8">
        <f>SUMIFS(Egresos!G:G,Egresos!B:B,"&gt;="&amp;DATE(C228,B228,1),Egresos!B:B,"&lt;"&amp;EDATE(DATE(C228,B228,1),1),Egresos!L:L,TRUE)</f>
        <v/>
      </c>
      <c r="F228" s="8">
        <f>MAX(D228-E228,0)</f>
        <v/>
      </c>
      <c r="G228" s="8">
        <f>SUMIFS(Ingresos!L:L,Ingresos!D:D,"&gt;="&amp;DATE(C228,B228,1),Ingresos!D:D,"&lt;"&amp;EDATE(DATE(C228,B228,1),1))</f>
        <v/>
      </c>
      <c r="H228" s="8" t="n"/>
      <c r="I228" s="8">
        <f>F228+G228+H228</f>
        <v/>
      </c>
      <c r="J228" s="2" t="n"/>
      <c r="K228" s="10" t="n"/>
      <c r="L228" s="2" t="n"/>
      <c r="M228" s="2" t="n"/>
    </row>
    <row r="229">
      <c r="A229" s="2" t="n"/>
      <c r="B229" s="2" t="n"/>
      <c r="C229" s="2" t="n"/>
      <c r="D229" s="8">
        <f>SUMIFS(Ingresos!I:I,Ingresos!D:D,"&gt;="&amp;DATE(C229,B229,1),Ingresos!D:D,"&lt;"&amp;EDATE(DATE(C229,B229,1),1))</f>
        <v/>
      </c>
      <c r="E229" s="8">
        <f>SUMIFS(Egresos!G:G,Egresos!B:B,"&gt;="&amp;DATE(C229,B229,1),Egresos!B:B,"&lt;"&amp;EDATE(DATE(C229,B229,1),1),Egresos!L:L,TRUE)</f>
        <v/>
      </c>
      <c r="F229" s="8">
        <f>MAX(D229-E229,0)</f>
        <v/>
      </c>
      <c r="G229" s="8">
        <f>SUMIFS(Ingresos!L:L,Ingresos!D:D,"&gt;="&amp;DATE(C229,B229,1),Ingresos!D:D,"&lt;"&amp;EDATE(DATE(C229,B229,1),1))</f>
        <v/>
      </c>
      <c r="H229" s="8" t="n"/>
      <c r="I229" s="8">
        <f>F229+G229+H229</f>
        <v/>
      </c>
      <c r="J229" s="2" t="n"/>
      <c r="K229" s="10" t="n"/>
      <c r="L229" s="2" t="n"/>
      <c r="M229" s="2" t="n"/>
    </row>
    <row r="230">
      <c r="A230" s="2" t="n"/>
      <c r="B230" s="2" t="n"/>
      <c r="C230" s="2" t="n"/>
      <c r="D230" s="8">
        <f>SUMIFS(Ingresos!I:I,Ingresos!D:D,"&gt;="&amp;DATE(C230,B230,1),Ingresos!D:D,"&lt;"&amp;EDATE(DATE(C230,B230,1),1))</f>
        <v/>
      </c>
      <c r="E230" s="8">
        <f>SUMIFS(Egresos!G:G,Egresos!B:B,"&gt;="&amp;DATE(C230,B230,1),Egresos!B:B,"&lt;"&amp;EDATE(DATE(C230,B230,1),1),Egresos!L:L,TRUE)</f>
        <v/>
      </c>
      <c r="F230" s="8">
        <f>MAX(D230-E230,0)</f>
        <v/>
      </c>
      <c r="G230" s="8">
        <f>SUMIFS(Ingresos!L:L,Ingresos!D:D,"&gt;="&amp;DATE(C230,B230,1),Ingresos!D:D,"&lt;"&amp;EDATE(DATE(C230,B230,1),1))</f>
        <v/>
      </c>
      <c r="H230" s="8" t="n"/>
      <c r="I230" s="8">
        <f>F230+G230+H230</f>
        <v/>
      </c>
      <c r="J230" s="2" t="n"/>
      <c r="K230" s="10" t="n"/>
      <c r="L230" s="2" t="n"/>
      <c r="M230" s="2" t="n"/>
    </row>
    <row r="231">
      <c r="A231" s="2" t="n"/>
      <c r="B231" s="2" t="n"/>
      <c r="C231" s="2" t="n"/>
      <c r="D231" s="8">
        <f>SUMIFS(Ingresos!I:I,Ingresos!D:D,"&gt;="&amp;DATE(C231,B231,1),Ingresos!D:D,"&lt;"&amp;EDATE(DATE(C231,B231,1),1))</f>
        <v/>
      </c>
      <c r="E231" s="8">
        <f>SUMIFS(Egresos!G:G,Egresos!B:B,"&gt;="&amp;DATE(C231,B231,1),Egresos!B:B,"&lt;"&amp;EDATE(DATE(C231,B231,1),1),Egresos!L:L,TRUE)</f>
        <v/>
      </c>
      <c r="F231" s="8">
        <f>MAX(D231-E231,0)</f>
        <v/>
      </c>
      <c r="G231" s="8">
        <f>SUMIFS(Ingresos!L:L,Ingresos!D:D,"&gt;="&amp;DATE(C231,B231,1),Ingresos!D:D,"&lt;"&amp;EDATE(DATE(C231,B231,1),1))</f>
        <v/>
      </c>
      <c r="H231" s="8" t="n"/>
      <c r="I231" s="8">
        <f>F231+G231+H231</f>
        <v/>
      </c>
      <c r="J231" s="2" t="n"/>
      <c r="K231" s="10" t="n"/>
      <c r="L231" s="2" t="n"/>
      <c r="M231" s="2" t="n"/>
    </row>
    <row r="232">
      <c r="A232" s="2" t="n"/>
      <c r="B232" s="2" t="n"/>
      <c r="C232" s="2" t="n"/>
      <c r="D232" s="8">
        <f>SUMIFS(Ingresos!I:I,Ingresos!D:D,"&gt;="&amp;DATE(C232,B232,1),Ingresos!D:D,"&lt;"&amp;EDATE(DATE(C232,B232,1),1))</f>
        <v/>
      </c>
      <c r="E232" s="8">
        <f>SUMIFS(Egresos!G:G,Egresos!B:B,"&gt;="&amp;DATE(C232,B232,1),Egresos!B:B,"&lt;"&amp;EDATE(DATE(C232,B232,1),1),Egresos!L:L,TRUE)</f>
        <v/>
      </c>
      <c r="F232" s="8">
        <f>MAX(D232-E232,0)</f>
        <v/>
      </c>
      <c r="G232" s="8">
        <f>SUMIFS(Ingresos!L:L,Ingresos!D:D,"&gt;="&amp;DATE(C232,B232,1),Ingresos!D:D,"&lt;"&amp;EDATE(DATE(C232,B232,1),1))</f>
        <v/>
      </c>
      <c r="H232" s="8" t="n"/>
      <c r="I232" s="8">
        <f>F232+G232+H232</f>
        <v/>
      </c>
      <c r="J232" s="2" t="n"/>
      <c r="K232" s="10" t="n"/>
      <c r="L232" s="2" t="n"/>
      <c r="M232" s="2" t="n"/>
    </row>
    <row r="233">
      <c r="A233" s="2" t="n"/>
      <c r="B233" s="2" t="n"/>
      <c r="C233" s="2" t="n"/>
      <c r="D233" s="8">
        <f>SUMIFS(Ingresos!I:I,Ingresos!D:D,"&gt;="&amp;DATE(C233,B233,1),Ingresos!D:D,"&lt;"&amp;EDATE(DATE(C233,B233,1),1))</f>
        <v/>
      </c>
      <c r="E233" s="8">
        <f>SUMIFS(Egresos!G:G,Egresos!B:B,"&gt;="&amp;DATE(C233,B233,1),Egresos!B:B,"&lt;"&amp;EDATE(DATE(C233,B233,1),1),Egresos!L:L,TRUE)</f>
        <v/>
      </c>
      <c r="F233" s="8">
        <f>MAX(D233-E233,0)</f>
        <v/>
      </c>
      <c r="G233" s="8">
        <f>SUMIFS(Ingresos!L:L,Ingresos!D:D,"&gt;="&amp;DATE(C233,B233,1),Ingresos!D:D,"&lt;"&amp;EDATE(DATE(C233,B233,1),1))</f>
        <v/>
      </c>
      <c r="H233" s="8" t="n"/>
      <c r="I233" s="8">
        <f>F233+G233+H233</f>
        <v/>
      </c>
      <c r="J233" s="2" t="n"/>
      <c r="K233" s="10" t="n"/>
      <c r="L233" s="2" t="n"/>
      <c r="M233" s="2" t="n"/>
    </row>
    <row r="234">
      <c r="A234" s="2" t="n"/>
      <c r="B234" s="2" t="n"/>
      <c r="C234" s="2" t="n"/>
      <c r="D234" s="8">
        <f>SUMIFS(Ingresos!I:I,Ingresos!D:D,"&gt;="&amp;DATE(C234,B234,1),Ingresos!D:D,"&lt;"&amp;EDATE(DATE(C234,B234,1),1))</f>
        <v/>
      </c>
      <c r="E234" s="8">
        <f>SUMIFS(Egresos!G:G,Egresos!B:B,"&gt;="&amp;DATE(C234,B234,1),Egresos!B:B,"&lt;"&amp;EDATE(DATE(C234,B234,1),1),Egresos!L:L,TRUE)</f>
        <v/>
      </c>
      <c r="F234" s="8">
        <f>MAX(D234-E234,0)</f>
        <v/>
      </c>
      <c r="G234" s="8">
        <f>SUMIFS(Ingresos!L:L,Ingresos!D:D,"&gt;="&amp;DATE(C234,B234,1),Ingresos!D:D,"&lt;"&amp;EDATE(DATE(C234,B234,1),1))</f>
        <v/>
      </c>
      <c r="H234" s="8" t="n"/>
      <c r="I234" s="8">
        <f>F234+G234+H234</f>
        <v/>
      </c>
      <c r="J234" s="2" t="n"/>
      <c r="K234" s="10" t="n"/>
      <c r="L234" s="2" t="n"/>
      <c r="M234" s="2" t="n"/>
    </row>
    <row r="235">
      <c r="A235" s="2" t="n"/>
      <c r="B235" s="2" t="n"/>
      <c r="C235" s="2" t="n"/>
      <c r="D235" s="8">
        <f>SUMIFS(Ingresos!I:I,Ingresos!D:D,"&gt;="&amp;DATE(C235,B235,1),Ingresos!D:D,"&lt;"&amp;EDATE(DATE(C235,B235,1),1))</f>
        <v/>
      </c>
      <c r="E235" s="8">
        <f>SUMIFS(Egresos!G:G,Egresos!B:B,"&gt;="&amp;DATE(C235,B235,1),Egresos!B:B,"&lt;"&amp;EDATE(DATE(C235,B235,1),1),Egresos!L:L,TRUE)</f>
        <v/>
      </c>
      <c r="F235" s="8">
        <f>MAX(D235-E235,0)</f>
        <v/>
      </c>
      <c r="G235" s="8">
        <f>SUMIFS(Ingresos!L:L,Ingresos!D:D,"&gt;="&amp;DATE(C235,B235,1),Ingresos!D:D,"&lt;"&amp;EDATE(DATE(C235,B235,1),1))</f>
        <v/>
      </c>
      <c r="H235" s="8" t="n"/>
      <c r="I235" s="8">
        <f>F235+G235+H235</f>
        <v/>
      </c>
      <c r="J235" s="2" t="n"/>
      <c r="K235" s="10" t="n"/>
      <c r="L235" s="2" t="n"/>
      <c r="M235" s="2" t="n"/>
    </row>
    <row r="236">
      <c r="A236" s="2" t="n"/>
      <c r="B236" s="2" t="n"/>
      <c r="C236" s="2" t="n"/>
      <c r="D236" s="8">
        <f>SUMIFS(Ingresos!I:I,Ingresos!D:D,"&gt;="&amp;DATE(C236,B236,1),Ingresos!D:D,"&lt;"&amp;EDATE(DATE(C236,B236,1),1))</f>
        <v/>
      </c>
      <c r="E236" s="8">
        <f>SUMIFS(Egresos!G:G,Egresos!B:B,"&gt;="&amp;DATE(C236,B236,1),Egresos!B:B,"&lt;"&amp;EDATE(DATE(C236,B236,1),1),Egresos!L:L,TRUE)</f>
        <v/>
      </c>
      <c r="F236" s="8">
        <f>MAX(D236-E236,0)</f>
        <v/>
      </c>
      <c r="G236" s="8">
        <f>SUMIFS(Ingresos!L:L,Ingresos!D:D,"&gt;="&amp;DATE(C236,B236,1),Ingresos!D:D,"&lt;"&amp;EDATE(DATE(C236,B236,1),1))</f>
        <v/>
      </c>
      <c r="H236" s="8" t="n"/>
      <c r="I236" s="8">
        <f>F236+G236+H236</f>
        <v/>
      </c>
      <c r="J236" s="2" t="n"/>
      <c r="K236" s="10" t="n"/>
      <c r="L236" s="2" t="n"/>
      <c r="M236" s="2" t="n"/>
    </row>
    <row r="237">
      <c r="A237" s="2" t="n"/>
      <c r="B237" s="2" t="n"/>
      <c r="C237" s="2" t="n"/>
      <c r="D237" s="8">
        <f>SUMIFS(Ingresos!I:I,Ingresos!D:D,"&gt;="&amp;DATE(C237,B237,1),Ingresos!D:D,"&lt;"&amp;EDATE(DATE(C237,B237,1),1))</f>
        <v/>
      </c>
      <c r="E237" s="8">
        <f>SUMIFS(Egresos!G:G,Egresos!B:B,"&gt;="&amp;DATE(C237,B237,1),Egresos!B:B,"&lt;"&amp;EDATE(DATE(C237,B237,1),1),Egresos!L:L,TRUE)</f>
        <v/>
      </c>
      <c r="F237" s="8">
        <f>MAX(D237-E237,0)</f>
        <v/>
      </c>
      <c r="G237" s="8">
        <f>SUMIFS(Ingresos!L:L,Ingresos!D:D,"&gt;="&amp;DATE(C237,B237,1),Ingresos!D:D,"&lt;"&amp;EDATE(DATE(C237,B237,1),1))</f>
        <v/>
      </c>
      <c r="H237" s="8" t="n"/>
      <c r="I237" s="8">
        <f>F237+G237+H237</f>
        <v/>
      </c>
      <c r="J237" s="2" t="n"/>
      <c r="K237" s="10" t="n"/>
      <c r="L237" s="2" t="n"/>
      <c r="M237" s="2" t="n"/>
    </row>
    <row r="238">
      <c r="A238" s="2" t="n"/>
      <c r="B238" s="2" t="n"/>
      <c r="C238" s="2" t="n"/>
      <c r="D238" s="8">
        <f>SUMIFS(Ingresos!I:I,Ingresos!D:D,"&gt;="&amp;DATE(C238,B238,1),Ingresos!D:D,"&lt;"&amp;EDATE(DATE(C238,B238,1),1))</f>
        <v/>
      </c>
      <c r="E238" s="8">
        <f>SUMIFS(Egresos!G:G,Egresos!B:B,"&gt;="&amp;DATE(C238,B238,1),Egresos!B:B,"&lt;"&amp;EDATE(DATE(C238,B238,1),1),Egresos!L:L,TRUE)</f>
        <v/>
      </c>
      <c r="F238" s="8">
        <f>MAX(D238-E238,0)</f>
        <v/>
      </c>
      <c r="G238" s="8">
        <f>SUMIFS(Ingresos!L:L,Ingresos!D:D,"&gt;="&amp;DATE(C238,B238,1),Ingresos!D:D,"&lt;"&amp;EDATE(DATE(C238,B238,1),1))</f>
        <v/>
      </c>
      <c r="H238" s="8" t="n"/>
      <c r="I238" s="8">
        <f>F238+G238+H238</f>
        <v/>
      </c>
      <c r="J238" s="2" t="n"/>
      <c r="K238" s="10" t="n"/>
      <c r="L238" s="2" t="n"/>
      <c r="M238" s="2" t="n"/>
    </row>
    <row r="239">
      <c r="A239" s="2" t="n"/>
      <c r="B239" s="2" t="n"/>
      <c r="C239" s="2" t="n"/>
      <c r="D239" s="8">
        <f>SUMIFS(Ingresos!I:I,Ingresos!D:D,"&gt;="&amp;DATE(C239,B239,1),Ingresos!D:D,"&lt;"&amp;EDATE(DATE(C239,B239,1),1))</f>
        <v/>
      </c>
      <c r="E239" s="8">
        <f>SUMIFS(Egresos!G:G,Egresos!B:B,"&gt;="&amp;DATE(C239,B239,1),Egresos!B:B,"&lt;"&amp;EDATE(DATE(C239,B239,1),1),Egresos!L:L,TRUE)</f>
        <v/>
      </c>
      <c r="F239" s="8">
        <f>MAX(D239-E239,0)</f>
        <v/>
      </c>
      <c r="G239" s="8">
        <f>SUMIFS(Ingresos!L:L,Ingresos!D:D,"&gt;="&amp;DATE(C239,B239,1),Ingresos!D:D,"&lt;"&amp;EDATE(DATE(C239,B239,1),1))</f>
        <v/>
      </c>
      <c r="H239" s="8" t="n"/>
      <c r="I239" s="8">
        <f>F239+G239+H239</f>
        <v/>
      </c>
      <c r="J239" s="2" t="n"/>
      <c r="K239" s="10" t="n"/>
      <c r="L239" s="2" t="n"/>
      <c r="M239" s="2" t="n"/>
    </row>
    <row r="240">
      <c r="A240" s="2" t="n"/>
      <c r="B240" s="2" t="n"/>
      <c r="C240" s="2" t="n"/>
      <c r="D240" s="8">
        <f>SUMIFS(Ingresos!I:I,Ingresos!D:D,"&gt;="&amp;DATE(C240,B240,1),Ingresos!D:D,"&lt;"&amp;EDATE(DATE(C240,B240,1),1))</f>
        <v/>
      </c>
      <c r="E240" s="8">
        <f>SUMIFS(Egresos!G:G,Egresos!B:B,"&gt;="&amp;DATE(C240,B240,1),Egresos!B:B,"&lt;"&amp;EDATE(DATE(C240,B240,1),1),Egresos!L:L,TRUE)</f>
        <v/>
      </c>
      <c r="F240" s="8">
        <f>MAX(D240-E240,0)</f>
        <v/>
      </c>
      <c r="G240" s="8">
        <f>SUMIFS(Ingresos!L:L,Ingresos!D:D,"&gt;="&amp;DATE(C240,B240,1),Ingresos!D:D,"&lt;"&amp;EDATE(DATE(C240,B240,1),1))</f>
        <v/>
      </c>
      <c r="H240" s="8" t="n"/>
      <c r="I240" s="8">
        <f>F240+G240+H240</f>
        <v/>
      </c>
      <c r="J240" s="2" t="n"/>
      <c r="K240" s="10" t="n"/>
      <c r="L240" s="2" t="n"/>
      <c r="M240" s="2" t="n"/>
    </row>
    <row r="241">
      <c r="A241" s="2" t="n"/>
      <c r="B241" s="2" t="n"/>
      <c r="C241" s="2" t="n"/>
      <c r="D241" s="8">
        <f>SUMIFS(Ingresos!I:I,Ingresos!D:D,"&gt;="&amp;DATE(C241,B241,1),Ingresos!D:D,"&lt;"&amp;EDATE(DATE(C241,B241,1),1))</f>
        <v/>
      </c>
      <c r="E241" s="8">
        <f>SUMIFS(Egresos!G:G,Egresos!B:B,"&gt;="&amp;DATE(C241,B241,1),Egresos!B:B,"&lt;"&amp;EDATE(DATE(C241,B241,1),1),Egresos!L:L,TRUE)</f>
        <v/>
      </c>
      <c r="F241" s="8">
        <f>MAX(D241-E241,0)</f>
        <v/>
      </c>
      <c r="G241" s="8">
        <f>SUMIFS(Ingresos!L:L,Ingresos!D:D,"&gt;="&amp;DATE(C241,B241,1),Ingresos!D:D,"&lt;"&amp;EDATE(DATE(C241,B241,1),1))</f>
        <v/>
      </c>
      <c r="H241" s="8" t="n"/>
      <c r="I241" s="8">
        <f>F241+G241+H241</f>
        <v/>
      </c>
      <c r="J241" s="2" t="n"/>
      <c r="K241" s="10" t="n"/>
      <c r="L241" s="2" t="n"/>
      <c r="M241" s="2" t="n"/>
    </row>
    <row r="242">
      <c r="A242" s="2" t="n"/>
      <c r="B242" s="2" t="n"/>
      <c r="C242" s="2" t="n"/>
      <c r="D242" s="8">
        <f>SUMIFS(Ingresos!I:I,Ingresos!D:D,"&gt;="&amp;DATE(C242,B242,1),Ingresos!D:D,"&lt;"&amp;EDATE(DATE(C242,B242,1),1))</f>
        <v/>
      </c>
      <c r="E242" s="8">
        <f>SUMIFS(Egresos!G:G,Egresos!B:B,"&gt;="&amp;DATE(C242,B242,1),Egresos!B:B,"&lt;"&amp;EDATE(DATE(C242,B242,1),1),Egresos!L:L,TRUE)</f>
        <v/>
      </c>
      <c r="F242" s="8">
        <f>MAX(D242-E242,0)</f>
        <v/>
      </c>
      <c r="G242" s="8">
        <f>SUMIFS(Ingresos!L:L,Ingresos!D:D,"&gt;="&amp;DATE(C242,B242,1),Ingresos!D:D,"&lt;"&amp;EDATE(DATE(C242,B242,1),1))</f>
        <v/>
      </c>
      <c r="H242" s="8" t="n"/>
      <c r="I242" s="8">
        <f>F242+G242+H242</f>
        <v/>
      </c>
      <c r="J242" s="2" t="n"/>
      <c r="K242" s="10" t="n"/>
      <c r="L242" s="2" t="n"/>
      <c r="M242" s="2" t="n"/>
    </row>
    <row r="243">
      <c r="A243" s="2" t="n"/>
      <c r="B243" s="2" t="n"/>
      <c r="C243" s="2" t="n"/>
      <c r="D243" s="8">
        <f>SUMIFS(Ingresos!I:I,Ingresos!D:D,"&gt;="&amp;DATE(C243,B243,1),Ingresos!D:D,"&lt;"&amp;EDATE(DATE(C243,B243,1),1))</f>
        <v/>
      </c>
      <c r="E243" s="8">
        <f>SUMIFS(Egresos!G:G,Egresos!B:B,"&gt;="&amp;DATE(C243,B243,1),Egresos!B:B,"&lt;"&amp;EDATE(DATE(C243,B243,1),1),Egresos!L:L,TRUE)</f>
        <v/>
      </c>
      <c r="F243" s="8">
        <f>MAX(D243-E243,0)</f>
        <v/>
      </c>
      <c r="G243" s="8">
        <f>SUMIFS(Ingresos!L:L,Ingresos!D:D,"&gt;="&amp;DATE(C243,B243,1),Ingresos!D:D,"&lt;"&amp;EDATE(DATE(C243,B243,1),1))</f>
        <v/>
      </c>
      <c r="H243" s="8" t="n"/>
      <c r="I243" s="8">
        <f>F243+G243+H243</f>
        <v/>
      </c>
      <c r="J243" s="2" t="n"/>
      <c r="K243" s="10" t="n"/>
      <c r="L243" s="2" t="n"/>
      <c r="M243" s="2" t="n"/>
    </row>
    <row r="244">
      <c r="A244" s="2" t="n"/>
      <c r="B244" s="2" t="n"/>
      <c r="C244" s="2" t="n"/>
      <c r="D244" s="8">
        <f>SUMIFS(Ingresos!I:I,Ingresos!D:D,"&gt;="&amp;DATE(C244,B244,1),Ingresos!D:D,"&lt;"&amp;EDATE(DATE(C244,B244,1),1))</f>
        <v/>
      </c>
      <c r="E244" s="8">
        <f>SUMIFS(Egresos!G:G,Egresos!B:B,"&gt;="&amp;DATE(C244,B244,1),Egresos!B:B,"&lt;"&amp;EDATE(DATE(C244,B244,1),1),Egresos!L:L,TRUE)</f>
        <v/>
      </c>
      <c r="F244" s="8">
        <f>MAX(D244-E244,0)</f>
        <v/>
      </c>
      <c r="G244" s="8">
        <f>SUMIFS(Ingresos!L:L,Ingresos!D:D,"&gt;="&amp;DATE(C244,B244,1),Ingresos!D:D,"&lt;"&amp;EDATE(DATE(C244,B244,1),1))</f>
        <v/>
      </c>
      <c r="H244" s="8" t="n"/>
      <c r="I244" s="8">
        <f>F244+G244+H244</f>
        <v/>
      </c>
      <c r="J244" s="2" t="n"/>
      <c r="K244" s="10" t="n"/>
      <c r="L244" s="2" t="n"/>
      <c r="M244" s="2" t="n"/>
    </row>
    <row r="245">
      <c r="A245" s="2" t="n"/>
      <c r="B245" s="2" t="n"/>
      <c r="C245" s="2" t="n"/>
      <c r="D245" s="8">
        <f>SUMIFS(Ingresos!I:I,Ingresos!D:D,"&gt;="&amp;DATE(C245,B245,1),Ingresos!D:D,"&lt;"&amp;EDATE(DATE(C245,B245,1),1))</f>
        <v/>
      </c>
      <c r="E245" s="8">
        <f>SUMIFS(Egresos!G:G,Egresos!B:B,"&gt;="&amp;DATE(C245,B245,1),Egresos!B:B,"&lt;"&amp;EDATE(DATE(C245,B245,1),1),Egresos!L:L,TRUE)</f>
        <v/>
      </c>
      <c r="F245" s="8">
        <f>MAX(D245-E245,0)</f>
        <v/>
      </c>
      <c r="G245" s="8">
        <f>SUMIFS(Ingresos!L:L,Ingresos!D:D,"&gt;="&amp;DATE(C245,B245,1),Ingresos!D:D,"&lt;"&amp;EDATE(DATE(C245,B245,1),1))</f>
        <v/>
      </c>
      <c r="H245" s="8" t="n"/>
      <c r="I245" s="8">
        <f>F245+G245+H245</f>
        <v/>
      </c>
      <c r="J245" s="2" t="n"/>
      <c r="K245" s="10" t="n"/>
      <c r="L245" s="2" t="n"/>
      <c r="M245" s="2" t="n"/>
    </row>
    <row r="246">
      <c r="A246" s="2" t="n"/>
      <c r="B246" s="2" t="n"/>
      <c r="C246" s="2" t="n"/>
      <c r="D246" s="8">
        <f>SUMIFS(Ingresos!I:I,Ingresos!D:D,"&gt;="&amp;DATE(C246,B246,1),Ingresos!D:D,"&lt;"&amp;EDATE(DATE(C246,B246,1),1))</f>
        <v/>
      </c>
      <c r="E246" s="8">
        <f>SUMIFS(Egresos!G:G,Egresos!B:B,"&gt;="&amp;DATE(C246,B246,1),Egresos!B:B,"&lt;"&amp;EDATE(DATE(C246,B246,1),1),Egresos!L:L,TRUE)</f>
        <v/>
      </c>
      <c r="F246" s="8">
        <f>MAX(D246-E246,0)</f>
        <v/>
      </c>
      <c r="G246" s="8">
        <f>SUMIFS(Ingresos!L:L,Ingresos!D:D,"&gt;="&amp;DATE(C246,B246,1),Ingresos!D:D,"&lt;"&amp;EDATE(DATE(C246,B246,1),1))</f>
        <v/>
      </c>
      <c r="H246" s="8" t="n"/>
      <c r="I246" s="8">
        <f>F246+G246+H246</f>
        <v/>
      </c>
      <c r="J246" s="2" t="n"/>
      <c r="K246" s="10" t="n"/>
      <c r="L246" s="2" t="n"/>
      <c r="M246" s="2" t="n"/>
    </row>
    <row r="247">
      <c r="A247" s="2" t="n"/>
      <c r="B247" s="2" t="n"/>
      <c r="C247" s="2" t="n"/>
      <c r="D247" s="8">
        <f>SUMIFS(Ingresos!I:I,Ingresos!D:D,"&gt;="&amp;DATE(C247,B247,1),Ingresos!D:D,"&lt;"&amp;EDATE(DATE(C247,B247,1),1))</f>
        <v/>
      </c>
      <c r="E247" s="8">
        <f>SUMIFS(Egresos!G:G,Egresos!B:B,"&gt;="&amp;DATE(C247,B247,1),Egresos!B:B,"&lt;"&amp;EDATE(DATE(C247,B247,1),1),Egresos!L:L,TRUE)</f>
        <v/>
      </c>
      <c r="F247" s="8">
        <f>MAX(D247-E247,0)</f>
        <v/>
      </c>
      <c r="G247" s="8">
        <f>SUMIFS(Ingresos!L:L,Ingresos!D:D,"&gt;="&amp;DATE(C247,B247,1),Ingresos!D:D,"&lt;"&amp;EDATE(DATE(C247,B247,1),1))</f>
        <v/>
      </c>
      <c r="H247" s="8" t="n"/>
      <c r="I247" s="8">
        <f>F247+G247+H247</f>
        <v/>
      </c>
      <c r="J247" s="2" t="n"/>
      <c r="K247" s="10" t="n"/>
      <c r="L247" s="2" t="n"/>
      <c r="M247" s="2" t="n"/>
    </row>
    <row r="248">
      <c r="A248" s="2" t="n"/>
      <c r="B248" s="2" t="n"/>
      <c r="C248" s="2" t="n"/>
      <c r="D248" s="8">
        <f>SUMIFS(Ingresos!I:I,Ingresos!D:D,"&gt;="&amp;DATE(C248,B248,1),Ingresos!D:D,"&lt;"&amp;EDATE(DATE(C248,B248,1),1))</f>
        <v/>
      </c>
      <c r="E248" s="8">
        <f>SUMIFS(Egresos!G:G,Egresos!B:B,"&gt;="&amp;DATE(C248,B248,1),Egresos!B:B,"&lt;"&amp;EDATE(DATE(C248,B248,1),1),Egresos!L:L,TRUE)</f>
        <v/>
      </c>
      <c r="F248" s="8">
        <f>MAX(D248-E248,0)</f>
        <v/>
      </c>
      <c r="G248" s="8">
        <f>SUMIFS(Ingresos!L:L,Ingresos!D:D,"&gt;="&amp;DATE(C248,B248,1),Ingresos!D:D,"&lt;"&amp;EDATE(DATE(C248,B248,1),1))</f>
        <v/>
      </c>
      <c r="H248" s="8" t="n"/>
      <c r="I248" s="8">
        <f>F248+G248+H248</f>
        <v/>
      </c>
      <c r="J248" s="2" t="n"/>
      <c r="K248" s="10" t="n"/>
      <c r="L248" s="2" t="n"/>
      <c r="M248" s="2" t="n"/>
    </row>
    <row r="249">
      <c r="A249" s="2" t="n"/>
      <c r="B249" s="2" t="n"/>
      <c r="C249" s="2" t="n"/>
      <c r="D249" s="8">
        <f>SUMIFS(Ingresos!I:I,Ingresos!D:D,"&gt;="&amp;DATE(C249,B249,1),Ingresos!D:D,"&lt;"&amp;EDATE(DATE(C249,B249,1),1))</f>
        <v/>
      </c>
      <c r="E249" s="8">
        <f>SUMIFS(Egresos!G:G,Egresos!B:B,"&gt;="&amp;DATE(C249,B249,1),Egresos!B:B,"&lt;"&amp;EDATE(DATE(C249,B249,1),1),Egresos!L:L,TRUE)</f>
        <v/>
      </c>
      <c r="F249" s="8">
        <f>MAX(D249-E249,0)</f>
        <v/>
      </c>
      <c r="G249" s="8">
        <f>SUMIFS(Ingresos!L:L,Ingresos!D:D,"&gt;="&amp;DATE(C249,B249,1),Ingresos!D:D,"&lt;"&amp;EDATE(DATE(C249,B249,1),1))</f>
        <v/>
      </c>
      <c r="H249" s="8" t="n"/>
      <c r="I249" s="8">
        <f>F249+G249+H249</f>
        <v/>
      </c>
      <c r="J249" s="2" t="n"/>
      <c r="K249" s="10" t="n"/>
      <c r="L249" s="2" t="n"/>
      <c r="M249" s="2" t="n"/>
    </row>
    <row r="250">
      <c r="A250" s="2" t="n"/>
      <c r="B250" s="2" t="n"/>
      <c r="C250" s="2" t="n"/>
      <c r="D250" s="8">
        <f>SUMIFS(Ingresos!I:I,Ingresos!D:D,"&gt;="&amp;DATE(C250,B250,1),Ingresos!D:D,"&lt;"&amp;EDATE(DATE(C250,B250,1),1))</f>
        <v/>
      </c>
      <c r="E250" s="8">
        <f>SUMIFS(Egresos!G:G,Egresos!B:B,"&gt;="&amp;DATE(C250,B250,1),Egresos!B:B,"&lt;"&amp;EDATE(DATE(C250,B250,1),1),Egresos!L:L,TRUE)</f>
        <v/>
      </c>
      <c r="F250" s="8">
        <f>MAX(D250-E250,0)</f>
        <v/>
      </c>
      <c r="G250" s="8">
        <f>SUMIFS(Ingresos!L:L,Ingresos!D:D,"&gt;="&amp;DATE(C250,B250,1),Ingresos!D:D,"&lt;"&amp;EDATE(DATE(C250,B250,1),1))</f>
        <v/>
      </c>
      <c r="H250" s="8" t="n"/>
      <c r="I250" s="8">
        <f>F250+G250+H250</f>
        <v/>
      </c>
      <c r="J250" s="2" t="n"/>
      <c r="K250" s="10" t="n"/>
      <c r="L250" s="2" t="n"/>
      <c r="M250" s="2" t="n"/>
    </row>
  </sheetData>
  <dataValidations count="1">
    <dataValidation sqref="J2:J250" showDropDown="0" showInputMessage="0" showErrorMessage="0" allowBlank="1" type="list">
      <formula1>"Pendiente,Declarado,Pagado,Observado"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38" customWidth="1" min="5" max="5"/>
    <col width="38" customWidth="1" min="6" max="6"/>
    <col width="38" customWidth="1" min="7" max="7"/>
    <col width="18" customWidth="1" min="8" max="8"/>
    <col width="15" customWidth="1" min="9" max="9"/>
  </cols>
  <sheetData>
    <row r="1">
      <c r="A1" s="4" t="inlineStr">
        <is>
          <t>ID_Flujo</t>
        </is>
      </c>
      <c r="B1" s="4" t="inlineStr">
        <is>
          <t>Mes</t>
        </is>
      </c>
      <c r="C1" s="4" t="inlineStr">
        <is>
          <t>Año</t>
        </is>
      </c>
      <c r="D1" s="4" t="inlineStr">
        <is>
          <t>Saldo_Inicial</t>
        </is>
      </c>
      <c r="E1" s="4" t="inlineStr">
        <is>
          <t>Total_Ingresos</t>
        </is>
      </c>
      <c r="F1" s="4" t="inlineStr">
        <is>
          <t>Total_Egresos</t>
        </is>
      </c>
      <c r="G1" s="4" t="inlineStr">
        <is>
          <t>Total_Impuestos</t>
        </is>
      </c>
      <c r="H1" s="4" t="inlineStr">
        <is>
          <t>Saldo_Final</t>
        </is>
      </c>
      <c r="I1" s="4" t="inlineStr">
        <is>
          <t>Observaciones</t>
        </is>
      </c>
    </row>
    <row r="2">
      <c r="A2" s="2" t="inlineStr">
        <is>
          <t>FLU-01-2026</t>
        </is>
      </c>
      <c r="B2" s="2" t="n">
        <v>1</v>
      </c>
      <c r="C2" s="2" t="n">
        <v>2026</v>
      </c>
      <c r="D2" s="8" t="n">
        <v>0</v>
      </c>
      <c r="E2" s="8">
        <f>SUMIFS(Ingresos!J:J,Ingresos!D:D,"&gt;="&amp;DATE(C2,B2,1),Ingresos!D:D,"&lt;"&amp;EDATE(DATE(C2,B2,1),1))</f>
        <v/>
      </c>
      <c r="F2" s="8">
        <f>SUMIFS(Egresos!H:H,Egresos!B:B,"&gt;="&amp;DATE(C2,B2,1),Egresos!B:B,"&lt;"&amp;EDATE(DATE(C2,B2,1),1))+SUMIFS(Gastos_Mensuales!H:H,Gastos_Mensuales!B:B,B2,Gastos_Mensuales!C:C,C2)</f>
        <v/>
      </c>
      <c r="G2" s="8">
        <f>SUMIFS(Impuestos!I:I,Impuestos!B:B,B2,Impuestos!C:C,C2)</f>
        <v/>
      </c>
      <c r="H2" s="8">
        <f>D2+E2-F2-G2</f>
        <v/>
      </c>
      <c r="I2" s="2" t="inlineStr"/>
    </row>
    <row r="3">
      <c r="A3" s="2" t="inlineStr">
        <is>
          <t>FLU-02-2026</t>
        </is>
      </c>
      <c r="B3" s="2" t="n">
        <v>2</v>
      </c>
      <c r="C3" s="2" t="n">
        <v>2026</v>
      </c>
      <c r="D3" s="8" t="n">
        <v>0</v>
      </c>
      <c r="E3" s="8">
        <f>SUMIFS(Ingresos!J:J,Ingresos!D:D,"&gt;="&amp;DATE(C3,B3,1),Ingresos!D:D,"&lt;"&amp;EDATE(DATE(C3,B3,1),1))</f>
        <v/>
      </c>
      <c r="F3" s="8">
        <f>SUMIFS(Egresos!H:H,Egresos!B:B,"&gt;="&amp;DATE(C3,B3,1),Egresos!B:B,"&lt;"&amp;EDATE(DATE(C3,B3,1),1))+SUMIFS(Gastos_Mensuales!H:H,Gastos_Mensuales!B:B,B3,Gastos_Mensuales!C:C,C3)</f>
        <v/>
      </c>
      <c r="G3" s="8">
        <f>SUMIFS(Impuestos!I:I,Impuestos!B:B,B3,Impuestos!C:C,C3)</f>
        <v/>
      </c>
      <c r="H3" s="8">
        <f>D3+E3-F3-G3</f>
        <v/>
      </c>
      <c r="I3" s="2" t="inlineStr"/>
    </row>
    <row r="4">
      <c r="A4" s="2" t="inlineStr">
        <is>
          <t>FLU-03-2026</t>
        </is>
      </c>
      <c r="B4" s="2" t="n">
        <v>3</v>
      </c>
      <c r="C4" s="2" t="n">
        <v>2026</v>
      </c>
      <c r="D4" s="8" t="n">
        <v>0</v>
      </c>
      <c r="E4" s="8">
        <f>SUMIFS(Ingresos!J:J,Ingresos!D:D,"&gt;="&amp;DATE(C4,B4,1),Ingresos!D:D,"&lt;"&amp;EDATE(DATE(C4,B4,1),1))</f>
        <v/>
      </c>
      <c r="F4" s="8">
        <f>SUMIFS(Egresos!H:H,Egresos!B:B,"&gt;="&amp;DATE(C4,B4,1),Egresos!B:B,"&lt;"&amp;EDATE(DATE(C4,B4,1),1))+SUMIFS(Gastos_Mensuales!H:H,Gastos_Mensuales!B:B,B4,Gastos_Mensuales!C:C,C4)</f>
        <v/>
      </c>
      <c r="G4" s="8">
        <f>SUMIFS(Impuestos!I:I,Impuestos!B:B,B4,Impuestos!C:C,C4)</f>
        <v/>
      </c>
      <c r="H4" s="8">
        <f>D4+E4-F4-G4</f>
        <v/>
      </c>
      <c r="I4" s="2" t="inlineStr"/>
    </row>
    <row r="5">
      <c r="A5" s="2" t="inlineStr">
        <is>
          <t>FLU-04-2026</t>
        </is>
      </c>
      <c r="B5" s="2" t="n">
        <v>4</v>
      </c>
      <c r="C5" s="2" t="n">
        <v>2026</v>
      </c>
      <c r="D5" s="8" t="n">
        <v>0</v>
      </c>
      <c r="E5" s="8">
        <f>SUMIFS(Ingresos!J:J,Ingresos!D:D,"&gt;="&amp;DATE(C5,B5,1),Ingresos!D:D,"&lt;"&amp;EDATE(DATE(C5,B5,1),1))</f>
        <v/>
      </c>
      <c r="F5" s="8">
        <f>SUMIFS(Egresos!H:H,Egresos!B:B,"&gt;="&amp;DATE(C5,B5,1),Egresos!B:B,"&lt;"&amp;EDATE(DATE(C5,B5,1),1))+SUMIFS(Gastos_Mensuales!H:H,Gastos_Mensuales!B:B,B5,Gastos_Mensuales!C:C,C5)</f>
        <v/>
      </c>
      <c r="G5" s="8">
        <f>SUMIFS(Impuestos!I:I,Impuestos!B:B,B5,Impuestos!C:C,C5)</f>
        <v/>
      </c>
      <c r="H5" s="8">
        <f>D5+E5-F5-G5</f>
        <v/>
      </c>
      <c r="I5" s="2" t="inlineStr"/>
    </row>
    <row r="6">
      <c r="A6" s="2" t="inlineStr">
        <is>
          <t>FLU-05-2026</t>
        </is>
      </c>
      <c r="B6" s="2" t="n">
        <v>5</v>
      </c>
      <c r="C6" s="2" t="n">
        <v>2026</v>
      </c>
      <c r="D6" s="8" t="n">
        <v>0</v>
      </c>
      <c r="E6" s="8">
        <f>SUMIFS(Ingresos!J:J,Ingresos!D:D,"&gt;="&amp;DATE(C6,B6,1),Ingresos!D:D,"&lt;"&amp;EDATE(DATE(C6,B6,1),1))</f>
        <v/>
      </c>
      <c r="F6" s="8">
        <f>SUMIFS(Egresos!H:H,Egresos!B:B,"&gt;="&amp;DATE(C6,B6,1),Egresos!B:B,"&lt;"&amp;EDATE(DATE(C6,B6,1),1))+SUMIFS(Gastos_Mensuales!H:H,Gastos_Mensuales!B:B,B6,Gastos_Mensuales!C:C,C6)</f>
        <v/>
      </c>
      <c r="G6" s="8">
        <f>SUMIFS(Impuestos!I:I,Impuestos!B:B,B6,Impuestos!C:C,C6)</f>
        <v/>
      </c>
      <c r="H6" s="8">
        <f>D6+E6-F6-G6</f>
        <v/>
      </c>
      <c r="I6" s="2" t="inlineStr"/>
    </row>
    <row r="7">
      <c r="A7" s="2" t="inlineStr">
        <is>
          <t>FLU-06-2026</t>
        </is>
      </c>
      <c r="B7" s="2" t="n">
        <v>6</v>
      </c>
      <c r="C7" s="2" t="n">
        <v>2026</v>
      </c>
      <c r="D7" s="8" t="n">
        <v>0</v>
      </c>
      <c r="E7" s="8">
        <f>SUMIFS(Ingresos!J:J,Ingresos!D:D,"&gt;="&amp;DATE(C7,B7,1),Ingresos!D:D,"&lt;"&amp;EDATE(DATE(C7,B7,1),1))</f>
        <v/>
      </c>
      <c r="F7" s="8">
        <f>SUMIFS(Egresos!H:H,Egresos!B:B,"&gt;="&amp;DATE(C7,B7,1),Egresos!B:B,"&lt;"&amp;EDATE(DATE(C7,B7,1),1))+SUMIFS(Gastos_Mensuales!H:H,Gastos_Mensuales!B:B,B7,Gastos_Mensuales!C:C,C7)</f>
        <v/>
      </c>
      <c r="G7" s="8">
        <f>SUMIFS(Impuestos!I:I,Impuestos!B:B,B7,Impuestos!C:C,C7)</f>
        <v/>
      </c>
      <c r="H7" s="8">
        <f>D7+E7-F7-G7</f>
        <v/>
      </c>
      <c r="I7" s="2" t="inlineStr"/>
    </row>
    <row r="8">
      <c r="A8" s="2" t="inlineStr">
        <is>
          <t>FLU-07-2026</t>
        </is>
      </c>
      <c r="B8" s="2" t="n">
        <v>7</v>
      </c>
      <c r="C8" s="2" t="n">
        <v>2026</v>
      </c>
      <c r="D8" s="8" t="n">
        <v>0</v>
      </c>
      <c r="E8" s="8">
        <f>SUMIFS(Ingresos!J:J,Ingresos!D:D,"&gt;="&amp;DATE(C8,B8,1),Ingresos!D:D,"&lt;"&amp;EDATE(DATE(C8,B8,1),1))</f>
        <v/>
      </c>
      <c r="F8" s="8">
        <f>SUMIFS(Egresos!H:H,Egresos!B:B,"&gt;="&amp;DATE(C8,B8,1),Egresos!B:B,"&lt;"&amp;EDATE(DATE(C8,B8,1),1))+SUMIFS(Gastos_Mensuales!H:H,Gastos_Mensuales!B:B,B8,Gastos_Mensuales!C:C,C8)</f>
        <v/>
      </c>
      <c r="G8" s="8">
        <f>SUMIFS(Impuestos!I:I,Impuestos!B:B,B8,Impuestos!C:C,C8)</f>
        <v/>
      </c>
      <c r="H8" s="8">
        <f>D8+E8-F8-G8</f>
        <v/>
      </c>
      <c r="I8" s="2" t="inlineStr"/>
    </row>
    <row r="9">
      <c r="A9" s="2" t="inlineStr">
        <is>
          <t>FLU-08-2026</t>
        </is>
      </c>
      <c r="B9" s="2" t="n">
        <v>8</v>
      </c>
      <c r="C9" s="2" t="n">
        <v>2026</v>
      </c>
      <c r="D9" s="8" t="n">
        <v>0</v>
      </c>
      <c r="E9" s="8">
        <f>SUMIFS(Ingresos!J:J,Ingresos!D:D,"&gt;="&amp;DATE(C9,B9,1),Ingresos!D:D,"&lt;"&amp;EDATE(DATE(C9,B9,1),1))</f>
        <v/>
      </c>
      <c r="F9" s="8">
        <f>SUMIFS(Egresos!H:H,Egresos!B:B,"&gt;="&amp;DATE(C9,B9,1),Egresos!B:B,"&lt;"&amp;EDATE(DATE(C9,B9,1),1))+SUMIFS(Gastos_Mensuales!H:H,Gastos_Mensuales!B:B,B9,Gastos_Mensuales!C:C,C9)</f>
        <v/>
      </c>
      <c r="G9" s="8">
        <f>SUMIFS(Impuestos!I:I,Impuestos!B:B,B9,Impuestos!C:C,C9)</f>
        <v/>
      </c>
      <c r="H9" s="8">
        <f>D9+E9-F9-G9</f>
        <v/>
      </c>
      <c r="I9" s="2" t="inlineStr"/>
    </row>
    <row r="10">
      <c r="A10" s="2" t="inlineStr">
        <is>
          <t>FLU-09-2026</t>
        </is>
      </c>
      <c r="B10" s="2" t="n">
        <v>9</v>
      </c>
      <c r="C10" s="2" t="n">
        <v>2026</v>
      </c>
      <c r="D10" s="8" t="n">
        <v>0</v>
      </c>
      <c r="E10" s="8">
        <f>SUMIFS(Ingresos!J:J,Ingresos!D:D,"&gt;="&amp;DATE(C10,B10,1),Ingresos!D:D,"&lt;"&amp;EDATE(DATE(C10,B10,1),1))</f>
        <v/>
      </c>
      <c r="F10" s="8">
        <f>SUMIFS(Egresos!H:H,Egresos!B:B,"&gt;="&amp;DATE(C10,B10,1),Egresos!B:B,"&lt;"&amp;EDATE(DATE(C10,B10,1),1))+SUMIFS(Gastos_Mensuales!H:H,Gastos_Mensuales!B:B,B10,Gastos_Mensuales!C:C,C10)</f>
        <v/>
      </c>
      <c r="G10" s="8">
        <f>SUMIFS(Impuestos!I:I,Impuestos!B:B,B10,Impuestos!C:C,C10)</f>
        <v/>
      </c>
      <c r="H10" s="8">
        <f>D10+E10-F10-G10</f>
        <v/>
      </c>
      <c r="I10" s="2" t="inlineStr"/>
    </row>
    <row r="11">
      <c r="A11" s="2" t="inlineStr">
        <is>
          <t>FLU-10-2026</t>
        </is>
      </c>
      <c r="B11" s="2" t="n">
        <v>10</v>
      </c>
      <c r="C11" s="2" t="n">
        <v>2026</v>
      </c>
      <c r="D11" s="8" t="n">
        <v>0</v>
      </c>
      <c r="E11" s="8">
        <f>SUMIFS(Ingresos!J:J,Ingresos!D:D,"&gt;="&amp;DATE(C11,B11,1),Ingresos!D:D,"&lt;"&amp;EDATE(DATE(C11,B11,1),1))</f>
        <v/>
      </c>
      <c r="F11" s="8">
        <f>SUMIFS(Egresos!H:H,Egresos!B:B,"&gt;="&amp;DATE(C11,B11,1),Egresos!B:B,"&lt;"&amp;EDATE(DATE(C11,B11,1),1))+SUMIFS(Gastos_Mensuales!H:H,Gastos_Mensuales!B:B,B11,Gastos_Mensuales!C:C,C11)</f>
        <v/>
      </c>
      <c r="G11" s="8">
        <f>SUMIFS(Impuestos!I:I,Impuestos!B:B,B11,Impuestos!C:C,C11)</f>
        <v/>
      </c>
      <c r="H11" s="8">
        <f>D11+E11-F11-G11</f>
        <v/>
      </c>
      <c r="I11" s="2" t="inlineStr"/>
    </row>
    <row r="12">
      <c r="A12" s="2" t="inlineStr">
        <is>
          <t>FLU-11-2026</t>
        </is>
      </c>
      <c r="B12" s="2" t="n">
        <v>11</v>
      </c>
      <c r="C12" s="2" t="n">
        <v>2026</v>
      </c>
      <c r="D12" s="8" t="n">
        <v>0</v>
      </c>
      <c r="E12" s="8">
        <f>SUMIFS(Ingresos!J:J,Ingresos!D:D,"&gt;="&amp;DATE(C12,B12,1),Ingresos!D:D,"&lt;"&amp;EDATE(DATE(C12,B12,1),1))</f>
        <v/>
      </c>
      <c r="F12" s="8">
        <f>SUMIFS(Egresos!H:H,Egresos!B:B,"&gt;="&amp;DATE(C12,B12,1),Egresos!B:B,"&lt;"&amp;EDATE(DATE(C12,B12,1),1))+SUMIFS(Gastos_Mensuales!H:H,Gastos_Mensuales!B:B,B12,Gastos_Mensuales!C:C,C12)</f>
        <v/>
      </c>
      <c r="G12" s="8">
        <f>SUMIFS(Impuestos!I:I,Impuestos!B:B,B12,Impuestos!C:C,C12)</f>
        <v/>
      </c>
      <c r="H12" s="8">
        <f>D12+E12-F12-G12</f>
        <v/>
      </c>
      <c r="I12" s="2" t="inlineStr"/>
    </row>
    <row r="13">
      <c r="A13" s="2" t="inlineStr">
        <is>
          <t>FLU-12-2026</t>
        </is>
      </c>
      <c r="B13" s="2" t="n">
        <v>12</v>
      </c>
      <c r="C13" s="2" t="n">
        <v>2026</v>
      </c>
      <c r="D13" s="8" t="n">
        <v>0</v>
      </c>
      <c r="E13" s="8">
        <f>SUMIFS(Ingresos!J:J,Ingresos!D:D,"&gt;="&amp;DATE(C13,B13,1),Ingresos!D:D,"&lt;"&amp;EDATE(DATE(C13,B13,1),1))</f>
        <v/>
      </c>
      <c r="F13" s="8">
        <f>SUMIFS(Egresos!H:H,Egresos!B:B,"&gt;="&amp;DATE(C13,B13,1),Egresos!B:B,"&lt;"&amp;EDATE(DATE(C13,B13,1),1))+SUMIFS(Gastos_Mensuales!H:H,Gastos_Mensuales!B:B,B13,Gastos_Mensuales!C:C,C13)</f>
        <v/>
      </c>
      <c r="G13" s="8">
        <f>SUMIFS(Impuestos!I:I,Impuestos!B:B,B13,Impuestos!C:C,C13)</f>
        <v/>
      </c>
      <c r="H13" s="8">
        <f>D13+E13-F13-G13</f>
        <v/>
      </c>
      <c r="I13" s="2" t="inlineStr"/>
    </row>
    <row r="14">
      <c r="A14" s="2" t="n"/>
      <c r="B14" s="2" t="n"/>
      <c r="C14" s="2" t="n"/>
      <c r="D14" s="8" t="n"/>
      <c r="E14" s="8">
        <f>SUMIFS(Ingresos!J:J,Ingresos!D:D,"&gt;="&amp;DATE(C14,B14,1),Ingresos!D:D,"&lt;"&amp;EDATE(DATE(C14,B14,1),1))</f>
        <v/>
      </c>
      <c r="F14" s="8">
        <f>SUMIFS(Egresos!H:H,Egresos!B:B,"&gt;="&amp;DATE(C14,B14,1),Egresos!B:B,"&lt;"&amp;EDATE(DATE(C14,B14,1),1))+SUMIFS(Gastos_Mensuales!H:H,Gastos_Mensuales!B:B,B14,Gastos_Mensuales!C:C,C14)</f>
        <v/>
      </c>
      <c r="G14" s="8">
        <f>SUMIFS(Impuestos!I:I,Impuestos!B:B,B14,Impuestos!C:C,C14)</f>
        <v/>
      </c>
      <c r="H14" s="8">
        <f>D14+E14-F14-G14</f>
        <v/>
      </c>
      <c r="I14" s="2" t="n"/>
    </row>
    <row r="15">
      <c r="A15" s="2" t="n"/>
      <c r="B15" s="2" t="n"/>
      <c r="C15" s="2" t="n"/>
      <c r="D15" s="8" t="n"/>
      <c r="E15" s="8">
        <f>SUMIFS(Ingresos!J:J,Ingresos!D:D,"&gt;="&amp;DATE(C15,B15,1),Ingresos!D:D,"&lt;"&amp;EDATE(DATE(C15,B15,1),1))</f>
        <v/>
      </c>
      <c r="F15" s="8">
        <f>SUMIFS(Egresos!H:H,Egresos!B:B,"&gt;="&amp;DATE(C15,B15,1),Egresos!B:B,"&lt;"&amp;EDATE(DATE(C15,B15,1),1))+SUMIFS(Gastos_Mensuales!H:H,Gastos_Mensuales!B:B,B15,Gastos_Mensuales!C:C,C15)</f>
        <v/>
      </c>
      <c r="G15" s="8">
        <f>SUMIFS(Impuestos!I:I,Impuestos!B:B,B15,Impuestos!C:C,C15)</f>
        <v/>
      </c>
      <c r="H15" s="8">
        <f>D15+E15-F15-G15</f>
        <v/>
      </c>
      <c r="I15" s="2" t="n"/>
    </row>
    <row r="16">
      <c r="A16" s="2" t="n"/>
      <c r="B16" s="2" t="n"/>
      <c r="C16" s="2" t="n"/>
      <c r="D16" s="8" t="n"/>
      <c r="E16" s="8">
        <f>SUMIFS(Ingresos!J:J,Ingresos!D:D,"&gt;="&amp;DATE(C16,B16,1),Ingresos!D:D,"&lt;"&amp;EDATE(DATE(C16,B16,1),1))</f>
        <v/>
      </c>
      <c r="F16" s="8">
        <f>SUMIFS(Egresos!H:H,Egresos!B:B,"&gt;="&amp;DATE(C16,B16,1),Egresos!B:B,"&lt;"&amp;EDATE(DATE(C16,B16,1),1))+SUMIFS(Gastos_Mensuales!H:H,Gastos_Mensuales!B:B,B16,Gastos_Mensuales!C:C,C16)</f>
        <v/>
      </c>
      <c r="G16" s="8">
        <f>SUMIFS(Impuestos!I:I,Impuestos!B:B,B16,Impuestos!C:C,C16)</f>
        <v/>
      </c>
      <c r="H16" s="8">
        <f>D16+E16-F16-G16</f>
        <v/>
      </c>
      <c r="I16" s="2" t="n"/>
    </row>
    <row r="17">
      <c r="A17" s="2" t="n"/>
      <c r="B17" s="2" t="n"/>
      <c r="C17" s="2" t="n"/>
      <c r="D17" s="8" t="n"/>
      <c r="E17" s="8">
        <f>SUMIFS(Ingresos!J:J,Ingresos!D:D,"&gt;="&amp;DATE(C17,B17,1),Ingresos!D:D,"&lt;"&amp;EDATE(DATE(C17,B17,1),1))</f>
        <v/>
      </c>
      <c r="F17" s="8">
        <f>SUMIFS(Egresos!H:H,Egresos!B:B,"&gt;="&amp;DATE(C17,B17,1),Egresos!B:B,"&lt;"&amp;EDATE(DATE(C17,B17,1),1))+SUMIFS(Gastos_Mensuales!H:H,Gastos_Mensuales!B:B,B17,Gastos_Mensuales!C:C,C17)</f>
        <v/>
      </c>
      <c r="G17" s="8">
        <f>SUMIFS(Impuestos!I:I,Impuestos!B:B,B17,Impuestos!C:C,C17)</f>
        <v/>
      </c>
      <c r="H17" s="8">
        <f>D17+E17-F17-G17</f>
        <v/>
      </c>
      <c r="I17" s="2" t="n"/>
    </row>
    <row r="18">
      <c r="A18" s="2" t="n"/>
      <c r="B18" s="2" t="n"/>
      <c r="C18" s="2" t="n"/>
      <c r="D18" s="8" t="n"/>
      <c r="E18" s="8">
        <f>SUMIFS(Ingresos!J:J,Ingresos!D:D,"&gt;="&amp;DATE(C18,B18,1),Ingresos!D:D,"&lt;"&amp;EDATE(DATE(C18,B18,1),1))</f>
        <v/>
      </c>
      <c r="F18" s="8">
        <f>SUMIFS(Egresos!H:H,Egresos!B:B,"&gt;="&amp;DATE(C18,B18,1),Egresos!B:B,"&lt;"&amp;EDATE(DATE(C18,B18,1),1))+SUMIFS(Gastos_Mensuales!H:H,Gastos_Mensuales!B:B,B18,Gastos_Mensuales!C:C,C18)</f>
        <v/>
      </c>
      <c r="G18" s="8">
        <f>SUMIFS(Impuestos!I:I,Impuestos!B:B,B18,Impuestos!C:C,C18)</f>
        <v/>
      </c>
      <c r="H18" s="8">
        <f>D18+E18-F18-G18</f>
        <v/>
      </c>
      <c r="I18" s="2" t="n"/>
    </row>
    <row r="19">
      <c r="A19" s="2" t="n"/>
      <c r="B19" s="2" t="n"/>
      <c r="C19" s="2" t="n"/>
      <c r="D19" s="8" t="n"/>
      <c r="E19" s="8">
        <f>SUMIFS(Ingresos!J:J,Ingresos!D:D,"&gt;="&amp;DATE(C19,B19,1),Ingresos!D:D,"&lt;"&amp;EDATE(DATE(C19,B19,1),1))</f>
        <v/>
      </c>
      <c r="F19" s="8">
        <f>SUMIFS(Egresos!H:H,Egresos!B:B,"&gt;="&amp;DATE(C19,B19,1),Egresos!B:B,"&lt;"&amp;EDATE(DATE(C19,B19,1),1))+SUMIFS(Gastos_Mensuales!H:H,Gastos_Mensuales!B:B,B19,Gastos_Mensuales!C:C,C19)</f>
        <v/>
      </c>
      <c r="G19" s="8">
        <f>SUMIFS(Impuestos!I:I,Impuestos!B:B,B19,Impuestos!C:C,C19)</f>
        <v/>
      </c>
      <c r="H19" s="8">
        <f>D19+E19-F19-G19</f>
        <v/>
      </c>
      <c r="I19" s="2" t="n"/>
    </row>
    <row r="20">
      <c r="A20" s="2" t="n"/>
      <c r="B20" s="2" t="n"/>
      <c r="C20" s="2" t="n"/>
      <c r="D20" s="8" t="n"/>
      <c r="E20" s="8">
        <f>SUMIFS(Ingresos!J:J,Ingresos!D:D,"&gt;="&amp;DATE(C20,B20,1),Ingresos!D:D,"&lt;"&amp;EDATE(DATE(C20,B20,1),1))</f>
        <v/>
      </c>
      <c r="F20" s="8">
        <f>SUMIFS(Egresos!H:H,Egresos!B:B,"&gt;="&amp;DATE(C20,B20,1),Egresos!B:B,"&lt;"&amp;EDATE(DATE(C20,B20,1),1))+SUMIFS(Gastos_Mensuales!H:H,Gastos_Mensuales!B:B,B20,Gastos_Mensuales!C:C,C20)</f>
        <v/>
      </c>
      <c r="G20" s="8">
        <f>SUMIFS(Impuestos!I:I,Impuestos!B:B,B20,Impuestos!C:C,C20)</f>
        <v/>
      </c>
      <c r="H20" s="8">
        <f>D20+E20-F20-G20</f>
        <v/>
      </c>
      <c r="I20" s="2" t="n"/>
    </row>
    <row r="21">
      <c r="A21" s="2" t="n"/>
      <c r="B21" s="2" t="n"/>
      <c r="C21" s="2" t="n"/>
      <c r="D21" s="8" t="n"/>
      <c r="E21" s="8">
        <f>SUMIFS(Ingresos!J:J,Ingresos!D:D,"&gt;="&amp;DATE(C21,B21,1),Ingresos!D:D,"&lt;"&amp;EDATE(DATE(C21,B21,1),1))</f>
        <v/>
      </c>
      <c r="F21" s="8">
        <f>SUMIFS(Egresos!H:H,Egresos!B:B,"&gt;="&amp;DATE(C21,B21,1),Egresos!B:B,"&lt;"&amp;EDATE(DATE(C21,B21,1),1))+SUMIFS(Gastos_Mensuales!H:H,Gastos_Mensuales!B:B,B21,Gastos_Mensuales!C:C,C21)</f>
        <v/>
      </c>
      <c r="G21" s="8">
        <f>SUMIFS(Impuestos!I:I,Impuestos!B:B,B21,Impuestos!C:C,C21)</f>
        <v/>
      </c>
      <c r="H21" s="8">
        <f>D21+E21-F21-G21</f>
        <v/>
      </c>
      <c r="I21" s="2" t="n"/>
    </row>
    <row r="22">
      <c r="A22" s="2" t="n"/>
      <c r="B22" s="2" t="n"/>
      <c r="C22" s="2" t="n"/>
      <c r="D22" s="8" t="n"/>
      <c r="E22" s="8">
        <f>SUMIFS(Ingresos!J:J,Ingresos!D:D,"&gt;="&amp;DATE(C22,B22,1),Ingresos!D:D,"&lt;"&amp;EDATE(DATE(C22,B22,1),1))</f>
        <v/>
      </c>
      <c r="F22" s="8">
        <f>SUMIFS(Egresos!H:H,Egresos!B:B,"&gt;="&amp;DATE(C22,B22,1),Egresos!B:B,"&lt;"&amp;EDATE(DATE(C22,B22,1),1))+SUMIFS(Gastos_Mensuales!H:H,Gastos_Mensuales!B:B,B22,Gastos_Mensuales!C:C,C22)</f>
        <v/>
      </c>
      <c r="G22" s="8">
        <f>SUMIFS(Impuestos!I:I,Impuestos!B:B,B22,Impuestos!C:C,C22)</f>
        <v/>
      </c>
      <c r="H22" s="8">
        <f>D22+E22-F22-G22</f>
        <v/>
      </c>
      <c r="I22" s="2" t="n"/>
    </row>
    <row r="23">
      <c r="A23" s="2" t="n"/>
      <c r="B23" s="2" t="n"/>
      <c r="C23" s="2" t="n"/>
      <c r="D23" s="8" t="n"/>
      <c r="E23" s="8">
        <f>SUMIFS(Ingresos!J:J,Ingresos!D:D,"&gt;="&amp;DATE(C23,B23,1),Ingresos!D:D,"&lt;"&amp;EDATE(DATE(C23,B23,1),1))</f>
        <v/>
      </c>
      <c r="F23" s="8">
        <f>SUMIFS(Egresos!H:H,Egresos!B:B,"&gt;="&amp;DATE(C23,B23,1),Egresos!B:B,"&lt;"&amp;EDATE(DATE(C23,B23,1),1))+SUMIFS(Gastos_Mensuales!H:H,Gastos_Mensuales!B:B,B23,Gastos_Mensuales!C:C,C23)</f>
        <v/>
      </c>
      <c r="G23" s="8">
        <f>SUMIFS(Impuestos!I:I,Impuestos!B:B,B23,Impuestos!C:C,C23)</f>
        <v/>
      </c>
      <c r="H23" s="8">
        <f>D23+E23-F23-G23</f>
        <v/>
      </c>
      <c r="I23" s="2" t="n"/>
    </row>
    <row r="24">
      <c r="A24" s="2" t="n"/>
      <c r="B24" s="2" t="n"/>
      <c r="C24" s="2" t="n"/>
      <c r="D24" s="8" t="n"/>
      <c r="E24" s="8">
        <f>SUMIFS(Ingresos!J:J,Ingresos!D:D,"&gt;="&amp;DATE(C24,B24,1),Ingresos!D:D,"&lt;"&amp;EDATE(DATE(C24,B24,1),1))</f>
        <v/>
      </c>
      <c r="F24" s="8">
        <f>SUMIFS(Egresos!H:H,Egresos!B:B,"&gt;="&amp;DATE(C24,B24,1),Egresos!B:B,"&lt;"&amp;EDATE(DATE(C24,B24,1),1))+SUMIFS(Gastos_Mensuales!H:H,Gastos_Mensuales!B:B,B24,Gastos_Mensuales!C:C,C24)</f>
        <v/>
      </c>
      <c r="G24" s="8">
        <f>SUMIFS(Impuestos!I:I,Impuestos!B:B,B24,Impuestos!C:C,C24)</f>
        <v/>
      </c>
      <c r="H24" s="8">
        <f>D24+E24-F24-G24</f>
        <v/>
      </c>
      <c r="I24" s="2" t="n"/>
    </row>
    <row r="25">
      <c r="A25" s="2" t="n"/>
      <c r="B25" s="2" t="n"/>
      <c r="C25" s="2" t="n"/>
      <c r="D25" s="8" t="n"/>
      <c r="E25" s="8">
        <f>SUMIFS(Ingresos!J:J,Ingresos!D:D,"&gt;="&amp;DATE(C25,B25,1),Ingresos!D:D,"&lt;"&amp;EDATE(DATE(C25,B25,1),1))</f>
        <v/>
      </c>
      <c r="F25" s="8">
        <f>SUMIFS(Egresos!H:H,Egresos!B:B,"&gt;="&amp;DATE(C25,B25,1),Egresos!B:B,"&lt;"&amp;EDATE(DATE(C25,B25,1),1))+SUMIFS(Gastos_Mensuales!H:H,Gastos_Mensuales!B:B,B25,Gastos_Mensuales!C:C,C25)</f>
        <v/>
      </c>
      <c r="G25" s="8">
        <f>SUMIFS(Impuestos!I:I,Impuestos!B:B,B25,Impuestos!C:C,C25)</f>
        <v/>
      </c>
      <c r="H25" s="8">
        <f>D25+E25-F25-G25</f>
        <v/>
      </c>
      <c r="I25" s="2" t="n"/>
    </row>
    <row r="26">
      <c r="A26" s="2" t="n"/>
      <c r="B26" s="2" t="n"/>
      <c r="C26" s="2" t="n"/>
      <c r="D26" s="8" t="n"/>
      <c r="E26" s="8">
        <f>SUMIFS(Ingresos!J:J,Ingresos!D:D,"&gt;="&amp;DATE(C26,B26,1),Ingresos!D:D,"&lt;"&amp;EDATE(DATE(C26,B26,1),1))</f>
        <v/>
      </c>
      <c r="F26" s="8">
        <f>SUMIFS(Egresos!H:H,Egresos!B:B,"&gt;="&amp;DATE(C26,B26,1),Egresos!B:B,"&lt;"&amp;EDATE(DATE(C26,B26,1),1))+SUMIFS(Gastos_Mensuales!H:H,Gastos_Mensuales!B:B,B26,Gastos_Mensuales!C:C,C26)</f>
        <v/>
      </c>
      <c r="G26" s="8">
        <f>SUMIFS(Impuestos!I:I,Impuestos!B:B,B26,Impuestos!C:C,C26)</f>
        <v/>
      </c>
      <c r="H26" s="8">
        <f>D26+E26-F26-G26</f>
        <v/>
      </c>
      <c r="I26" s="2" t="n"/>
    </row>
    <row r="27">
      <c r="A27" s="2" t="n"/>
      <c r="B27" s="2" t="n"/>
      <c r="C27" s="2" t="n"/>
      <c r="D27" s="8" t="n"/>
      <c r="E27" s="8">
        <f>SUMIFS(Ingresos!J:J,Ingresos!D:D,"&gt;="&amp;DATE(C27,B27,1),Ingresos!D:D,"&lt;"&amp;EDATE(DATE(C27,B27,1),1))</f>
        <v/>
      </c>
      <c r="F27" s="8">
        <f>SUMIFS(Egresos!H:H,Egresos!B:B,"&gt;="&amp;DATE(C27,B27,1),Egresos!B:B,"&lt;"&amp;EDATE(DATE(C27,B27,1),1))+SUMIFS(Gastos_Mensuales!H:H,Gastos_Mensuales!B:B,B27,Gastos_Mensuales!C:C,C27)</f>
        <v/>
      </c>
      <c r="G27" s="8">
        <f>SUMIFS(Impuestos!I:I,Impuestos!B:B,B27,Impuestos!C:C,C27)</f>
        <v/>
      </c>
      <c r="H27" s="8">
        <f>D27+E27-F27-G27</f>
        <v/>
      </c>
      <c r="I27" s="2" t="n"/>
    </row>
    <row r="28">
      <c r="A28" s="2" t="n"/>
      <c r="B28" s="2" t="n"/>
      <c r="C28" s="2" t="n"/>
      <c r="D28" s="8" t="n"/>
      <c r="E28" s="8">
        <f>SUMIFS(Ingresos!J:J,Ingresos!D:D,"&gt;="&amp;DATE(C28,B28,1),Ingresos!D:D,"&lt;"&amp;EDATE(DATE(C28,B28,1),1))</f>
        <v/>
      </c>
      <c r="F28" s="8">
        <f>SUMIFS(Egresos!H:H,Egresos!B:B,"&gt;="&amp;DATE(C28,B28,1),Egresos!B:B,"&lt;"&amp;EDATE(DATE(C28,B28,1),1))+SUMIFS(Gastos_Mensuales!H:H,Gastos_Mensuales!B:B,B28,Gastos_Mensuales!C:C,C28)</f>
        <v/>
      </c>
      <c r="G28" s="8">
        <f>SUMIFS(Impuestos!I:I,Impuestos!B:B,B28,Impuestos!C:C,C28)</f>
        <v/>
      </c>
      <c r="H28" s="8">
        <f>D28+E28-F28-G28</f>
        <v/>
      </c>
      <c r="I28" s="2" t="n"/>
    </row>
    <row r="29">
      <c r="A29" s="2" t="n"/>
      <c r="B29" s="2" t="n"/>
      <c r="C29" s="2" t="n"/>
      <c r="D29" s="8" t="n"/>
      <c r="E29" s="8">
        <f>SUMIFS(Ingresos!J:J,Ingresos!D:D,"&gt;="&amp;DATE(C29,B29,1),Ingresos!D:D,"&lt;"&amp;EDATE(DATE(C29,B29,1),1))</f>
        <v/>
      </c>
      <c r="F29" s="8">
        <f>SUMIFS(Egresos!H:H,Egresos!B:B,"&gt;="&amp;DATE(C29,B29,1),Egresos!B:B,"&lt;"&amp;EDATE(DATE(C29,B29,1),1))+SUMIFS(Gastos_Mensuales!H:H,Gastos_Mensuales!B:B,B29,Gastos_Mensuales!C:C,C29)</f>
        <v/>
      </c>
      <c r="G29" s="8">
        <f>SUMIFS(Impuestos!I:I,Impuestos!B:B,B29,Impuestos!C:C,C29)</f>
        <v/>
      </c>
      <c r="H29" s="8">
        <f>D29+E29-F29-G29</f>
        <v/>
      </c>
      <c r="I29" s="2" t="n"/>
    </row>
    <row r="30">
      <c r="A30" s="2" t="n"/>
      <c r="B30" s="2" t="n"/>
      <c r="C30" s="2" t="n"/>
      <c r="D30" s="8" t="n"/>
      <c r="E30" s="8">
        <f>SUMIFS(Ingresos!J:J,Ingresos!D:D,"&gt;="&amp;DATE(C30,B30,1),Ingresos!D:D,"&lt;"&amp;EDATE(DATE(C30,B30,1),1))</f>
        <v/>
      </c>
      <c r="F30" s="8">
        <f>SUMIFS(Egresos!H:H,Egresos!B:B,"&gt;="&amp;DATE(C30,B30,1),Egresos!B:B,"&lt;"&amp;EDATE(DATE(C30,B30,1),1))+SUMIFS(Gastos_Mensuales!H:H,Gastos_Mensuales!B:B,B30,Gastos_Mensuales!C:C,C30)</f>
        <v/>
      </c>
      <c r="G30" s="8">
        <f>SUMIFS(Impuestos!I:I,Impuestos!B:B,B30,Impuestos!C:C,C30)</f>
        <v/>
      </c>
      <c r="H30" s="8">
        <f>D30+E30-F30-G30</f>
        <v/>
      </c>
      <c r="I30" s="2" t="n"/>
    </row>
    <row r="31">
      <c r="A31" s="2" t="n"/>
      <c r="B31" s="2" t="n"/>
      <c r="C31" s="2" t="n"/>
      <c r="D31" s="8" t="n"/>
      <c r="E31" s="8">
        <f>SUMIFS(Ingresos!J:J,Ingresos!D:D,"&gt;="&amp;DATE(C31,B31,1),Ingresos!D:D,"&lt;"&amp;EDATE(DATE(C31,B31,1),1))</f>
        <v/>
      </c>
      <c r="F31" s="8">
        <f>SUMIFS(Egresos!H:H,Egresos!B:B,"&gt;="&amp;DATE(C31,B31,1),Egresos!B:B,"&lt;"&amp;EDATE(DATE(C31,B31,1),1))+SUMIFS(Gastos_Mensuales!H:H,Gastos_Mensuales!B:B,B31,Gastos_Mensuales!C:C,C31)</f>
        <v/>
      </c>
      <c r="G31" s="8">
        <f>SUMIFS(Impuestos!I:I,Impuestos!B:B,B31,Impuestos!C:C,C31)</f>
        <v/>
      </c>
      <c r="H31" s="8">
        <f>D31+E31-F31-G31</f>
        <v/>
      </c>
      <c r="I31" s="2" t="n"/>
    </row>
    <row r="32">
      <c r="A32" s="2" t="n"/>
      <c r="B32" s="2" t="n"/>
      <c r="C32" s="2" t="n"/>
      <c r="D32" s="8" t="n"/>
      <c r="E32" s="8">
        <f>SUMIFS(Ingresos!J:J,Ingresos!D:D,"&gt;="&amp;DATE(C32,B32,1),Ingresos!D:D,"&lt;"&amp;EDATE(DATE(C32,B32,1),1))</f>
        <v/>
      </c>
      <c r="F32" s="8">
        <f>SUMIFS(Egresos!H:H,Egresos!B:B,"&gt;="&amp;DATE(C32,B32,1),Egresos!B:B,"&lt;"&amp;EDATE(DATE(C32,B32,1),1))+SUMIFS(Gastos_Mensuales!H:H,Gastos_Mensuales!B:B,B32,Gastos_Mensuales!C:C,C32)</f>
        <v/>
      </c>
      <c r="G32" s="8">
        <f>SUMIFS(Impuestos!I:I,Impuestos!B:B,B32,Impuestos!C:C,C32)</f>
        <v/>
      </c>
      <c r="H32" s="8">
        <f>D32+E32-F32-G32</f>
        <v/>
      </c>
      <c r="I32" s="2" t="n"/>
    </row>
    <row r="33">
      <c r="A33" s="2" t="n"/>
      <c r="B33" s="2" t="n"/>
      <c r="C33" s="2" t="n"/>
      <c r="D33" s="8" t="n"/>
      <c r="E33" s="8">
        <f>SUMIFS(Ingresos!J:J,Ingresos!D:D,"&gt;="&amp;DATE(C33,B33,1),Ingresos!D:D,"&lt;"&amp;EDATE(DATE(C33,B33,1),1))</f>
        <v/>
      </c>
      <c r="F33" s="8">
        <f>SUMIFS(Egresos!H:H,Egresos!B:B,"&gt;="&amp;DATE(C33,B33,1),Egresos!B:B,"&lt;"&amp;EDATE(DATE(C33,B33,1),1))+SUMIFS(Gastos_Mensuales!H:H,Gastos_Mensuales!B:B,B33,Gastos_Mensuales!C:C,C33)</f>
        <v/>
      </c>
      <c r="G33" s="8">
        <f>SUMIFS(Impuestos!I:I,Impuestos!B:B,B33,Impuestos!C:C,C33)</f>
        <v/>
      </c>
      <c r="H33" s="8">
        <f>D33+E33-F33-G33</f>
        <v/>
      </c>
      <c r="I33" s="2" t="n"/>
    </row>
    <row r="34">
      <c r="A34" s="2" t="n"/>
      <c r="B34" s="2" t="n"/>
      <c r="C34" s="2" t="n"/>
      <c r="D34" s="8" t="n"/>
      <c r="E34" s="8">
        <f>SUMIFS(Ingresos!J:J,Ingresos!D:D,"&gt;="&amp;DATE(C34,B34,1),Ingresos!D:D,"&lt;"&amp;EDATE(DATE(C34,B34,1),1))</f>
        <v/>
      </c>
      <c r="F34" s="8">
        <f>SUMIFS(Egresos!H:H,Egresos!B:B,"&gt;="&amp;DATE(C34,B34,1),Egresos!B:B,"&lt;"&amp;EDATE(DATE(C34,B34,1),1))+SUMIFS(Gastos_Mensuales!H:H,Gastos_Mensuales!B:B,B34,Gastos_Mensuales!C:C,C34)</f>
        <v/>
      </c>
      <c r="G34" s="8">
        <f>SUMIFS(Impuestos!I:I,Impuestos!B:B,B34,Impuestos!C:C,C34)</f>
        <v/>
      </c>
      <c r="H34" s="8">
        <f>D34+E34-F34-G34</f>
        <v/>
      </c>
      <c r="I34" s="2" t="n"/>
    </row>
    <row r="35">
      <c r="A35" s="2" t="n"/>
      <c r="B35" s="2" t="n"/>
      <c r="C35" s="2" t="n"/>
      <c r="D35" s="8" t="n"/>
      <c r="E35" s="8">
        <f>SUMIFS(Ingresos!J:J,Ingresos!D:D,"&gt;="&amp;DATE(C35,B35,1),Ingresos!D:D,"&lt;"&amp;EDATE(DATE(C35,B35,1),1))</f>
        <v/>
      </c>
      <c r="F35" s="8">
        <f>SUMIFS(Egresos!H:H,Egresos!B:B,"&gt;="&amp;DATE(C35,B35,1),Egresos!B:B,"&lt;"&amp;EDATE(DATE(C35,B35,1),1))+SUMIFS(Gastos_Mensuales!H:H,Gastos_Mensuales!B:B,B35,Gastos_Mensuales!C:C,C35)</f>
        <v/>
      </c>
      <c r="G35" s="8">
        <f>SUMIFS(Impuestos!I:I,Impuestos!B:B,B35,Impuestos!C:C,C35)</f>
        <v/>
      </c>
      <c r="H35" s="8">
        <f>D35+E35-F35-G35</f>
        <v/>
      </c>
      <c r="I35" s="2" t="n"/>
    </row>
    <row r="36">
      <c r="A36" s="2" t="n"/>
      <c r="B36" s="2" t="n"/>
      <c r="C36" s="2" t="n"/>
      <c r="D36" s="8" t="n"/>
      <c r="E36" s="8">
        <f>SUMIFS(Ingresos!J:J,Ingresos!D:D,"&gt;="&amp;DATE(C36,B36,1),Ingresos!D:D,"&lt;"&amp;EDATE(DATE(C36,B36,1),1))</f>
        <v/>
      </c>
      <c r="F36" s="8">
        <f>SUMIFS(Egresos!H:H,Egresos!B:B,"&gt;="&amp;DATE(C36,B36,1),Egresos!B:B,"&lt;"&amp;EDATE(DATE(C36,B36,1),1))+SUMIFS(Gastos_Mensuales!H:H,Gastos_Mensuales!B:B,B36,Gastos_Mensuales!C:C,C36)</f>
        <v/>
      </c>
      <c r="G36" s="8">
        <f>SUMIFS(Impuestos!I:I,Impuestos!B:B,B36,Impuestos!C:C,C36)</f>
        <v/>
      </c>
      <c r="H36" s="8">
        <f>D36+E36-F36-G36</f>
        <v/>
      </c>
      <c r="I36" s="2" t="n"/>
    </row>
    <row r="37">
      <c r="A37" s="2" t="n"/>
      <c r="B37" s="2" t="n"/>
      <c r="C37" s="2" t="n"/>
      <c r="D37" s="8" t="n"/>
      <c r="E37" s="8">
        <f>SUMIFS(Ingresos!J:J,Ingresos!D:D,"&gt;="&amp;DATE(C37,B37,1),Ingresos!D:D,"&lt;"&amp;EDATE(DATE(C37,B37,1),1))</f>
        <v/>
      </c>
      <c r="F37" s="8">
        <f>SUMIFS(Egresos!H:H,Egresos!B:B,"&gt;="&amp;DATE(C37,B37,1),Egresos!B:B,"&lt;"&amp;EDATE(DATE(C37,B37,1),1))+SUMIFS(Gastos_Mensuales!H:H,Gastos_Mensuales!B:B,B37,Gastos_Mensuales!C:C,C37)</f>
        <v/>
      </c>
      <c r="G37" s="8">
        <f>SUMIFS(Impuestos!I:I,Impuestos!B:B,B37,Impuestos!C:C,C37)</f>
        <v/>
      </c>
      <c r="H37" s="8">
        <f>D37+E37-F37-G37</f>
        <v/>
      </c>
      <c r="I37" s="2" t="n"/>
    </row>
    <row r="38">
      <c r="A38" s="2" t="n"/>
      <c r="B38" s="2" t="n"/>
      <c r="C38" s="2" t="n"/>
      <c r="D38" s="8" t="n"/>
      <c r="E38" s="8">
        <f>SUMIFS(Ingresos!J:J,Ingresos!D:D,"&gt;="&amp;DATE(C38,B38,1),Ingresos!D:D,"&lt;"&amp;EDATE(DATE(C38,B38,1),1))</f>
        <v/>
      </c>
      <c r="F38" s="8">
        <f>SUMIFS(Egresos!H:H,Egresos!B:B,"&gt;="&amp;DATE(C38,B38,1),Egresos!B:B,"&lt;"&amp;EDATE(DATE(C38,B38,1),1))+SUMIFS(Gastos_Mensuales!H:H,Gastos_Mensuales!B:B,B38,Gastos_Mensuales!C:C,C38)</f>
        <v/>
      </c>
      <c r="G38" s="8">
        <f>SUMIFS(Impuestos!I:I,Impuestos!B:B,B38,Impuestos!C:C,C38)</f>
        <v/>
      </c>
      <c r="H38" s="8">
        <f>D38+E38-F38-G38</f>
        <v/>
      </c>
      <c r="I38" s="2" t="n"/>
    </row>
    <row r="39">
      <c r="A39" s="2" t="n"/>
      <c r="B39" s="2" t="n"/>
      <c r="C39" s="2" t="n"/>
      <c r="D39" s="8" t="n"/>
      <c r="E39" s="8">
        <f>SUMIFS(Ingresos!J:J,Ingresos!D:D,"&gt;="&amp;DATE(C39,B39,1),Ingresos!D:D,"&lt;"&amp;EDATE(DATE(C39,B39,1),1))</f>
        <v/>
      </c>
      <c r="F39" s="8">
        <f>SUMIFS(Egresos!H:H,Egresos!B:B,"&gt;="&amp;DATE(C39,B39,1),Egresos!B:B,"&lt;"&amp;EDATE(DATE(C39,B39,1),1))+SUMIFS(Gastos_Mensuales!H:H,Gastos_Mensuales!B:B,B39,Gastos_Mensuales!C:C,C39)</f>
        <v/>
      </c>
      <c r="G39" s="8">
        <f>SUMIFS(Impuestos!I:I,Impuestos!B:B,B39,Impuestos!C:C,C39)</f>
        <v/>
      </c>
      <c r="H39" s="8">
        <f>D39+E39-F39-G39</f>
        <v/>
      </c>
      <c r="I39" s="2" t="n"/>
    </row>
    <row r="40">
      <c r="A40" s="2" t="n"/>
      <c r="B40" s="2" t="n"/>
      <c r="C40" s="2" t="n"/>
      <c r="D40" s="8" t="n"/>
      <c r="E40" s="8">
        <f>SUMIFS(Ingresos!J:J,Ingresos!D:D,"&gt;="&amp;DATE(C40,B40,1),Ingresos!D:D,"&lt;"&amp;EDATE(DATE(C40,B40,1),1))</f>
        <v/>
      </c>
      <c r="F40" s="8">
        <f>SUMIFS(Egresos!H:H,Egresos!B:B,"&gt;="&amp;DATE(C40,B40,1),Egresos!B:B,"&lt;"&amp;EDATE(DATE(C40,B40,1),1))+SUMIFS(Gastos_Mensuales!H:H,Gastos_Mensuales!B:B,B40,Gastos_Mensuales!C:C,C40)</f>
        <v/>
      </c>
      <c r="G40" s="8">
        <f>SUMIFS(Impuestos!I:I,Impuestos!B:B,B40,Impuestos!C:C,C40)</f>
        <v/>
      </c>
      <c r="H40" s="8">
        <f>D40+E40-F40-G40</f>
        <v/>
      </c>
      <c r="I40" s="2" t="n"/>
    </row>
    <row r="41">
      <c r="A41" s="2" t="n"/>
      <c r="B41" s="2" t="n"/>
      <c r="C41" s="2" t="n"/>
      <c r="D41" s="8" t="n"/>
      <c r="E41" s="8">
        <f>SUMIFS(Ingresos!J:J,Ingresos!D:D,"&gt;="&amp;DATE(C41,B41,1),Ingresos!D:D,"&lt;"&amp;EDATE(DATE(C41,B41,1),1))</f>
        <v/>
      </c>
      <c r="F41" s="8">
        <f>SUMIFS(Egresos!H:H,Egresos!B:B,"&gt;="&amp;DATE(C41,B41,1),Egresos!B:B,"&lt;"&amp;EDATE(DATE(C41,B41,1),1))+SUMIFS(Gastos_Mensuales!H:H,Gastos_Mensuales!B:B,B41,Gastos_Mensuales!C:C,C41)</f>
        <v/>
      </c>
      <c r="G41" s="8">
        <f>SUMIFS(Impuestos!I:I,Impuestos!B:B,B41,Impuestos!C:C,C41)</f>
        <v/>
      </c>
      <c r="H41" s="8">
        <f>D41+E41-F41-G41</f>
        <v/>
      </c>
      <c r="I41" s="2" t="n"/>
    </row>
    <row r="42">
      <c r="A42" s="2" t="n"/>
      <c r="B42" s="2" t="n"/>
      <c r="C42" s="2" t="n"/>
      <c r="D42" s="8" t="n"/>
      <c r="E42" s="8">
        <f>SUMIFS(Ingresos!J:J,Ingresos!D:D,"&gt;="&amp;DATE(C42,B42,1),Ingresos!D:D,"&lt;"&amp;EDATE(DATE(C42,B42,1),1))</f>
        <v/>
      </c>
      <c r="F42" s="8">
        <f>SUMIFS(Egresos!H:H,Egresos!B:B,"&gt;="&amp;DATE(C42,B42,1),Egresos!B:B,"&lt;"&amp;EDATE(DATE(C42,B42,1),1))+SUMIFS(Gastos_Mensuales!H:H,Gastos_Mensuales!B:B,B42,Gastos_Mensuales!C:C,C42)</f>
        <v/>
      </c>
      <c r="G42" s="8">
        <f>SUMIFS(Impuestos!I:I,Impuestos!B:B,B42,Impuestos!C:C,C42)</f>
        <v/>
      </c>
      <c r="H42" s="8">
        <f>D42+E42-F42-G42</f>
        <v/>
      </c>
      <c r="I42" s="2" t="n"/>
    </row>
    <row r="43">
      <c r="A43" s="2" t="n"/>
      <c r="B43" s="2" t="n"/>
      <c r="C43" s="2" t="n"/>
      <c r="D43" s="8" t="n"/>
      <c r="E43" s="8">
        <f>SUMIFS(Ingresos!J:J,Ingresos!D:D,"&gt;="&amp;DATE(C43,B43,1),Ingresos!D:D,"&lt;"&amp;EDATE(DATE(C43,B43,1),1))</f>
        <v/>
      </c>
      <c r="F43" s="8">
        <f>SUMIFS(Egresos!H:H,Egresos!B:B,"&gt;="&amp;DATE(C43,B43,1),Egresos!B:B,"&lt;"&amp;EDATE(DATE(C43,B43,1),1))+SUMIFS(Gastos_Mensuales!H:H,Gastos_Mensuales!B:B,B43,Gastos_Mensuales!C:C,C43)</f>
        <v/>
      </c>
      <c r="G43" s="8">
        <f>SUMIFS(Impuestos!I:I,Impuestos!B:B,B43,Impuestos!C:C,C43)</f>
        <v/>
      </c>
      <c r="H43" s="8">
        <f>D43+E43-F43-G43</f>
        <v/>
      </c>
      <c r="I43" s="2" t="n"/>
    </row>
    <row r="44">
      <c r="A44" s="2" t="n"/>
      <c r="B44" s="2" t="n"/>
      <c r="C44" s="2" t="n"/>
      <c r="D44" s="8" t="n"/>
      <c r="E44" s="8">
        <f>SUMIFS(Ingresos!J:J,Ingresos!D:D,"&gt;="&amp;DATE(C44,B44,1),Ingresos!D:D,"&lt;"&amp;EDATE(DATE(C44,B44,1),1))</f>
        <v/>
      </c>
      <c r="F44" s="8">
        <f>SUMIFS(Egresos!H:H,Egresos!B:B,"&gt;="&amp;DATE(C44,B44,1),Egresos!B:B,"&lt;"&amp;EDATE(DATE(C44,B44,1),1))+SUMIFS(Gastos_Mensuales!H:H,Gastos_Mensuales!B:B,B44,Gastos_Mensuales!C:C,C44)</f>
        <v/>
      </c>
      <c r="G44" s="8">
        <f>SUMIFS(Impuestos!I:I,Impuestos!B:B,B44,Impuestos!C:C,C44)</f>
        <v/>
      </c>
      <c r="H44" s="8">
        <f>D44+E44-F44-G44</f>
        <v/>
      </c>
      <c r="I44" s="2" t="n"/>
    </row>
    <row r="45">
      <c r="A45" s="2" t="n"/>
      <c r="B45" s="2" t="n"/>
      <c r="C45" s="2" t="n"/>
      <c r="D45" s="8" t="n"/>
      <c r="E45" s="8">
        <f>SUMIFS(Ingresos!J:J,Ingresos!D:D,"&gt;="&amp;DATE(C45,B45,1),Ingresos!D:D,"&lt;"&amp;EDATE(DATE(C45,B45,1),1))</f>
        <v/>
      </c>
      <c r="F45" s="8">
        <f>SUMIFS(Egresos!H:H,Egresos!B:B,"&gt;="&amp;DATE(C45,B45,1),Egresos!B:B,"&lt;"&amp;EDATE(DATE(C45,B45,1),1))+SUMIFS(Gastos_Mensuales!H:H,Gastos_Mensuales!B:B,B45,Gastos_Mensuales!C:C,C45)</f>
        <v/>
      </c>
      <c r="G45" s="8">
        <f>SUMIFS(Impuestos!I:I,Impuestos!B:B,B45,Impuestos!C:C,C45)</f>
        <v/>
      </c>
      <c r="H45" s="8">
        <f>D45+E45-F45-G45</f>
        <v/>
      </c>
      <c r="I45" s="2" t="n"/>
    </row>
    <row r="46">
      <c r="A46" s="2" t="n"/>
      <c r="B46" s="2" t="n"/>
      <c r="C46" s="2" t="n"/>
      <c r="D46" s="8" t="n"/>
      <c r="E46" s="8">
        <f>SUMIFS(Ingresos!J:J,Ingresos!D:D,"&gt;="&amp;DATE(C46,B46,1),Ingresos!D:D,"&lt;"&amp;EDATE(DATE(C46,B46,1),1))</f>
        <v/>
      </c>
      <c r="F46" s="8">
        <f>SUMIFS(Egresos!H:H,Egresos!B:B,"&gt;="&amp;DATE(C46,B46,1),Egresos!B:B,"&lt;"&amp;EDATE(DATE(C46,B46,1),1))+SUMIFS(Gastos_Mensuales!H:H,Gastos_Mensuales!B:B,B46,Gastos_Mensuales!C:C,C46)</f>
        <v/>
      </c>
      <c r="G46" s="8">
        <f>SUMIFS(Impuestos!I:I,Impuestos!B:B,B46,Impuestos!C:C,C46)</f>
        <v/>
      </c>
      <c r="H46" s="8">
        <f>D46+E46-F46-G46</f>
        <v/>
      </c>
      <c r="I46" s="2" t="n"/>
    </row>
    <row r="47">
      <c r="A47" s="2" t="n"/>
      <c r="B47" s="2" t="n"/>
      <c r="C47" s="2" t="n"/>
      <c r="D47" s="8" t="n"/>
      <c r="E47" s="8">
        <f>SUMIFS(Ingresos!J:J,Ingresos!D:D,"&gt;="&amp;DATE(C47,B47,1),Ingresos!D:D,"&lt;"&amp;EDATE(DATE(C47,B47,1),1))</f>
        <v/>
      </c>
      <c r="F47" s="8">
        <f>SUMIFS(Egresos!H:H,Egresos!B:B,"&gt;="&amp;DATE(C47,B47,1),Egresos!B:B,"&lt;"&amp;EDATE(DATE(C47,B47,1),1))+SUMIFS(Gastos_Mensuales!H:H,Gastos_Mensuales!B:B,B47,Gastos_Mensuales!C:C,C47)</f>
        <v/>
      </c>
      <c r="G47" s="8">
        <f>SUMIFS(Impuestos!I:I,Impuestos!B:B,B47,Impuestos!C:C,C47)</f>
        <v/>
      </c>
      <c r="H47" s="8">
        <f>D47+E47-F47-G47</f>
        <v/>
      </c>
      <c r="I47" s="2" t="n"/>
    </row>
    <row r="48">
      <c r="A48" s="2" t="n"/>
      <c r="B48" s="2" t="n"/>
      <c r="C48" s="2" t="n"/>
      <c r="D48" s="8" t="n"/>
      <c r="E48" s="8">
        <f>SUMIFS(Ingresos!J:J,Ingresos!D:D,"&gt;="&amp;DATE(C48,B48,1),Ingresos!D:D,"&lt;"&amp;EDATE(DATE(C48,B48,1),1))</f>
        <v/>
      </c>
      <c r="F48" s="8">
        <f>SUMIFS(Egresos!H:H,Egresos!B:B,"&gt;="&amp;DATE(C48,B48,1),Egresos!B:B,"&lt;"&amp;EDATE(DATE(C48,B48,1),1))+SUMIFS(Gastos_Mensuales!H:H,Gastos_Mensuales!B:B,B48,Gastos_Mensuales!C:C,C48)</f>
        <v/>
      </c>
      <c r="G48" s="8">
        <f>SUMIFS(Impuestos!I:I,Impuestos!B:B,B48,Impuestos!C:C,C48)</f>
        <v/>
      </c>
      <c r="H48" s="8">
        <f>D48+E48-F48-G48</f>
        <v/>
      </c>
      <c r="I48" s="2" t="n"/>
    </row>
    <row r="49">
      <c r="A49" s="2" t="n"/>
      <c r="B49" s="2" t="n"/>
      <c r="C49" s="2" t="n"/>
      <c r="D49" s="8" t="n"/>
      <c r="E49" s="8">
        <f>SUMIFS(Ingresos!J:J,Ingresos!D:D,"&gt;="&amp;DATE(C49,B49,1),Ingresos!D:D,"&lt;"&amp;EDATE(DATE(C49,B49,1),1))</f>
        <v/>
      </c>
      <c r="F49" s="8">
        <f>SUMIFS(Egresos!H:H,Egresos!B:B,"&gt;="&amp;DATE(C49,B49,1),Egresos!B:B,"&lt;"&amp;EDATE(DATE(C49,B49,1),1))+SUMIFS(Gastos_Mensuales!H:H,Gastos_Mensuales!B:B,B49,Gastos_Mensuales!C:C,C49)</f>
        <v/>
      </c>
      <c r="G49" s="8">
        <f>SUMIFS(Impuestos!I:I,Impuestos!B:B,B49,Impuestos!C:C,C49)</f>
        <v/>
      </c>
      <c r="H49" s="8">
        <f>D49+E49-F49-G49</f>
        <v/>
      </c>
      <c r="I49" s="2" t="n"/>
    </row>
    <row r="50">
      <c r="A50" s="2" t="n"/>
      <c r="B50" s="2" t="n"/>
      <c r="C50" s="2" t="n"/>
      <c r="D50" s="8" t="n"/>
      <c r="E50" s="8">
        <f>SUMIFS(Ingresos!J:J,Ingresos!D:D,"&gt;="&amp;DATE(C50,B50,1),Ingresos!D:D,"&lt;"&amp;EDATE(DATE(C50,B50,1),1))</f>
        <v/>
      </c>
      <c r="F50" s="8">
        <f>SUMIFS(Egresos!H:H,Egresos!B:B,"&gt;="&amp;DATE(C50,B50,1),Egresos!B:B,"&lt;"&amp;EDATE(DATE(C50,B50,1),1))+SUMIFS(Gastos_Mensuales!H:H,Gastos_Mensuales!B:B,B50,Gastos_Mensuales!C:C,C50)</f>
        <v/>
      </c>
      <c r="G50" s="8">
        <f>SUMIFS(Impuestos!I:I,Impuestos!B:B,B50,Impuestos!C:C,C50)</f>
        <v/>
      </c>
      <c r="H50" s="8">
        <f>D50+E50-F50-G50</f>
        <v/>
      </c>
      <c r="I50" s="2" t="n"/>
    </row>
    <row r="51">
      <c r="A51" s="2" t="n"/>
      <c r="B51" s="2" t="n"/>
      <c r="C51" s="2" t="n"/>
      <c r="D51" s="8" t="n"/>
      <c r="E51" s="8">
        <f>SUMIFS(Ingresos!J:J,Ingresos!D:D,"&gt;="&amp;DATE(C51,B51,1),Ingresos!D:D,"&lt;"&amp;EDATE(DATE(C51,B51,1),1))</f>
        <v/>
      </c>
      <c r="F51" s="8">
        <f>SUMIFS(Egresos!H:H,Egresos!B:B,"&gt;="&amp;DATE(C51,B51,1),Egresos!B:B,"&lt;"&amp;EDATE(DATE(C51,B51,1),1))+SUMIFS(Gastos_Mensuales!H:H,Gastos_Mensuales!B:B,B51,Gastos_Mensuales!C:C,C51)</f>
        <v/>
      </c>
      <c r="G51" s="8">
        <f>SUMIFS(Impuestos!I:I,Impuestos!B:B,B51,Impuestos!C:C,C51)</f>
        <v/>
      </c>
      <c r="H51" s="8">
        <f>D51+E51-F51-G51</f>
        <v/>
      </c>
      <c r="I51" s="2" t="n"/>
    </row>
    <row r="52">
      <c r="A52" s="2" t="n"/>
      <c r="B52" s="2" t="n"/>
      <c r="C52" s="2" t="n"/>
      <c r="D52" s="8" t="n"/>
      <c r="E52" s="8">
        <f>SUMIFS(Ingresos!J:J,Ingresos!D:D,"&gt;="&amp;DATE(C52,B52,1),Ingresos!D:D,"&lt;"&amp;EDATE(DATE(C52,B52,1),1))</f>
        <v/>
      </c>
      <c r="F52" s="8">
        <f>SUMIFS(Egresos!H:H,Egresos!B:B,"&gt;="&amp;DATE(C52,B52,1),Egresos!B:B,"&lt;"&amp;EDATE(DATE(C52,B52,1),1))+SUMIFS(Gastos_Mensuales!H:H,Gastos_Mensuales!B:B,B52,Gastos_Mensuales!C:C,C52)</f>
        <v/>
      </c>
      <c r="G52" s="8">
        <f>SUMIFS(Impuestos!I:I,Impuestos!B:B,B52,Impuestos!C:C,C52)</f>
        <v/>
      </c>
      <c r="H52" s="8">
        <f>D52+E52-F52-G52</f>
        <v/>
      </c>
      <c r="I52" s="2" t="n"/>
    </row>
    <row r="53">
      <c r="A53" s="2" t="n"/>
      <c r="B53" s="2" t="n"/>
      <c r="C53" s="2" t="n"/>
      <c r="D53" s="8" t="n"/>
      <c r="E53" s="8">
        <f>SUMIFS(Ingresos!J:J,Ingresos!D:D,"&gt;="&amp;DATE(C53,B53,1),Ingresos!D:D,"&lt;"&amp;EDATE(DATE(C53,B53,1),1))</f>
        <v/>
      </c>
      <c r="F53" s="8">
        <f>SUMIFS(Egresos!H:H,Egresos!B:B,"&gt;="&amp;DATE(C53,B53,1),Egresos!B:B,"&lt;"&amp;EDATE(DATE(C53,B53,1),1))+SUMIFS(Gastos_Mensuales!H:H,Gastos_Mensuales!B:B,B53,Gastos_Mensuales!C:C,C53)</f>
        <v/>
      </c>
      <c r="G53" s="8">
        <f>SUMIFS(Impuestos!I:I,Impuestos!B:B,B53,Impuestos!C:C,C53)</f>
        <v/>
      </c>
      <c r="H53" s="8">
        <f>D53+E53-F53-G53</f>
        <v/>
      </c>
      <c r="I53" s="2" t="n"/>
    </row>
    <row r="54">
      <c r="A54" s="2" t="n"/>
      <c r="B54" s="2" t="n"/>
      <c r="C54" s="2" t="n"/>
      <c r="D54" s="8" t="n"/>
      <c r="E54" s="8">
        <f>SUMIFS(Ingresos!J:J,Ingresos!D:D,"&gt;="&amp;DATE(C54,B54,1),Ingresos!D:D,"&lt;"&amp;EDATE(DATE(C54,B54,1),1))</f>
        <v/>
      </c>
      <c r="F54" s="8">
        <f>SUMIFS(Egresos!H:H,Egresos!B:B,"&gt;="&amp;DATE(C54,B54,1),Egresos!B:B,"&lt;"&amp;EDATE(DATE(C54,B54,1),1))+SUMIFS(Gastos_Mensuales!H:H,Gastos_Mensuales!B:B,B54,Gastos_Mensuales!C:C,C54)</f>
        <v/>
      </c>
      <c r="G54" s="8">
        <f>SUMIFS(Impuestos!I:I,Impuestos!B:B,B54,Impuestos!C:C,C54)</f>
        <v/>
      </c>
      <c r="H54" s="8">
        <f>D54+E54-F54-G54</f>
        <v/>
      </c>
      <c r="I54" s="2" t="n"/>
    </row>
    <row r="55">
      <c r="A55" s="2" t="n"/>
      <c r="B55" s="2" t="n"/>
      <c r="C55" s="2" t="n"/>
      <c r="D55" s="8" t="n"/>
      <c r="E55" s="8">
        <f>SUMIFS(Ingresos!J:J,Ingresos!D:D,"&gt;="&amp;DATE(C55,B55,1),Ingresos!D:D,"&lt;"&amp;EDATE(DATE(C55,B55,1),1))</f>
        <v/>
      </c>
      <c r="F55" s="8">
        <f>SUMIFS(Egresos!H:H,Egresos!B:B,"&gt;="&amp;DATE(C55,B55,1),Egresos!B:B,"&lt;"&amp;EDATE(DATE(C55,B55,1),1))+SUMIFS(Gastos_Mensuales!H:H,Gastos_Mensuales!B:B,B55,Gastos_Mensuales!C:C,C55)</f>
        <v/>
      </c>
      <c r="G55" s="8">
        <f>SUMIFS(Impuestos!I:I,Impuestos!B:B,B55,Impuestos!C:C,C55)</f>
        <v/>
      </c>
      <c r="H55" s="8">
        <f>D55+E55-F55-G55</f>
        <v/>
      </c>
      <c r="I55" s="2" t="n"/>
    </row>
    <row r="56">
      <c r="A56" s="2" t="n"/>
      <c r="B56" s="2" t="n"/>
      <c r="C56" s="2" t="n"/>
      <c r="D56" s="8" t="n"/>
      <c r="E56" s="8">
        <f>SUMIFS(Ingresos!J:J,Ingresos!D:D,"&gt;="&amp;DATE(C56,B56,1),Ingresos!D:D,"&lt;"&amp;EDATE(DATE(C56,B56,1),1))</f>
        <v/>
      </c>
      <c r="F56" s="8">
        <f>SUMIFS(Egresos!H:H,Egresos!B:B,"&gt;="&amp;DATE(C56,B56,1),Egresos!B:B,"&lt;"&amp;EDATE(DATE(C56,B56,1),1))+SUMIFS(Gastos_Mensuales!H:H,Gastos_Mensuales!B:B,B56,Gastos_Mensuales!C:C,C56)</f>
        <v/>
      </c>
      <c r="G56" s="8">
        <f>SUMIFS(Impuestos!I:I,Impuestos!B:B,B56,Impuestos!C:C,C56)</f>
        <v/>
      </c>
      <c r="H56" s="8">
        <f>D56+E56-F56-G56</f>
        <v/>
      </c>
      <c r="I56" s="2" t="n"/>
    </row>
    <row r="57">
      <c r="A57" s="2" t="n"/>
      <c r="B57" s="2" t="n"/>
      <c r="C57" s="2" t="n"/>
      <c r="D57" s="8" t="n"/>
      <c r="E57" s="8">
        <f>SUMIFS(Ingresos!J:J,Ingresos!D:D,"&gt;="&amp;DATE(C57,B57,1),Ingresos!D:D,"&lt;"&amp;EDATE(DATE(C57,B57,1),1))</f>
        <v/>
      </c>
      <c r="F57" s="8">
        <f>SUMIFS(Egresos!H:H,Egresos!B:B,"&gt;="&amp;DATE(C57,B57,1),Egresos!B:B,"&lt;"&amp;EDATE(DATE(C57,B57,1),1))+SUMIFS(Gastos_Mensuales!H:H,Gastos_Mensuales!B:B,B57,Gastos_Mensuales!C:C,C57)</f>
        <v/>
      </c>
      <c r="G57" s="8">
        <f>SUMIFS(Impuestos!I:I,Impuestos!B:B,B57,Impuestos!C:C,C57)</f>
        <v/>
      </c>
      <c r="H57" s="8">
        <f>D57+E57-F57-G57</f>
        <v/>
      </c>
      <c r="I57" s="2" t="n"/>
    </row>
    <row r="58">
      <c r="A58" s="2" t="n"/>
      <c r="B58" s="2" t="n"/>
      <c r="C58" s="2" t="n"/>
      <c r="D58" s="8" t="n"/>
      <c r="E58" s="8">
        <f>SUMIFS(Ingresos!J:J,Ingresos!D:D,"&gt;="&amp;DATE(C58,B58,1),Ingresos!D:D,"&lt;"&amp;EDATE(DATE(C58,B58,1),1))</f>
        <v/>
      </c>
      <c r="F58" s="8">
        <f>SUMIFS(Egresos!H:H,Egresos!B:B,"&gt;="&amp;DATE(C58,B58,1),Egresos!B:B,"&lt;"&amp;EDATE(DATE(C58,B58,1),1))+SUMIFS(Gastos_Mensuales!H:H,Gastos_Mensuales!B:B,B58,Gastos_Mensuales!C:C,C58)</f>
        <v/>
      </c>
      <c r="G58" s="8">
        <f>SUMIFS(Impuestos!I:I,Impuestos!B:B,B58,Impuestos!C:C,C58)</f>
        <v/>
      </c>
      <c r="H58" s="8">
        <f>D58+E58-F58-G58</f>
        <v/>
      </c>
      <c r="I58" s="2" t="n"/>
    </row>
    <row r="59">
      <c r="A59" s="2" t="n"/>
      <c r="B59" s="2" t="n"/>
      <c r="C59" s="2" t="n"/>
      <c r="D59" s="8" t="n"/>
      <c r="E59" s="8">
        <f>SUMIFS(Ingresos!J:J,Ingresos!D:D,"&gt;="&amp;DATE(C59,B59,1),Ingresos!D:D,"&lt;"&amp;EDATE(DATE(C59,B59,1),1))</f>
        <v/>
      </c>
      <c r="F59" s="8">
        <f>SUMIFS(Egresos!H:H,Egresos!B:B,"&gt;="&amp;DATE(C59,B59,1),Egresos!B:B,"&lt;"&amp;EDATE(DATE(C59,B59,1),1))+SUMIFS(Gastos_Mensuales!H:H,Gastos_Mensuales!B:B,B59,Gastos_Mensuales!C:C,C59)</f>
        <v/>
      </c>
      <c r="G59" s="8">
        <f>SUMIFS(Impuestos!I:I,Impuestos!B:B,B59,Impuestos!C:C,C59)</f>
        <v/>
      </c>
      <c r="H59" s="8">
        <f>D59+E59-F59-G59</f>
        <v/>
      </c>
      <c r="I59" s="2" t="n"/>
    </row>
    <row r="60">
      <c r="A60" s="2" t="n"/>
      <c r="B60" s="2" t="n"/>
      <c r="C60" s="2" t="n"/>
      <c r="D60" s="8" t="n"/>
      <c r="E60" s="8">
        <f>SUMIFS(Ingresos!J:J,Ingresos!D:D,"&gt;="&amp;DATE(C60,B60,1),Ingresos!D:D,"&lt;"&amp;EDATE(DATE(C60,B60,1),1))</f>
        <v/>
      </c>
      <c r="F60" s="8">
        <f>SUMIFS(Egresos!H:H,Egresos!B:B,"&gt;="&amp;DATE(C60,B60,1),Egresos!B:B,"&lt;"&amp;EDATE(DATE(C60,B60,1),1))+SUMIFS(Gastos_Mensuales!H:H,Gastos_Mensuales!B:B,B60,Gastos_Mensuales!C:C,C60)</f>
        <v/>
      </c>
      <c r="G60" s="8">
        <f>SUMIFS(Impuestos!I:I,Impuestos!B:B,B60,Impuestos!C:C,C60)</f>
        <v/>
      </c>
      <c r="H60" s="8">
        <f>D60+E60-F60-G60</f>
        <v/>
      </c>
      <c r="I60" s="2" t="n"/>
    </row>
    <row r="61">
      <c r="A61" s="2" t="n"/>
      <c r="B61" s="2" t="n"/>
      <c r="C61" s="2" t="n"/>
      <c r="D61" s="8" t="n"/>
      <c r="E61" s="8">
        <f>SUMIFS(Ingresos!J:J,Ingresos!D:D,"&gt;="&amp;DATE(C61,B61,1),Ingresos!D:D,"&lt;"&amp;EDATE(DATE(C61,B61,1),1))</f>
        <v/>
      </c>
      <c r="F61" s="8">
        <f>SUMIFS(Egresos!H:H,Egresos!B:B,"&gt;="&amp;DATE(C61,B61,1),Egresos!B:B,"&lt;"&amp;EDATE(DATE(C61,B61,1),1))+SUMIFS(Gastos_Mensuales!H:H,Gastos_Mensuales!B:B,B61,Gastos_Mensuales!C:C,C61)</f>
        <v/>
      </c>
      <c r="G61" s="8">
        <f>SUMIFS(Impuestos!I:I,Impuestos!B:B,B61,Impuestos!C:C,C61)</f>
        <v/>
      </c>
      <c r="H61" s="8">
        <f>D61+E61-F61-G61</f>
        <v/>
      </c>
      <c r="I61" s="2" t="n"/>
    </row>
    <row r="62">
      <c r="A62" s="2" t="n"/>
      <c r="B62" s="2" t="n"/>
      <c r="C62" s="2" t="n"/>
      <c r="D62" s="8" t="n"/>
      <c r="E62" s="8">
        <f>SUMIFS(Ingresos!J:J,Ingresos!D:D,"&gt;="&amp;DATE(C62,B62,1),Ingresos!D:D,"&lt;"&amp;EDATE(DATE(C62,B62,1),1))</f>
        <v/>
      </c>
      <c r="F62" s="8">
        <f>SUMIFS(Egresos!H:H,Egresos!B:B,"&gt;="&amp;DATE(C62,B62,1),Egresos!B:B,"&lt;"&amp;EDATE(DATE(C62,B62,1),1))+SUMIFS(Gastos_Mensuales!H:H,Gastos_Mensuales!B:B,B62,Gastos_Mensuales!C:C,C62)</f>
        <v/>
      </c>
      <c r="G62" s="8">
        <f>SUMIFS(Impuestos!I:I,Impuestos!B:B,B62,Impuestos!C:C,C62)</f>
        <v/>
      </c>
      <c r="H62" s="8">
        <f>D62+E62-F62-G62</f>
        <v/>
      </c>
      <c r="I62" s="2" t="n"/>
    </row>
    <row r="63">
      <c r="A63" s="2" t="n"/>
      <c r="B63" s="2" t="n"/>
      <c r="C63" s="2" t="n"/>
      <c r="D63" s="8" t="n"/>
      <c r="E63" s="8">
        <f>SUMIFS(Ingresos!J:J,Ingresos!D:D,"&gt;="&amp;DATE(C63,B63,1),Ingresos!D:D,"&lt;"&amp;EDATE(DATE(C63,B63,1),1))</f>
        <v/>
      </c>
      <c r="F63" s="8">
        <f>SUMIFS(Egresos!H:H,Egresos!B:B,"&gt;="&amp;DATE(C63,B63,1),Egresos!B:B,"&lt;"&amp;EDATE(DATE(C63,B63,1),1))+SUMIFS(Gastos_Mensuales!H:H,Gastos_Mensuales!B:B,B63,Gastos_Mensuales!C:C,C63)</f>
        <v/>
      </c>
      <c r="G63" s="8">
        <f>SUMIFS(Impuestos!I:I,Impuestos!B:B,B63,Impuestos!C:C,C63)</f>
        <v/>
      </c>
      <c r="H63" s="8">
        <f>D63+E63-F63-G63</f>
        <v/>
      </c>
      <c r="I63" s="2" t="n"/>
    </row>
    <row r="64">
      <c r="A64" s="2" t="n"/>
      <c r="B64" s="2" t="n"/>
      <c r="C64" s="2" t="n"/>
      <c r="D64" s="8" t="n"/>
      <c r="E64" s="8">
        <f>SUMIFS(Ingresos!J:J,Ingresos!D:D,"&gt;="&amp;DATE(C64,B64,1),Ingresos!D:D,"&lt;"&amp;EDATE(DATE(C64,B64,1),1))</f>
        <v/>
      </c>
      <c r="F64" s="8">
        <f>SUMIFS(Egresos!H:H,Egresos!B:B,"&gt;="&amp;DATE(C64,B64,1),Egresos!B:B,"&lt;"&amp;EDATE(DATE(C64,B64,1),1))+SUMIFS(Gastos_Mensuales!H:H,Gastos_Mensuales!B:B,B64,Gastos_Mensuales!C:C,C64)</f>
        <v/>
      </c>
      <c r="G64" s="8">
        <f>SUMIFS(Impuestos!I:I,Impuestos!B:B,B64,Impuestos!C:C,C64)</f>
        <v/>
      </c>
      <c r="H64" s="8">
        <f>D64+E64-F64-G64</f>
        <v/>
      </c>
      <c r="I64" s="2" t="n"/>
    </row>
    <row r="65">
      <c r="A65" s="2" t="n"/>
      <c r="B65" s="2" t="n"/>
      <c r="C65" s="2" t="n"/>
      <c r="D65" s="8" t="n"/>
      <c r="E65" s="8">
        <f>SUMIFS(Ingresos!J:J,Ingresos!D:D,"&gt;="&amp;DATE(C65,B65,1),Ingresos!D:D,"&lt;"&amp;EDATE(DATE(C65,B65,1),1))</f>
        <v/>
      </c>
      <c r="F65" s="8">
        <f>SUMIFS(Egresos!H:H,Egresos!B:B,"&gt;="&amp;DATE(C65,B65,1),Egresos!B:B,"&lt;"&amp;EDATE(DATE(C65,B65,1),1))+SUMIFS(Gastos_Mensuales!H:H,Gastos_Mensuales!B:B,B65,Gastos_Mensuales!C:C,C65)</f>
        <v/>
      </c>
      <c r="G65" s="8">
        <f>SUMIFS(Impuestos!I:I,Impuestos!B:B,B65,Impuestos!C:C,C65)</f>
        <v/>
      </c>
      <c r="H65" s="8">
        <f>D65+E65-F65-G65</f>
        <v/>
      </c>
      <c r="I65" s="2" t="n"/>
    </row>
    <row r="66">
      <c r="A66" s="2" t="n"/>
      <c r="B66" s="2" t="n"/>
      <c r="C66" s="2" t="n"/>
      <c r="D66" s="8" t="n"/>
      <c r="E66" s="8">
        <f>SUMIFS(Ingresos!J:J,Ingresos!D:D,"&gt;="&amp;DATE(C66,B66,1),Ingresos!D:D,"&lt;"&amp;EDATE(DATE(C66,B66,1),1))</f>
        <v/>
      </c>
      <c r="F66" s="8">
        <f>SUMIFS(Egresos!H:H,Egresos!B:B,"&gt;="&amp;DATE(C66,B66,1),Egresos!B:B,"&lt;"&amp;EDATE(DATE(C66,B66,1),1))+SUMIFS(Gastos_Mensuales!H:H,Gastos_Mensuales!B:B,B66,Gastos_Mensuales!C:C,C66)</f>
        <v/>
      </c>
      <c r="G66" s="8">
        <f>SUMIFS(Impuestos!I:I,Impuestos!B:B,B66,Impuestos!C:C,C66)</f>
        <v/>
      </c>
      <c r="H66" s="8">
        <f>D66+E66-F66-G66</f>
        <v/>
      </c>
      <c r="I66" s="2" t="n"/>
    </row>
    <row r="67">
      <c r="A67" s="2" t="n"/>
      <c r="B67" s="2" t="n"/>
      <c r="C67" s="2" t="n"/>
      <c r="D67" s="8" t="n"/>
      <c r="E67" s="8">
        <f>SUMIFS(Ingresos!J:J,Ingresos!D:D,"&gt;="&amp;DATE(C67,B67,1),Ingresos!D:D,"&lt;"&amp;EDATE(DATE(C67,B67,1),1))</f>
        <v/>
      </c>
      <c r="F67" s="8">
        <f>SUMIFS(Egresos!H:H,Egresos!B:B,"&gt;="&amp;DATE(C67,B67,1),Egresos!B:B,"&lt;"&amp;EDATE(DATE(C67,B67,1),1))+SUMIFS(Gastos_Mensuales!H:H,Gastos_Mensuales!B:B,B67,Gastos_Mensuales!C:C,C67)</f>
        <v/>
      </c>
      <c r="G67" s="8">
        <f>SUMIFS(Impuestos!I:I,Impuestos!B:B,B67,Impuestos!C:C,C67)</f>
        <v/>
      </c>
      <c r="H67" s="8">
        <f>D67+E67-F67-G67</f>
        <v/>
      </c>
      <c r="I67" s="2" t="n"/>
    </row>
    <row r="68">
      <c r="A68" s="2" t="n"/>
      <c r="B68" s="2" t="n"/>
      <c r="C68" s="2" t="n"/>
      <c r="D68" s="8" t="n"/>
      <c r="E68" s="8">
        <f>SUMIFS(Ingresos!J:J,Ingresos!D:D,"&gt;="&amp;DATE(C68,B68,1),Ingresos!D:D,"&lt;"&amp;EDATE(DATE(C68,B68,1),1))</f>
        <v/>
      </c>
      <c r="F68" s="8">
        <f>SUMIFS(Egresos!H:H,Egresos!B:B,"&gt;="&amp;DATE(C68,B68,1),Egresos!B:B,"&lt;"&amp;EDATE(DATE(C68,B68,1),1))+SUMIFS(Gastos_Mensuales!H:H,Gastos_Mensuales!B:B,B68,Gastos_Mensuales!C:C,C68)</f>
        <v/>
      </c>
      <c r="G68" s="8">
        <f>SUMIFS(Impuestos!I:I,Impuestos!B:B,B68,Impuestos!C:C,C68)</f>
        <v/>
      </c>
      <c r="H68" s="8">
        <f>D68+E68-F68-G68</f>
        <v/>
      </c>
      <c r="I68" s="2" t="n"/>
    </row>
    <row r="69">
      <c r="A69" s="2" t="n"/>
      <c r="B69" s="2" t="n"/>
      <c r="C69" s="2" t="n"/>
      <c r="D69" s="8" t="n"/>
      <c r="E69" s="8">
        <f>SUMIFS(Ingresos!J:J,Ingresos!D:D,"&gt;="&amp;DATE(C69,B69,1),Ingresos!D:D,"&lt;"&amp;EDATE(DATE(C69,B69,1),1))</f>
        <v/>
      </c>
      <c r="F69" s="8">
        <f>SUMIFS(Egresos!H:H,Egresos!B:B,"&gt;="&amp;DATE(C69,B69,1),Egresos!B:B,"&lt;"&amp;EDATE(DATE(C69,B69,1),1))+SUMIFS(Gastos_Mensuales!H:H,Gastos_Mensuales!B:B,B69,Gastos_Mensuales!C:C,C69)</f>
        <v/>
      </c>
      <c r="G69" s="8">
        <f>SUMIFS(Impuestos!I:I,Impuestos!B:B,B69,Impuestos!C:C,C69)</f>
        <v/>
      </c>
      <c r="H69" s="8">
        <f>D69+E69-F69-G69</f>
        <v/>
      </c>
      <c r="I69" s="2" t="n"/>
    </row>
    <row r="70">
      <c r="A70" s="2" t="n"/>
      <c r="B70" s="2" t="n"/>
      <c r="C70" s="2" t="n"/>
      <c r="D70" s="8" t="n"/>
      <c r="E70" s="8">
        <f>SUMIFS(Ingresos!J:J,Ingresos!D:D,"&gt;="&amp;DATE(C70,B70,1),Ingresos!D:D,"&lt;"&amp;EDATE(DATE(C70,B70,1),1))</f>
        <v/>
      </c>
      <c r="F70" s="8">
        <f>SUMIFS(Egresos!H:H,Egresos!B:B,"&gt;="&amp;DATE(C70,B70,1),Egresos!B:B,"&lt;"&amp;EDATE(DATE(C70,B70,1),1))+SUMIFS(Gastos_Mensuales!H:H,Gastos_Mensuales!B:B,B70,Gastos_Mensuales!C:C,C70)</f>
        <v/>
      </c>
      <c r="G70" s="8">
        <f>SUMIFS(Impuestos!I:I,Impuestos!B:B,B70,Impuestos!C:C,C70)</f>
        <v/>
      </c>
      <c r="H70" s="8">
        <f>D70+E70-F70-G70</f>
        <v/>
      </c>
      <c r="I70" s="2" t="n"/>
    </row>
    <row r="71">
      <c r="A71" s="2" t="n"/>
      <c r="B71" s="2" t="n"/>
      <c r="C71" s="2" t="n"/>
      <c r="D71" s="8" t="n"/>
      <c r="E71" s="8">
        <f>SUMIFS(Ingresos!J:J,Ingresos!D:D,"&gt;="&amp;DATE(C71,B71,1),Ingresos!D:D,"&lt;"&amp;EDATE(DATE(C71,B71,1),1))</f>
        <v/>
      </c>
      <c r="F71" s="8">
        <f>SUMIFS(Egresos!H:H,Egresos!B:B,"&gt;="&amp;DATE(C71,B71,1),Egresos!B:B,"&lt;"&amp;EDATE(DATE(C71,B71,1),1))+SUMIFS(Gastos_Mensuales!H:H,Gastos_Mensuales!B:B,B71,Gastos_Mensuales!C:C,C71)</f>
        <v/>
      </c>
      <c r="G71" s="8">
        <f>SUMIFS(Impuestos!I:I,Impuestos!B:B,B71,Impuestos!C:C,C71)</f>
        <v/>
      </c>
      <c r="H71" s="8">
        <f>D71+E71-F71-G71</f>
        <v/>
      </c>
      <c r="I71" s="2" t="n"/>
    </row>
    <row r="72">
      <c r="A72" s="2" t="n"/>
      <c r="B72" s="2" t="n"/>
      <c r="C72" s="2" t="n"/>
      <c r="D72" s="8" t="n"/>
      <c r="E72" s="8">
        <f>SUMIFS(Ingresos!J:J,Ingresos!D:D,"&gt;="&amp;DATE(C72,B72,1),Ingresos!D:D,"&lt;"&amp;EDATE(DATE(C72,B72,1),1))</f>
        <v/>
      </c>
      <c r="F72" s="8">
        <f>SUMIFS(Egresos!H:H,Egresos!B:B,"&gt;="&amp;DATE(C72,B72,1),Egresos!B:B,"&lt;"&amp;EDATE(DATE(C72,B72,1),1))+SUMIFS(Gastos_Mensuales!H:H,Gastos_Mensuales!B:B,B72,Gastos_Mensuales!C:C,C72)</f>
        <v/>
      </c>
      <c r="G72" s="8">
        <f>SUMIFS(Impuestos!I:I,Impuestos!B:B,B72,Impuestos!C:C,C72)</f>
        <v/>
      </c>
      <c r="H72" s="8">
        <f>D72+E72-F72-G72</f>
        <v/>
      </c>
      <c r="I72" s="2" t="n"/>
    </row>
    <row r="73">
      <c r="A73" s="2" t="n"/>
      <c r="B73" s="2" t="n"/>
      <c r="C73" s="2" t="n"/>
      <c r="D73" s="8" t="n"/>
      <c r="E73" s="8">
        <f>SUMIFS(Ingresos!J:J,Ingresos!D:D,"&gt;="&amp;DATE(C73,B73,1),Ingresos!D:D,"&lt;"&amp;EDATE(DATE(C73,B73,1),1))</f>
        <v/>
      </c>
      <c r="F73" s="8">
        <f>SUMIFS(Egresos!H:H,Egresos!B:B,"&gt;="&amp;DATE(C73,B73,1),Egresos!B:B,"&lt;"&amp;EDATE(DATE(C73,B73,1),1))+SUMIFS(Gastos_Mensuales!H:H,Gastos_Mensuales!B:B,B73,Gastos_Mensuales!C:C,C73)</f>
        <v/>
      </c>
      <c r="G73" s="8">
        <f>SUMIFS(Impuestos!I:I,Impuestos!B:B,B73,Impuestos!C:C,C73)</f>
        <v/>
      </c>
      <c r="H73" s="8">
        <f>D73+E73-F73-G73</f>
        <v/>
      </c>
      <c r="I73" s="2" t="n"/>
    </row>
    <row r="74">
      <c r="A74" s="2" t="n"/>
      <c r="B74" s="2" t="n"/>
      <c r="C74" s="2" t="n"/>
      <c r="D74" s="8" t="n"/>
      <c r="E74" s="8">
        <f>SUMIFS(Ingresos!J:J,Ingresos!D:D,"&gt;="&amp;DATE(C74,B74,1),Ingresos!D:D,"&lt;"&amp;EDATE(DATE(C74,B74,1),1))</f>
        <v/>
      </c>
      <c r="F74" s="8">
        <f>SUMIFS(Egresos!H:H,Egresos!B:B,"&gt;="&amp;DATE(C74,B74,1),Egresos!B:B,"&lt;"&amp;EDATE(DATE(C74,B74,1),1))+SUMIFS(Gastos_Mensuales!H:H,Gastos_Mensuales!B:B,B74,Gastos_Mensuales!C:C,C74)</f>
        <v/>
      </c>
      <c r="G74" s="8">
        <f>SUMIFS(Impuestos!I:I,Impuestos!B:B,B74,Impuestos!C:C,C74)</f>
        <v/>
      </c>
      <c r="H74" s="8">
        <f>D74+E74-F74-G74</f>
        <v/>
      </c>
      <c r="I74" s="2" t="n"/>
    </row>
    <row r="75">
      <c r="A75" s="2" t="n"/>
      <c r="B75" s="2" t="n"/>
      <c r="C75" s="2" t="n"/>
      <c r="D75" s="8" t="n"/>
      <c r="E75" s="8">
        <f>SUMIFS(Ingresos!J:J,Ingresos!D:D,"&gt;="&amp;DATE(C75,B75,1),Ingresos!D:D,"&lt;"&amp;EDATE(DATE(C75,B75,1),1))</f>
        <v/>
      </c>
      <c r="F75" s="8">
        <f>SUMIFS(Egresos!H:H,Egresos!B:B,"&gt;="&amp;DATE(C75,B75,1),Egresos!B:B,"&lt;"&amp;EDATE(DATE(C75,B75,1),1))+SUMIFS(Gastos_Mensuales!H:H,Gastos_Mensuales!B:B,B75,Gastos_Mensuales!C:C,C75)</f>
        <v/>
      </c>
      <c r="G75" s="8">
        <f>SUMIFS(Impuestos!I:I,Impuestos!B:B,B75,Impuestos!C:C,C75)</f>
        <v/>
      </c>
      <c r="H75" s="8">
        <f>D75+E75-F75-G75</f>
        <v/>
      </c>
      <c r="I75" s="2" t="n"/>
    </row>
    <row r="76">
      <c r="A76" s="2" t="n"/>
      <c r="B76" s="2" t="n"/>
      <c r="C76" s="2" t="n"/>
      <c r="D76" s="8" t="n"/>
      <c r="E76" s="8">
        <f>SUMIFS(Ingresos!J:J,Ingresos!D:D,"&gt;="&amp;DATE(C76,B76,1),Ingresos!D:D,"&lt;"&amp;EDATE(DATE(C76,B76,1),1))</f>
        <v/>
      </c>
      <c r="F76" s="8">
        <f>SUMIFS(Egresos!H:H,Egresos!B:B,"&gt;="&amp;DATE(C76,B76,1),Egresos!B:B,"&lt;"&amp;EDATE(DATE(C76,B76,1),1))+SUMIFS(Gastos_Mensuales!H:H,Gastos_Mensuales!B:B,B76,Gastos_Mensuales!C:C,C76)</f>
        <v/>
      </c>
      <c r="G76" s="8">
        <f>SUMIFS(Impuestos!I:I,Impuestos!B:B,B76,Impuestos!C:C,C76)</f>
        <v/>
      </c>
      <c r="H76" s="8">
        <f>D76+E76-F76-G76</f>
        <v/>
      </c>
      <c r="I76" s="2" t="n"/>
    </row>
    <row r="77">
      <c r="A77" s="2" t="n"/>
      <c r="B77" s="2" t="n"/>
      <c r="C77" s="2" t="n"/>
      <c r="D77" s="8" t="n"/>
      <c r="E77" s="8">
        <f>SUMIFS(Ingresos!J:J,Ingresos!D:D,"&gt;="&amp;DATE(C77,B77,1),Ingresos!D:D,"&lt;"&amp;EDATE(DATE(C77,B77,1),1))</f>
        <v/>
      </c>
      <c r="F77" s="8">
        <f>SUMIFS(Egresos!H:H,Egresos!B:B,"&gt;="&amp;DATE(C77,B77,1),Egresos!B:B,"&lt;"&amp;EDATE(DATE(C77,B77,1),1))+SUMIFS(Gastos_Mensuales!H:H,Gastos_Mensuales!B:B,B77,Gastos_Mensuales!C:C,C77)</f>
        <v/>
      </c>
      <c r="G77" s="8">
        <f>SUMIFS(Impuestos!I:I,Impuestos!B:B,B77,Impuestos!C:C,C77)</f>
        <v/>
      </c>
      <c r="H77" s="8">
        <f>D77+E77-F77-G77</f>
        <v/>
      </c>
      <c r="I77" s="2" t="n"/>
    </row>
    <row r="78">
      <c r="A78" s="2" t="n"/>
      <c r="B78" s="2" t="n"/>
      <c r="C78" s="2" t="n"/>
      <c r="D78" s="8" t="n"/>
      <c r="E78" s="8">
        <f>SUMIFS(Ingresos!J:J,Ingresos!D:D,"&gt;="&amp;DATE(C78,B78,1),Ingresos!D:D,"&lt;"&amp;EDATE(DATE(C78,B78,1),1))</f>
        <v/>
      </c>
      <c r="F78" s="8">
        <f>SUMIFS(Egresos!H:H,Egresos!B:B,"&gt;="&amp;DATE(C78,B78,1),Egresos!B:B,"&lt;"&amp;EDATE(DATE(C78,B78,1),1))+SUMIFS(Gastos_Mensuales!H:H,Gastos_Mensuales!B:B,B78,Gastos_Mensuales!C:C,C78)</f>
        <v/>
      </c>
      <c r="G78" s="8">
        <f>SUMIFS(Impuestos!I:I,Impuestos!B:B,B78,Impuestos!C:C,C78)</f>
        <v/>
      </c>
      <c r="H78" s="8">
        <f>D78+E78-F78-G78</f>
        <v/>
      </c>
      <c r="I78" s="2" t="n"/>
    </row>
    <row r="79">
      <c r="A79" s="2" t="n"/>
      <c r="B79" s="2" t="n"/>
      <c r="C79" s="2" t="n"/>
      <c r="D79" s="8" t="n"/>
      <c r="E79" s="8">
        <f>SUMIFS(Ingresos!J:J,Ingresos!D:D,"&gt;="&amp;DATE(C79,B79,1),Ingresos!D:D,"&lt;"&amp;EDATE(DATE(C79,B79,1),1))</f>
        <v/>
      </c>
      <c r="F79" s="8">
        <f>SUMIFS(Egresos!H:H,Egresos!B:B,"&gt;="&amp;DATE(C79,B79,1),Egresos!B:B,"&lt;"&amp;EDATE(DATE(C79,B79,1),1))+SUMIFS(Gastos_Mensuales!H:H,Gastos_Mensuales!B:B,B79,Gastos_Mensuales!C:C,C79)</f>
        <v/>
      </c>
      <c r="G79" s="8">
        <f>SUMIFS(Impuestos!I:I,Impuestos!B:B,B79,Impuestos!C:C,C79)</f>
        <v/>
      </c>
      <c r="H79" s="8">
        <f>D79+E79-F79-G79</f>
        <v/>
      </c>
      <c r="I79" s="2" t="n"/>
    </row>
    <row r="80">
      <c r="A80" s="2" t="n"/>
      <c r="B80" s="2" t="n"/>
      <c r="C80" s="2" t="n"/>
      <c r="D80" s="8" t="n"/>
      <c r="E80" s="8">
        <f>SUMIFS(Ingresos!J:J,Ingresos!D:D,"&gt;="&amp;DATE(C80,B80,1),Ingresos!D:D,"&lt;"&amp;EDATE(DATE(C80,B80,1),1))</f>
        <v/>
      </c>
      <c r="F80" s="8">
        <f>SUMIFS(Egresos!H:H,Egresos!B:B,"&gt;="&amp;DATE(C80,B80,1),Egresos!B:B,"&lt;"&amp;EDATE(DATE(C80,B80,1),1))+SUMIFS(Gastos_Mensuales!H:H,Gastos_Mensuales!B:B,B80,Gastos_Mensuales!C:C,C80)</f>
        <v/>
      </c>
      <c r="G80" s="8">
        <f>SUMIFS(Impuestos!I:I,Impuestos!B:B,B80,Impuestos!C:C,C80)</f>
        <v/>
      </c>
      <c r="H80" s="8">
        <f>D80+E80-F80-G80</f>
        <v/>
      </c>
      <c r="I80" s="2" t="n"/>
    </row>
    <row r="81">
      <c r="A81" s="2" t="n"/>
      <c r="B81" s="2" t="n"/>
      <c r="C81" s="2" t="n"/>
      <c r="D81" s="8" t="n"/>
      <c r="E81" s="8">
        <f>SUMIFS(Ingresos!J:J,Ingresos!D:D,"&gt;="&amp;DATE(C81,B81,1),Ingresos!D:D,"&lt;"&amp;EDATE(DATE(C81,B81,1),1))</f>
        <v/>
      </c>
      <c r="F81" s="8">
        <f>SUMIFS(Egresos!H:H,Egresos!B:B,"&gt;="&amp;DATE(C81,B81,1),Egresos!B:B,"&lt;"&amp;EDATE(DATE(C81,B81,1),1))+SUMIFS(Gastos_Mensuales!H:H,Gastos_Mensuales!B:B,B81,Gastos_Mensuales!C:C,C81)</f>
        <v/>
      </c>
      <c r="G81" s="8">
        <f>SUMIFS(Impuestos!I:I,Impuestos!B:B,B81,Impuestos!C:C,C81)</f>
        <v/>
      </c>
      <c r="H81" s="8">
        <f>D81+E81-F81-G81</f>
        <v/>
      </c>
      <c r="I81" s="2" t="n"/>
    </row>
    <row r="82">
      <c r="A82" s="2" t="n"/>
      <c r="B82" s="2" t="n"/>
      <c r="C82" s="2" t="n"/>
      <c r="D82" s="8" t="n"/>
      <c r="E82" s="8">
        <f>SUMIFS(Ingresos!J:J,Ingresos!D:D,"&gt;="&amp;DATE(C82,B82,1),Ingresos!D:D,"&lt;"&amp;EDATE(DATE(C82,B82,1),1))</f>
        <v/>
      </c>
      <c r="F82" s="8">
        <f>SUMIFS(Egresos!H:H,Egresos!B:B,"&gt;="&amp;DATE(C82,B82,1),Egresos!B:B,"&lt;"&amp;EDATE(DATE(C82,B82,1),1))+SUMIFS(Gastos_Mensuales!H:H,Gastos_Mensuales!B:B,B82,Gastos_Mensuales!C:C,C82)</f>
        <v/>
      </c>
      <c r="G82" s="8">
        <f>SUMIFS(Impuestos!I:I,Impuestos!B:B,B82,Impuestos!C:C,C82)</f>
        <v/>
      </c>
      <c r="H82" s="8">
        <f>D82+E82-F82-G82</f>
        <v/>
      </c>
      <c r="I82" s="2" t="n"/>
    </row>
    <row r="83">
      <c r="A83" s="2" t="n"/>
      <c r="B83" s="2" t="n"/>
      <c r="C83" s="2" t="n"/>
      <c r="D83" s="8" t="n"/>
      <c r="E83" s="8">
        <f>SUMIFS(Ingresos!J:J,Ingresos!D:D,"&gt;="&amp;DATE(C83,B83,1),Ingresos!D:D,"&lt;"&amp;EDATE(DATE(C83,B83,1),1))</f>
        <v/>
      </c>
      <c r="F83" s="8">
        <f>SUMIFS(Egresos!H:H,Egresos!B:B,"&gt;="&amp;DATE(C83,B83,1),Egresos!B:B,"&lt;"&amp;EDATE(DATE(C83,B83,1),1))+SUMIFS(Gastos_Mensuales!H:H,Gastos_Mensuales!B:B,B83,Gastos_Mensuales!C:C,C83)</f>
        <v/>
      </c>
      <c r="G83" s="8">
        <f>SUMIFS(Impuestos!I:I,Impuestos!B:B,B83,Impuestos!C:C,C83)</f>
        <v/>
      </c>
      <c r="H83" s="8">
        <f>D83+E83-F83-G83</f>
        <v/>
      </c>
      <c r="I83" s="2" t="n"/>
    </row>
    <row r="84">
      <c r="A84" s="2" t="n"/>
      <c r="B84" s="2" t="n"/>
      <c r="C84" s="2" t="n"/>
      <c r="D84" s="8" t="n"/>
      <c r="E84" s="8">
        <f>SUMIFS(Ingresos!J:J,Ingresos!D:D,"&gt;="&amp;DATE(C84,B84,1),Ingresos!D:D,"&lt;"&amp;EDATE(DATE(C84,B84,1),1))</f>
        <v/>
      </c>
      <c r="F84" s="8">
        <f>SUMIFS(Egresos!H:H,Egresos!B:B,"&gt;="&amp;DATE(C84,B84,1),Egresos!B:B,"&lt;"&amp;EDATE(DATE(C84,B84,1),1))+SUMIFS(Gastos_Mensuales!H:H,Gastos_Mensuales!B:B,B84,Gastos_Mensuales!C:C,C84)</f>
        <v/>
      </c>
      <c r="G84" s="8">
        <f>SUMIFS(Impuestos!I:I,Impuestos!B:B,B84,Impuestos!C:C,C84)</f>
        <v/>
      </c>
      <c r="H84" s="8">
        <f>D84+E84-F84-G84</f>
        <v/>
      </c>
      <c r="I84" s="2" t="n"/>
    </row>
    <row r="85">
      <c r="A85" s="2" t="n"/>
      <c r="B85" s="2" t="n"/>
      <c r="C85" s="2" t="n"/>
      <c r="D85" s="8" t="n"/>
      <c r="E85" s="8">
        <f>SUMIFS(Ingresos!J:J,Ingresos!D:D,"&gt;="&amp;DATE(C85,B85,1),Ingresos!D:D,"&lt;"&amp;EDATE(DATE(C85,B85,1),1))</f>
        <v/>
      </c>
      <c r="F85" s="8">
        <f>SUMIFS(Egresos!H:H,Egresos!B:B,"&gt;="&amp;DATE(C85,B85,1),Egresos!B:B,"&lt;"&amp;EDATE(DATE(C85,B85,1),1))+SUMIFS(Gastos_Mensuales!H:H,Gastos_Mensuales!B:B,B85,Gastos_Mensuales!C:C,C85)</f>
        <v/>
      </c>
      <c r="G85" s="8">
        <f>SUMIFS(Impuestos!I:I,Impuestos!B:B,B85,Impuestos!C:C,C85)</f>
        <v/>
      </c>
      <c r="H85" s="8">
        <f>D85+E85-F85-G85</f>
        <v/>
      </c>
      <c r="I85" s="2" t="n"/>
    </row>
    <row r="86">
      <c r="A86" s="2" t="n"/>
      <c r="B86" s="2" t="n"/>
      <c r="C86" s="2" t="n"/>
      <c r="D86" s="8" t="n"/>
      <c r="E86" s="8">
        <f>SUMIFS(Ingresos!J:J,Ingresos!D:D,"&gt;="&amp;DATE(C86,B86,1),Ingresos!D:D,"&lt;"&amp;EDATE(DATE(C86,B86,1),1))</f>
        <v/>
      </c>
      <c r="F86" s="8">
        <f>SUMIFS(Egresos!H:H,Egresos!B:B,"&gt;="&amp;DATE(C86,B86,1),Egresos!B:B,"&lt;"&amp;EDATE(DATE(C86,B86,1),1))+SUMIFS(Gastos_Mensuales!H:H,Gastos_Mensuales!B:B,B86,Gastos_Mensuales!C:C,C86)</f>
        <v/>
      </c>
      <c r="G86" s="8">
        <f>SUMIFS(Impuestos!I:I,Impuestos!B:B,B86,Impuestos!C:C,C86)</f>
        <v/>
      </c>
      <c r="H86" s="8">
        <f>D86+E86-F86-G86</f>
        <v/>
      </c>
      <c r="I86" s="2" t="n"/>
    </row>
    <row r="87">
      <c r="A87" s="2" t="n"/>
      <c r="B87" s="2" t="n"/>
      <c r="C87" s="2" t="n"/>
      <c r="D87" s="8" t="n"/>
      <c r="E87" s="8">
        <f>SUMIFS(Ingresos!J:J,Ingresos!D:D,"&gt;="&amp;DATE(C87,B87,1),Ingresos!D:D,"&lt;"&amp;EDATE(DATE(C87,B87,1),1))</f>
        <v/>
      </c>
      <c r="F87" s="8">
        <f>SUMIFS(Egresos!H:H,Egresos!B:B,"&gt;="&amp;DATE(C87,B87,1),Egresos!B:B,"&lt;"&amp;EDATE(DATE(C87,B87,1),1))+SUMIFS(Gastos_Mensuales!H:H,Gastos_Mensuales!B:B,B87,Gastos_Mensuales!C:C,C87)</f>
        <v/>
      </c>
      <c r="G87" s="8">
        <f>SUMIFS(Impuestos!I:I,Impuestos!B:B,B87,Impuestos!C:C,C87)</f>
        <v/>
      </c>
      <c r="H87" s="8">
        <f>D87+E87-F87-G87</f>
        <v/>
      </c>
      <c r="I87" s="2" t="n"/>
    </row>
    <row r="88">
      <c r="A88" s="2" t="n"/>
      <c r="B88" s="2" t="n"/>
      <c r="C88" s="2" t="n"/>
      <c r="D88" s="8" t="n"/>
      <c r="E88" s="8">
        <f>SUMIFS(Ingresos!J:J,Ingresos!D:D,"&gt;="&amp;DATE(C88,B88,1),Ingresos!D:D,"&lt;"&amp;EDATE(DATE(C88,B88,1),1))</f>
        <v/>
      </c>
      <c r="F88" s="8">
        <f>SUMIFS(Egresos!H:H,Egresos!B:B,"&gt;="&amp;DATE(C88,B88,1),Egresos!B:B,"&lt;"&amp;EDATE(DATE(C88,B88,1),1))+SUMIFS(Gastos_Mensuales!H:H,Gastos_Mensuales!B:B,B88,Gastos_Mensuales!C:C,C88)</f>
        <v/>
      </c>
      <c r="G88" s="8">
        <f>SUMIFS(Impuestos!I:I,Impuestos!B:B,B88,Impuestos!C:C,C88)</f>
        <v/>
      </c>
      <c r="H88" s="8">
        <f>D88+E88-F88-G88</f>
        <v/>
      </c>
      <c r="I88" s="2" t="n"/>
    </row>
    <row r="89">
      <c r="A89" s="2" t="n"/>
      <c r="B89" s="2" t="n"/>
      <c r="C89" s="2" t="n"/>
      <c r="D89" s="8" t="n"/>
      <c r="E89" s="8">
        <f>SUMIFS(Ingresos!J:J,Ingresos!D:D,"&gt;="&amp;DATE(C89,B89,1),Ingresos!D:D,"&lt;"&amp;EDATE(DATE(C89,B89,1),1))</f>
        <v/>
      </c>
      <c r="F89" s="8">
        <f>SUMIFS(Egresos!H:H,Egresos!B:B,"&gt;="&amp;DATE(C89,B89,1),Egresos!B:B,"&lt;"&amp;EDATE(DATE(C89,B89,1),1))+SUMIFS(Gastos_Mensuales!H:H,Gastos_Mensuales!B:B,B89,Gastos_Mensuales!C:C,C89)</f>
        <v/>
      </c>
      <c r="G89" s="8">
        <f>SUMIFS(Impuestos!I:I,Impuestos!B:B,B89,Impuestos!C:C,C89)</f>
        <v/>
      </c>
      <c r="H89" s="8">
        <f>D89+E89-F89-G89</f>
        <v/>
      </c>
      <c r="I89" s="2" t="n"/>
    </row>
    <row r="90">
      <c r="A90" s="2" t="n"/>
      <c r="B90" s="2" t="n"/>
      <c r="C90" s="2" t="n"/>
      <c r="D90" s="8" t="n"/>
      <c r="E90" s="8">
        <f>SUMIFS(Ingresos!J:J,Ingresos!D:D,"&gt;="&amp;DATE(C90,B90,1),Ingresos!D:D,"&lt;"&amp;EDATE(DATE(C90,B90,1),1))</f>
        <v/>
      </c>
      <c r="F90" s="8">
        <f>SUMIFS(Egresos!H:H,Egresos!B:B,"&gt;="&amp;DATE(C90,B90,1),Egresos!B:B,"&lt;"&amp;EDATE(DATE(C90,B90,1),1))+SUMIFS(Gastos_Mensuales!H:H,Gastos_Mensuales!B:B,B90,Gastos_Mensuales!C:C,C90)</f>
        <v/>
      </c>
      <c r="G90" s="8">
        <f>SUMIFS(Impuestos!I:I,Impuestos!B:B,B90,Impuestos!C:C,C90)</f>
        <v/>
      </c>
      <c r="H90" s="8">
        <f>D90+E90-F90-G90</f>
        <v/>
      </c>
      <c r="I90" s="2" t="n"/>
    </row>
    <row r="91">
      <c r="A91" s="2" t="n"/>
      <c r="B91" s="2" t="n"/>
      <c r="C91" s="2" t="n"/>
      <c r="D91" s="8" t="n"/>
      <c r="E91" s="8">
        <f>SUMIFS(Ingresos!J:J,Ingresos!D:D,"&gt;="&amp;DATE(C91,B91,1),Ingresos!D:D,"&lt;"&amp;EDATE(DATE(C91,B91,1),1))</f>
        <v/>
      </c>
      <c r="F91" s="8">
        <f>SUMIFS(Egresos!H:H,Egresos!B:B,"&gt;="&amp;DATE(C91,B91,1),Egresos!B:B,"&lt;"&amp;EDATE(DATE(C91,B91,1),1))+SUMIFS(Gastos_Mensuales!H:H,Gastos_Mensuales!B:B,B91,Gastos_Mensuales!C:C,C91)</f>
        <v/>
      </c>
      <c r="G91" s="8">
        <f>SUMIFS(Impuestos!I:I,Impuestos!B:B,B91,Impuestos!C:C,C91)</f>
        <v/>
      </c>
      <c r="H91" s="8">
        <f>D91+E91-F91-G91</f>
        <v/>
      </c>
      <c r="I91" s="2" t="n"/>
    </row>
    <row r="92">
      <c r="A92" s="2" t="n"/>
      <c r="B92" s="2" t="n"/>
      <c r="C92" s="2" t="n"/>
      <c r="D92" s="8" t="n"/>
      <c r="E92" s="8">
        <f>SUMIFS(Ingresos!J:J,Ingresos!D:D,"&gt;="&amp;DATE(C92,B92,1),Ingresos!D:D,"&lt;"&amp;EDATE(DATE(C92,B92,1),1))</f>
        <v/>
      </c>
      <c r="F92" s="8">
        <f>SUMIFS(Egresos!H:H,Egresos!B:B,"&gt;="&amp;DATE(C92,B92,1),Egresos!B:B,"&lt;"&amp;EDATE(DATE(C92,B92,1),1))+SUMIFS(Gastos_Mensuales!H:H,Gastos_Mensuales!B:B,B92,Gastos_Mensuales!C:C,C92)</f>
        <v/>
      </c>
      <c r="G92" s="8">
        <f>SUMIFS(Impuestos!I:I,Impuestos!B:B,B92,Impuestos!C:C,C92)</f>
        <v/>
      </c>
      <c r="H92" s="8">
        <f>D92+E92-F92-G92</f>
        <v/>
      </c>
      <c r="I92" s="2" t="n"/>
    </row>
    <row r="93">
      <c r="A93" s="2" t="n"/>
      <c r="B93" s="2" t="n"/>
      <c r="C93" s="2" t="n"/>
      <c r="D93" s="8" t="n"/>
      <c r="E93" s="8">
        <f>SUMIFS(Ingresos!J:J,Ingresos!D:D,"&gt;="&amp;DATE(C93,B93,1),Ingresos!D:D,"&lt;"&amp;EDATE(DATE(C93,B93,1),1))</f>
        <v/>
      </c>
      <c r="F93" s="8">
        <f>SUMIFS(Egresos!H:H,Egresos!B:B,"&gt;="&amp;DATE(C93,B93,1),Egresos!B:B,"&lt;"&amp;EDATE(DATE(C93,B93,1),1))+SUMIFS(Gastos_Mensuales!H:H,Gastos_Mensuales!B:B,B93,Gastos_Mensuales!C:C,C93)</f>
        <v/>
      </c>
      <c r="G93" s="8">
        <f>SUMIFS(Impuestos!I:I,Impuestos!B:B,B93,Impuestos!C:C,C93)</f>
        <v/>
      </c>
      <c r="H93" s="8">
        <f>D93+E93-F93-G93</f>
        <v/>
      </c>
      <c r="I93" s="2" t="n"/>
    </row>
    <row r="94">
      <c r="A94" s="2" t="n"/>
      <c r="B94" s="2" t="n"/>
      <c r="C94" s="2" t="n"/>
      <c r="D94" s="8" t="n"/>
      <c r="E94" s="8">
        <f>SUMIFS(Ingresos!J:J,Ingresos!D:D,"&gt;="&amp;DATE(C94,B94,1),Ingresos!D:D,"&lt;"&amp;EDATE(DATE(C94,B94,1),1))</f>
        <v/>
      </c>
      <c r="F94" s="8">
        <f>SUMIFS(Egresos!H:H,Egresos!B:B,"&gt;="&amp;DATE(C94,B94,1),Egresos!B:B,"&lt;"&amp;EDATE(DATE(C94,B94,1),1))+SUMIFS(Gastos_Mensuales!H:H,Gastos_Mensuales!B:B,B94,Gastos_Mensuales!C:C,C94)</f>
        <v/>
      </c>
      <c r="G94" s="8">
        <f>SUMIFS(Impuestos!I:I,Impuestos!B:B,B94,Impuestos!C:C,C94)</f>
        <v/>
      </c>
      <c r="H94" s="8">
        <f>D94+E94-F94-G94</f>
        <v/>
      </c>
      <c r="I94" s="2" t="n"/>
    </row>
    <row r="95">
      <c r="A95" s="2" t="n"/>
      <c r="B95" s="2" t="n"/>
      <c r="C95" s="2" t="n"/>
      <c r="D95" s="8" t="n"/>
      <c r="E95" s="8">
        <f>SUMIFS(Ingresos!J:J,Ingresos!D:D,"&gt;="&amp;DATE(C95,B95,1),Ingresos!D:D,"&lt;"&amp;EDATE(DATE(C95,B95,1),1))</f>
        <v/>
      </c>
      <c r="F95" s="8">
        <f>SUMIFS(Egresos!H:H,Egresos!B:B,"&gt;="&amp;DATE(C95,B95,1),Egresos!B:B,"&lt;"&amp;EDATE(DATE(C95,B95,1),1))+SUMIFS(Gastos_Mensuales!H:H,Gastos_Mensuales!B:B,B95,Gastos_Mensuales!C:C,C95)</f>
        <v/>
      </c>
      <c r="G95" s="8">
        <f>SUMIFS(Impuestos!I:I,Impuestos!B:B,B95,Impuestos!C:C,C95)</f>
        <v/>
      </c>
      <c r="H95" s="8">
        <f>D95+E95-F95-G95</f>
        <v/>
      </c>
      <c r="I95" s="2" t="n"/>
    </row>
    <row r="96">
      <c r="A96" s="2" t="n"/>
      <c r="B96" s="2" t="n"/>
      <c r="C96" s="2" t="n"/>
      <c r="D96" s="8" t="n"/>
      <c r="E96" s="8">
        <f>SUMIFS(Ingresos!J:J,Ingresos!D:D,"&gt;="&amp;DATE(C96,B96,1),Ingresos!D:D,"&lt;"&amp;EDATE(DATE(C96,B96,1),1))</f>
        <v/>
      </c>
      <c r="F96" s="8">
        <f>SUMIFS(Egresos!H:H,Egresos!B:B,"&gt;="&amp;DATE(C96,B96,1),Egresos!B:B,"&lt;"&amp;EDATE(DATE(C96,B96,1),1))+SUMIFS(Gastos_Mensuales!H:H,Gastos_Mensuales!B:B,B96,Gastos_Mensuales!C:C,C96)</f>
        <v/>
      </c>
      <c r="G96" s="8">
        <f>SUMIFS(Impuestos!I:I,Impuestos!B:B,B96,Impuestos!C:C,C96)</f>
        <v/>
      </c>
      <c r="H96" s="8">
        <f>D96+E96-F96-G96</f>
        <v/>
      </c>
      <c r="I96" s="2" t="n"/>
    </row>
    <row r="97">
      <c r="A97" s="2" t="n"/>
      <c r="B97" s="2" t="n"/>
      <c r="C97" s="2" t="n"/>
      <c r="D97" s="8" t="n"/>
      <c r="E97" s="8">
        <f>SUMIFS(Ingresos!J:J,Ingresos!D:D,"&gt;="&amp;DATE(C97,B97,1),Ingresos!D:D,"&lt;"&amp;EDATE(DATE(C97,B97,1),1))</f>
        <v/>
      </c>
      <c r="F97" s="8">
        <f>SUMIFS(Egresos!H:H,Egresos!B:B,"&gt;="&amp;DATE(C97,B97,1),Egresos!B:B,"&lt;"&amp;EDATE(DATE(C97,B97,1),1))+SUMIFS(Gastos_Mensuales!H:H,Gastos_Mensuales!B:B,B97,Gastos_Mensuales!C:C,C97)</f>
        <v/>
      </c>
      <c r="G97" s="8">
        <f>SUMIFS(Impuestos!I:I,Impuestos!B:B,B97,Impuestos!C:C,C97)</f>
        <v/>
      </c>
      <c r="H97" s="8">
        <f>D97+E97-F97-G97</f>
        <v/>
      </c>
      <c r="I97" s="2" t="n"/>
    </row>
    <row r="98">
      <c r="A98" s="2" t="n"/>
      <c r="B98" s="2" t="n"/>
      <c r="C98" s="2" t="n"/>
      <c r="D98" s="8" t="n"/>
      <c r="E98" s="8">
        <f>SUMIFS(Ingresos!J:J,Ingresos!D:D,"&gt;="&amp;DATE(C98,B98,1),Ingresos!D:D,"&lt;"&amp;EDATE(DATE(C98,B98,1),1))</f>
        <v/>
      </c>
      <c r="F98" s="8">
        <f>SUMIFS(Egresos!H:H,Egresos!B:B,"&gt;="&amp;DATE(C98,B98,1),Egresos!B:B,"&lt;"&amp;EDATE(DATE(C98,B98,1),1))+SUMIFS(Gastos_Mensuales!H:H,Gastos_Mensuales!B:B,B98,Gastos_Mensuales!C:C,C98)</f>
        <v/>
      </c>
      <c r="G98" s="8">
        <f>SUMIFS(Impuestos!I:I,Impuestos!B:B,B98,Impuestos!C:C,C98)</f>
        <v/>
      </c>
      <c r="H98" s="8">
        <f>D98+E98-F98-G98</f>
        <v/>
      </c>
      <c r="I98" s="2" t="n"/>
    </row>
    <row r="99">
      <c r="A99" s="2" t="n"/>
      <c r="B99" s="2" t="n"/>
      <c r="C99" s="2" t="n"/>
      <c r="D99" s="8" t="n"/>
      <c r="E99" s="8">
        <f>SUMIFS(Ingresos!J:J,Ingresos!D:D,"&gt;="&amp;DATE(C99,B99,1),Ingresos!D:D,"&lt;"&amp;EDATE(DATE(C99,B99,1),1))</f>
        <v/>
      </c>
      <c r="F99" s="8">
        <f>SUMIFS(Egresos!H:H,Egresos!B:B,"&gt;="&amp;DATE(C99,B99,1),Egresos!B:B,"&lt;"&amp;EDATE(DATE(C99,B99,1),1))+SUMIFS(Gastos_Mensuales!H:H,Gastos_Mensuales!B:B,B99,Gastos_Mensuales!C:C,C99)</f>
        <v/>
      </c>
      <c r="G99" s="8">
        <f>SUMIFS(Impuestos!I:I,Impuestos!B:B,B99,Impuestos!C:C,C99)</f>
        <v/>
      </c>
      <c r="H99" s="8">
        <f>D99+E99-F99-G99</f>
        <v/>
      </c>
      <c r="I99" s="2" t="n"/>
    </row>
    <row r="100">
      <c r="A100" s="2" t="n"/>
      <c r="B100" s="2" t="n"/>
      <c r="C100" s="2" t="n"/>
      <c r="D100" s="8" t="n"/>
      <c r="E100" s="8">
        <f>SUMIFS(Ingresos!J:J,Ingresos!D:D,"&gt;="&amp;DATE(C100,B100,1),Ingresos!D:D,"&lt;"&amp;EDATE(DATE(C100,B100,1),1))</f>
        <v/>
      </c>
      <c r="F100" s="8">
        <f>SUMIFS(Egresos!H:H,Egresos!B:B,"&gt;="&amp;DATE(C100,B100,1),Egresos!B:B,"&lt;"&amp;EDATE(DATE(C100,B100,1),1))+SUMIFS(Gastos_Mensuales!H:H,Gastos_Mensuales!B:B,B100,Gastos_Mensuales!C:C,C100)</f>
        <v/>
      </c>
      <c r="G100" s="8">
        <f>SUMIFS(Impuestos!I:I,Impuestos!B:B,B100,Impuestos!C:C,C100)</f>
        <v/>
      </c>
      <c r="H100" s="8">
        <f>D100+E100-F100-G100</f>
        <v/>
      </c>
      <c r="I100" s="2" t="n"/>
    </row>
    <row r="101">
      <c r="A101" s="2" t="n"/>
      <c r="B101" s="2" t="n"/>
      <c r="C101" s="2" t="n"/>
      <c r="D101" s="8" t="n"/>
      <c r="E101" s="8">
        <f>SUMIFS(Ingresos!J:J,Ingresos!D:D,"&gt;="&amp;DATE(C101,B101,1),Ingresos!D:D,"&lt;"&amp;EDATE(DATE(C101,B101,1),1))</f>
        <v/>
      </c>
      <c r="F101" s="8">
        <f>SUMIFS(Egresos!H:H,Egresos!B:B,"&gt;="&amp;DATE(C101,B101,1),Egresos!B:B,"&lt;"&amp;EDATE(DATE(C101,B101,1),1))+SUMIFS(Gastos_Mensuales!H:H,Gastos_Mensuales!B:B,B101,Gastos_Mensuales!C:C,C101)</f>
        <v/>
      </c>
      <c r="G101" s="8">
        <f>SUMIFS(Impuestos!I:I,Impuestos!B:B,B101,Impuestos!C:C,C101)</f>
        <v/>
      </c>
      <c r="H101" s="8">
        <f>D101+E101-F101-G101</f>
        <v/>
      </c>
      <c r="I101" s="2" t="n"/>
    </row>
    <row r="102">
      <c r="A102" s="2" t="n"/>
      <c r="B102" s="2" t="n"/>
      <c r="C102" s="2" t="n"/>
      <c r="D102" s="8" t="n"/>
      <c r="E102" s="8">
        <f>SUMIFS(Ingresos!J:J,Ingresos!D:D,"&gt;="&amp;DATE(C102,B102,1),Ingresos!D:D,"&lt;"&amp;EDATE(DATE(C102,B102,1),1))</f>
        <v/>
      </c>
      <c r="F102" s="8">
        <f>SUMIFS(Egresos!H:H,Egresos!B:B,"&gt;="&amp;DATE(C102,B102,1),Egresos!B:B,"&lt;"&amp;EDATE(DATE(C102,B102,1),1))+SUMIFS(Gastos_Mensuales!H:H,Gastos_Mensuales!B:B,B102,Gastos_Mensuales!C:C,C102)</f>
        <v/>
      </c>
      <c r="G102" s="8">
        <f>SUMIFS(Impuestos!I:I,Impuestos!B:B,B102,Impuestos!C:C,C102)</f>
        <v/>
      </c>
      <c r="H102" s="8">
        <f>D102+E102-F102-G102</f>
        <v/>
      </c>
      <c r="I102" s="2" t="n"/>
    </row>
    <row r="103">
      <c r="A103" s="2" t="n"/>
      <c r="B103" s="2" t="n"/>
      <c r="C103" s="2" t="n"/>
      <c r="D103" s="8" t="n"/>
      <c r="E103" s="8">
        <f>SUMIFS(Ingresos!J:J,Ingresos!D:D,"&gt;="&amp;DATE(C103,B103,1),Ingresos!D:D,"&lt;"&amp;EDATE(DATE(C103,B103,1),1))</f>
        <v/>
      </c>
      <c r="F103" s="8">
        <f>SUMIFS(Egresos!H:H,Egresos!B:B,"&gt;="&amp;DATE(C103,B103,1),Egresos!B:B,"&lt;"&amp;EDATE(DATE(C103,B103,1),1))+SUMIFS(Gastos_Mensuales!H:H,Gastos_Mensuales!B:B,B103,Gastos_Mensuales!C:C,C103)</f>
        <v/>
      </c>
      <c r="G103" s="8">
        <f>SUMIFS(Impuestos!I:I,Impuestos!B:B,B103,Impuestos!C:C,C103)</f>
        <v/>
      </c>
      <c r="H103" s="8">
        <f>D103+E103-F103-G103</f>
        <v/>
      </c>
      <c r="I103" s="2" t="n"/>
    </row>
    <row r="104">
      <c r="A104" s="2" t="n"/>
      <c r="B104" s="2" t="n"/>
      <c r="C104" s="2" t="n"/>
      <c r="D104" s="8" t="n"/>
      <c r="E104" s="8">
        <f>SUMIFS(Ingresos!J:J,Ingresos!D:D,"&gt;="&amp;DATE(C104,B104,1),Ingresos!D:D,"&lt;"&amp;EDATE(DATE(C104,B104,1),1))</f>
        <v/>
      </c>
      <c r="F104" s="8">
        <f>SUMIFS(Egresos!H:H,Egresos!B:B,"&gt;="&amp;DATE(C104,B104,1),Egresos!B:B,"&lt;"&amp;EDATE(DATE(C104,B104,1),1))+SUMIFS(Gastos_Mensuales!H:H,Gastos_Mensuales!B:B,B104,Gastos_Mensuales!C:C,C104)</f>
        <v/>
      </c>
      <c r="G104" s="8">
        <f>SUMIFS(Impuestos!I:I,Impuestos!B:B,B104,Impuestos!C:C,C104)</f>
        <v/>
      </c>
      <c r="H104" s="8">
        <f>D104+E104-F104-G104</f>
        <v/>
      </c>
      <c r="I104" s="2" t="n"/>
    </row>
    <row r="105">
      <c r="A105" s="2" t="n"/>
      <c r="B105" s="2" t="n"/>
      <c r="C105" s="2" t="n"/>
      <c r="D105" s="8" t="n"/>
      <c r="E105" s="8">
        <f>SUMIFS(Ingresos!J:J,Ingresos!D:D,"&gt;="&amp;DATE(C105,B105,1),Ingresos!D:D,"&lt;"&amp;EDATE(DATE(C105,B105,1),1))</f>
        <v/>
      </c>
      <c r="F105" s="8">
        <f>SUMIFS(Egresos!H:H,Egresos!B:B,"&gt;="&amp;DATE(C105,B105,1),Egresos!B:B,"&lt;"&amp;EDATE(DATE(C105,B105,1),1))+SUMIFS(Gastos_Mensuales!H:H,Gastos_Mensuales!B:B,B105,Gastos_Mensuales!C:C,C105)</f>
        <v/>
      </c>
      <c r="G105" s="8">
        <f>SUMIFS(Impuestos!I:I,Impuestos!B:B,B105,Impuestos!C:C,C105)</f>
        <v/>
      </c>
      <c r="H105" s="8">
        <f>D105+E105-F105-G105</f>
        <v/>
      </c>
      <c r="I105" s="2" t="n"/>
    </row>
    <row r="106">
      <c r="A106" s="2" t="n"/>
      <c r="B106" s="2" t="n"/>
      <c r="C106" s="2" t="n"/>
      <c r="D106" s="8" t="n"/>
      <c r="E106" s="8">
        <f>SUMIFS(Ingresos!J:J,Ingresos!D:D,"&gt;="&amp;DATE(C106,B106,1),Ingresos!D:D,"&lt;"&amp;EDATE(DATE(C106,B106,1),1))</f>
        <v/>
      </c>
      <c r="F106" s="8">
        <f>SUMIFS(Egresos!H:H,Egresos!B:B,"&gt;="&amp;DATE(C106,B106,1),Egresos!B:B,"&lt;"&amp;EDATE(DATE(C106,B106,1),1))+SUMIFS(Gastos_Mensuales!H:H,Gastos_Mensuales!B:B,B106,Gastos_Mensuales!C:C,C106)</f>
        <v/>
      </c>
      <c r="G106" s="8">
        <f>SUMIFS(Impuestos!I:I,Impuestos!B:B,B106,Impuestos!C:C,C106)</f>
        <v/>
      </c>
      <c r="H106" s="8">
        <f>D106+E106-F106-G106</f>
        <v/>
      </c>
      <c r="I106" s="2" t="n"/>
    </row>
    <row r="107">
      <c r="A107" s="2" t="n"/>
      <c r="B107" s="2" t="n"/>
      <c r="C107" s="2" t="n"/>
      <c r="D107" s="8" t="n"/>
      <c r="E107" s="8">
        <f>SUMIFS(Ingresos!J:J,Ingresos!D:D,"&gt;="&amp;DATE(C107,B107,1),Ingresos!D:D,"&lt;"&amp;EDATE(DATE(C107,B107,1),1))</f>
        <v/>
      </c>
      <c r="F107" s="8">
        <f>SUMIFS(Egresos!H:H,Egresos!B:B,"&gt;="&amp;DATE(C107,B107,1),Egresos!B:B,"&lt;"&amp;EDATE(DATE(C107,B107,1),1))+SUMIFS(Gastos_Mensuales!H:H,Gastos_Mensuales!B:B,B107,Gastos_Mensuales!C:C,C107)</f>
        <v/>
      </c>
      <c r="G107" s="8">
        <f>SUMIFS(Impuestos!I:I,Impuestos!B:B,B107,Impuestos!C:C,C107)</f>
        <v/>
      </c>
      <c r="H107" s="8">
        <f>D107+E107-F107-G107</f>
        <v/>
      </c>
      <c r="I107" s="2" t="n"/>
    </row>
    <row r="108">
      <c r="A108" s="2" t="n"/>
      <c r="B108" s="2" t="n"/>
      <c r="C108" s="2" t="n"/>
      <c r="D108" s="8" t="n"/>
      <c r="E108" s="8">
        <f>SUMIFS(Ingresos!J:J,Ingresos!D:D,"&gt;="&amp;DATE(C108,B108,1),Ingresos!D:D,"&lt;"&amp;EDATE(DATE(C108,B108,1),1))</f>
        <v/>
      </c>
      <c r="F108" s="8">
        <f>SUMIFS(Egresos!H:H,Egresos!B:B,"&gt;="&amp;DATE(C108,B108,1),Egresos!B:B,"&lt;"&amp;EDATE(DATE(C108,B108,1),1))+SUMIFS(Gastos_Mensuales!H:H,Gastos_Mensuales!B:B,B108,Gastos_Mensuales!C:C,C108)</f>
        <v/>
      </c>
      <c r="G108" s="8">
        <f>SUMIFS(Impuestos!I:I,Impuestos!B:B,B108,Impuestos!C:C,C108)</f>
        <v/>
      </c>
      <c r="H108" s="8">
        <f>D108+E108-F108-G108</f>
        <v/>
      </c>
      <c r="I108" s="2" t="n"/>
    </row>
    <row r="109">
      <c r="A109" s="2" t="n"/>
      <c r="B109" s="2" t="n"/>
      <c r="C109" s="2" t="n"/>
      <c r="D109" s="8" t="n"/>
      <c r="E109" s="8">
        <f>SUMIFS(Ingresos!J:J,Ingresos!D:D,"&gt;="&amp;DATE(C109,B109,1),Ingresos!D:D,"&lt;"&amp;EDATE(DATE(C109,B109,1),1))</f>
        <v/>
      </c>
      <c r="F109" s="8">
        <f>SUMIFS(Egresos!H:H,Egresos!B:B,"&gt;="&amp;DATE(C109,B109,1),Egresos!B:B,"&lt;"&amp;EDATE(DATE(C109,B109,1),1))+SUMIFS(Gastos_Mensuales!H:H,Gastos_Mensuales!B:B,B109,Gastos_Mensuales!C:C,C109)</f>
        <v/>
      </c>
      <c r="G109" s="8">
        <f>SUMIFS(Impuestos!I:I,Impuestos!B:B,B109,Impuestos!C:C,C109)</f>
        <v/>
      </c>
      <c r="H109" s="8">
        <f>D109+E109-F109-G109</f>
        <v/>
      </c>
      <c r="I109" s="2" t="n"/>
    </row>
    <row r="110">
      <c r="A110" s="2" t="n"/>
      <c r="B110" s="2" t="n"/>
      <c r="C110" s="2" t="n"/>
      <c r="D110" s="8" t="n"/>
      <c r="E110" s="8">
        <f>SUMIFS(Ingresos!J:J,Ingresos!D:D,"&gt;="&amp;DATE(C110,B110,1),Ingresos!D:D,"&lt;"&amp;EDATE(DATE(C110,B110,1),1))</f>
        <v/>
      </c>
      <c r="F110" s="8">
        <f>SUMIFS(Egresos!H:H,Egresos!B:B,"&gt;="&amp;DATE(C110,B110,1),Egresos!B:B,"&lt;"&amp;EDATE(DATE(C110,B110,1),1))+SUMIFS(Gastos_Mensuales!H:H,Gastos_Mensuales!B:B,B110,Gastos_Mensuales!C:C,C110)</f>
        <v/>
      </c>
      <c r="G110" s="8">
        <f>SUMIFS(Impuestos!I:I,Impuestos!B:B,B110,Impuestos!C:C,C110)</f>
        <v/>
      </c>
      <c r="H110" s="8">
        <f>D110+E110-F110-G110</f>
        <v/>
      </c>
      <c r="I110" s="2" t="n"/>
    </row>
    <row r="111">
      <c r="A111" s="2" t="n"/>
      <c r="B111" s="2" t="n"/>
      <c r="C111" s="2" t="n"/>
      <c r="D111" s="8" t="n"/>
      <c r="E111" s="8">
        <f>SUMIFS(Ingresos!J:J,Ingresos!D:D,"&gt;="&amp;DATE(C111,B111,1),Ingresos!D:D,"&lt;"&amp;EDATE(DATE(C111,B111,1),1))</f>
        <v/>
      </c>
      <c r="F111" s="8">
        <f>SUMIFS(Egresos!H:H,Egresos!B:B,"&gt;="&amp;DATE(C111,B111,1),Egresos!B:B,"&lt;"&amp;EDATE(DATE(C111,B111,1),1))+SUMIFS(Gastos_Mensuales!H:H,Gastos_Mensuales!B:B,B111,Gastos_Mensuales!C:C,C111)</f>
        <v/>
      </c>
      <c r="G111" s="8">
        <f>SUMIFS(Impuestos!I:I,Impuestos!B:B,B111,Impuestos!C:C,C111)</f>
        <v/>
      </c>
      <c r="H111" s="8">
        <f>D111+E111-F111-G111</f>
        <v/>
      </c>
      <c r="I111" s="2" t="n"/>
    </row>
    <row r="112">
      <c r="A112" s="2" t="n"/>
      <c r="B112" s="2" t="n"/>
      <c r="C112" s="2" t="n"/>
      <c r="D112" s="8" t="n"/>
      <c r="E112" s="8">
        <f>SUMIFS(Ingresos!J:J,Ingresos!D:D,"&gt;="&amp;DATE(C112,B112,1),Ingresos!D:D,"&lt;"&amp;EDATE(DATE(C112,B112,1),1))</f>
        <v/>
      </c>
      <c r="F112" s="8">
        <f>SUMIFS(Egresos!H:H,Egresos!B:B,"&gt;="&amp;DATE(C112,B112,1),Egresos!B:B,"&lt;"&amp;EDATE(DATE(C112,B112,1),1))+SUMIFS(Gastos_Mensuales!H:H,Gastos_Mensuales!B:B,B112,Gastos_Mensuales!C:C,C112)</f>
        <v/>
      </c>
      <c r="G112" s="8">
        <f>SUMIFS(Impuestos!I:I,Impuestos!B:B,B112,Impuestos!C:C,C112)</f>
        <v/>
      </c>
      <c r="H112" s="8">
        <f>D112+E112-F112-G112</f>
        <v/>
      </c>
      <c r="I112" s="2" t="n"/>
    </row>
    <row r="113">
      <c r="A113" s="2" t="n"/>
      <c r="B113" s="2" t="n"/>
      <c r="C113" s="2" t="n"/>
      <c r="D113" s="8" t="n"/>
      <c r="E113" s="8">
        <f>SUMIFS(Ingresos!J:J,Ingresos!D:D,"&gt;="&amp;DATE(C113,B113,1),Ingresos!D:D,"&lt;"&amp;EDATE(DATE(C113,B113,1),1))</f>
        <v/>
      </c>
      <c r="F113" s="8">
        <f>SUMIFS(Egresos!H:H,Egresos!B:B,"&gt;="&amp;DATE(C113,B113,1),Egresos!B:B,"&lt;"&amp;EDATE(DATE(C113,B113,1),1))+SUMIFS(Gastos_Mensuales!H:H,Gastos_Mensuales!B:B,B113,Gastos_Mensuales!C:C,C113)</f>
        <v/>
      </c>
      <c r="G113" s="8">
        <f>SUMIFS(Impuestos!I:I,Impuestos!B:B,B113,Impuestos!C:C,C113)</f>
        <v/>
      </c>
      <c r="H113" s="8">
        <f>D113+E113-F113-G113</f>
        <v/>
      </c>
      <c r="I113" s="2" t="n"/>
    </row>
    <row r="114">
      <c r="A114" s="2" t="n"/>
      <c r="B114" s="2" t="n"/>
      <c r="C114" s="2" t="n"/>
      <c r="D114" s="8" t="n"/>
      <c r="E114" s="8">
        <f>SUMIFS(Ingresos!J:J,Ingresos!D:D,"&gt;="&amp;DATE(C114,B114,1),Ingresos!D:D,"&lt;"&amp;EDATE(DATE(C114,B114,1),1))</f>
        <v/>
      </c>
      <c r="F114" s="8">
        <f>SUMIFS(Egresos!H:H,Egresos!B:B,"&gt;="&amp;DATE(C114,B114,1),Egresos!B:B,"&lt;"&amp;EDATE(DATE(C114,B114,1),1))+SUMIFS(Gastos_Mensuales!H:H,Gastos_Mensuales!B:B,B114,Gastos_Mensuales!C:C,C114)</f>
        <v/>
      </c>
      <c r="G114" s="8">
        <f>SUMIFS(Impuestos!I:I,Impuestos!B:B,B114,Impuestos!C:C,C114)</f>
        <v/>
      </c>
      <c r="H114" s="8">
        <f>D114+E114-F114-G114</f>
        <v/>
      </c>
      <c r="I114" s="2" t="n"/>
    </row>
    <row r="115">
      <c r="A115" s="2" t="n"/>
      <c r="B115" s="2" t="n"/>
      <c r="C115" s="2" t="n"/>
      <c r="D115" s="8" t="n"/>
      <c r="E115" s="8">
        <f>SUMIFS(Ingresos!J:J,Ingresos!D:D,"&gt;="&amp;DATE(C115,B115,1),Ingresos!D:D,"&lt;"&amp;EDATE(DATE(C115,B115,1),1))</f>
        <v/>
      </c>
      <c r="F115" s="8">
        <f>SUMIFS(Egresos!H:H,Egresos!B:B,"&gt;="&amp;DATE(C115,B115,1),Egresos!B:B,"&lt;"&amp;EDATE(DATE(C115,B115,1),1))+SUMIFS(Gastos_Mensuales!H:H,Gastos_Mensuales!B:B,B115,Gastos_Mensuales!C:C,C115)</f>
        <v/>
      </c>
      <c r="G115" s="8">
        <f>SUMIFS(Impuestos!I:I,Impuestos!B:B,B115,Impuestos!C:C,C115)</f>
        <v/>
      </c>
      <c r="H115" s="8">
        <f>D115+E115-F115-G115</f>
        <v/>
      </c>
      <c r="I115" s="2" t="n"/>
    </row>
    <row r="116">
      <c r="A116" s="2" t="n"/>
      <c r="B116" s="2" t="n"/>
      <c r="C116" s="2" t="n"/>
      <c r="D116" s="8" t="n"/>
      <c r="E116" s="8">
        <f>SUMIFS(Ingresos!J:J,Ingresos!D:D,"&gt;="&amp;DATE(C116,B116,1),Ingresos!D:D,"&lt;"&amp;EDATE(DATE(C116,B116,1),1))</f>
        <v/>
      </c>
      <c r="F116" s="8">
        <f>SUMIFS(Egresos!H:H,Egresos!B:B,"&gt;="&amp;DATE(C116,B116,1),Egresos!B:B,"&lt;"&amp;EDATE(DATE(C116,B116,1),1))+SUMIFS(Gastos_Mensuales!H:H,Gastos_Mensuales!B:B,B116,Gastos_Mensuales!C:C,C116)</f>
        <v/>
      </c>
      <c r="G116" s="8">
        <f>SUMIFS(Impuestos!I:I,Impuestos!B:B,B116,Impuestos!C:C,C116)</f>
        <v/>
      </c>
      <c r="H116" s="8">
        <f>D116+E116-F116-G116</f>
        <v/>
      </c>
      <c r="I116" s="2" t="n"/>
    </row>
    <row r="117">
      <c r="A117" s="2" t="n"/>
      <c r="B117" s="2" t="n"/>
      <c r="C117" s="2" t="n"/>
      <c r="D117" s="8" t="n"/>
      <c r="E117" s="8">
        <f>SUMIFS(Ingresos!J:J,Ingresos!D:D,"&gt;="&amp;DATE(C117,B117,1),Ingresos!D:D,"&lt;"&amp;EDATE(DATE(C117,B117,1),1))</f>
        <v/>
      </c>
      <c r="F117" s="8">
        <f>SUMIFS(Egresos!H:H,Egresos!B:B,"&gt;="&amp;DATE(C117,B117,1),Egresos!B:B,"&lt;"&amp;EDATE(DATE(C117,B117,1),1))+SUMIFS(Gastos_Mensuales!H:H,Gastos_Mensuales!B:B,B117,Gastos_Mensuales!C:C,C117)</f>
        <v/>
      </c>
      <c r="G117" s="8">
        <f>SUMIFS(Impuestos!I:I,Impuestos!B:B,B117,Impuestos!C:C,C117)</f>
        <v/>
      </c>
      <c r="H117" s="8">
        <f>D117+E117-F117-G117</f>
        <v/>
      </c>
      <c r="I117" s="2" t="n"/>
    </row>
    <row r="118">
      <c r="A118" s="2" t="n"/>
      <c r="B118" s="2" t="n"/>
      <c r="C118" s="2" t="n"/>
      <c r="D118" s="8" t="n"/>
      <c r="E118" s="8">
        <f>SUMIFS(Ingresos!J:J,Ingresos!D:D,"&gt;="&amp;DATE(C118,B118,1),Ingresos!D:D,"&lt;"&amp;EDATE(DATE(C118,B118,1),1))</f>
        <v/>
      </c>
      <c r="F118" s="8">
        <f>SUMIFS(Egresos!H:H,Egresos!B:B,"&gt;="&amp;DATE(C118,B118,1),Egresos!B:B,"&lt;"&amp;EDATE(DATE(C118,B118,1),1))+SUMIFS(Gastos_Mensuales!H:H,Gastos_Mensuales!B:B,B118,Gastos_Mensuales!C:C,C118)</f>
        <v/>
      </c>
      <c r="G118" s="8">
        <f>SUMIFS(Impuestos!I:I,Impuestos!B:B,B118,Impuestos!C:C,C118)</f>
        <v/>
      </c>
      <c r="H118" s="8">
        <f>D118+E118-F118-G118</f>
        <v/>
      </c>
      <c r="I118" s="2" t="n"/>
    </row>
    <row r="119">
      <c r="A119" s="2" t="n"/>
      <c r="B119" s="2" t="n"/>
      <c r="C119" s="2" t="n"/>
      <c r="D119" s="8" t="n"/>
      <c r="E119" s="8">
        <f>SUMIFS(Ingresos!J:J,Ingresos!D:D,"&gt;="&amp;DATE(C119,B119,1),Ingresos!D:D,"&lt;"&amp;EDATE(DATE(C119,B119,1),1))</f>
        <v/>
      </c>
      <c r="F119" s="8">
        <f>SUMIFS(Egresos!H:H,Egresos!B:B,"&gt;="&amp;DATE(C119,B119,1),Egresos!B:B,"&lt;"&amp;EDATE(DATE(C119,B119,1),1))+SUMIFS(Gastos_Mensuales!H:H,Gastos_Mensuales!B:B,B119,Gastos_Mensuales!C:C,C119)</f>
        <v/>
      </c>
      <c r="G119" s="8">
        <f>SUMIFS(Impuestos!I:I,Impuestos!B:B,B119,Impuestos!C:C,C119)</f>
        <v/>
      </c>
      <c r="H119" s="8">
        <f>D119+E119-F119-G119</f>
        <v/>
      </c>
      <c r="I119" s="2" t="n"/>
    </row>
    <row r="120">
      <c r="A120" s="2" t="n"/>
      <c r="B120" s="2" t="n"/>
      <c r="C120" s="2" t="n"/>
      <c r="D120" s="8" t="n"/>
      <c r="E120" s="8">
        <f>SUMIFS(Ingresos!J:J,Ingresos!D:D,"&gt;="&amp;DATE(C120,B120,1),Ingresos!D:D,"&lt;"&amp;EDATE(DATE(C120,B120,1),1))</f>
        <v/>
      </c>
      <c r="F120" s="8">
        <f>SUMIFS(Egresos!H:H,Egresos!B:B,"&gt;="&amp;DATE(C120,B120,1),Egresos!B:B,"&lt;"&amp;EDATE(DATE(C120,B120,1),1))+SUMIFS(Gastos_Mensuales!H:H,Gastos_Mensuales!B:B,B120,Gastos_Mensuales!C:C,C120)</f>
        <v/>
      </c>
      <c r="G120" s="8">
        <f>SUMIFS(Impuestos!I:I,Impuestos!B:B,B120,Impuestos!C:C,C120)</f>
        <v/>
      </c>
      <c r="H120" s="8">
        <f>D120+E120-F120-G120</f>
        <v/>
      </c>
      <c r="I120" s="2" t="n"/>
    </row>
    <row r="121">
      <c r="A121" s="2" t="n"/>
      <c r="B121" s="2" t="n"/>
      <c r="C121" s="2" t="n"/>
      <c r="D121" s="8" t="n"/>
      <c r="E121" s="8">
        <f>SUMIFS(Ingresos!J:J,Ingresos!D:D,"&gt;="&amp;DATE(C121,B121,1),Ingresos!D:D,"&lt;"&amp;EDATE(DATE(C121,B121,1),1))</f>
        <v/>
      </c>
      <c r="F121" s="8">
        <f>SUMIFS(Egresos!H:H,Egresos!B:B,"&gt;="&amp;DATE(C121,B121,1),Egresos!B:B,"&lt;"&amp;EDATE(DATE(C121,B121,1),1))+SUMIFS(Gastos_Mensuales!H:H,Gastos_Mensuales!B:B,B121,Gastos_Mensuales!C:C,C121)</f>
        <v/>
      </c>
      <c r="G121" s="8">
        <f>SUMIFS(Impuestos!I:I,Impuestos!B:B,B121,Impuestos!C:C,C121)</f>
        <v/>
      </c>
      <c r="H121" s="8">
        <f>D121+E121-F121-G121</f>
        <v/>
      </c>
      <c r="I121" s="2" t="n"/>
    </row>
    <row r="122">
      <c r="A122" s="2" t="n"/>
      <c r="B122" s="2" t="n"/>
      <c r="C122" s="2" t="n"/>
      <c r="D122" s="8" t="n"/>
      <c r="E122" s="8">
        <f>SUMIFS(Ingresos!J:J,Ingresos!D:D,"&gt;="&amp;DATE(C122,B122,1),Ingresos!D:D,"&lt;"&amp;EDATE(DATE(C122,B122,1),1))</f>
        <v/>
      </c>
      <c r="F122" s="8">
        <f>SUMIFS(Egresos!H:H,Egresos!B:B,"&gt;="&amp;DATE(C122,B122,1),Egresos!B:B,"&lt;"&amp;EDATE(DATE(C122,B122,1),1))+SUMIFS(Gastos_Mensuales!H:H,Gastos_Mensuales!B:B,B122,Gastos_Mensuales!C:C,C122)</f>
        <v/>
      </c>
      <c r="G122" s="8">
        <f>SUMIFS(Impuestos!I:I,Impuestos!B:B,B122,Impuestos!C:C,C122)</f>
        <v/>
      </c>
      <c r="H122" s="8">
        <f>D122+E122-F122-G122</f>
        <v/>
      </c>
      <c r="I122" s="2" t="n"/>
    </row>
    <row r="123">
      <c r="A123" s="2" t="n"/>
      <c r="B123" s="2" t="n"/>
      <c r="C123" s="2" t="n"/>
      <c r="D123" s="8" t="n"/>
      <c r="E123" s="8">
        <f>SUMIFS(Ingresos!J:J,Ingresos!D:D,"&gt;="&amp;DATE(C123,B123,1),Ingresos!D:D,"&lt;"&amp;EDATE(DATE(C123,B123,1),1))</f>
        <v/>
      </c>
      <c r="F123" s="8">
        <f>SUMIFS(Egresos!H:H,Egresos!B:B,"&gt;="&amp;DATE(C123,B123,1),Egresos!B:B,"&lt;"&amp;EDATE(DATE(C123,B123,1),1))+SUMIFS(Gastos_Mensuales!H:H,Gastos_Mensuales!B:B,B123,Gastos_Mensuales!C:C,C123)</f>
        <v/>
      </c>
      <c r="G123" s="8">
        <f>SUMIFS(Impuestos!I:I,Impuestos!B:B,B123,Impuestos!C:C,C123)</f>
        <v/>
      </c>
      <c r="H123" s="8">
        <f>D123+E123-F123-G123</f>
        <v/>
      </c>
      <c r="I123" s="2" t="n"/>
    </row>
    <row r="124">
      <c r="A124" s="2" t="n"/>
      <c r="B124" s="2" t="n"/>
      <c r="C124" s="2" t="n"/>
      <c r="D124" s="8" t="n"/>
      <c r="E124" s="8">
        <f>SUMIFS(Ingresos!J:J,Ingresos!D:D,"&gt;="&amp;DATE(C124,B124,1),Ingresos!D:D,"&lt;"&amp;EDATE(DATE(C124,B124,1),1))</f>
        <v/>
      </c>
      <c r="F124" s="8">
        <f>SUMIFS(Egresos!H:H,Egresos!B:B,"&gt;="&amp;DATE(C124,B124,1),Egresos!B:B,"&lt;"&amp;EDATE(DATE(C124,B124,1),1))+SUMIFS(Gastos_Mensuales!H:H,Gastos_Mensuales!B:B,B124,Gastos_Mensuales!C:C,C124)</f>
        <v/>
      </c>
      <c r="G124" s="8">
        <f>SUMIFS(Impuestos!I:I,Impuestos!B:B,B124,Impuestos!C:C,C124)</f>
        <v/>
      </c>
      <c r="H124" s="8">
        <f>D124+E124-F124-G124</f>
        <v/>
      </c>
      <c r="I124" s="2" t="n"/>
    </row>
    <row r="125">
      <c r="A125" s="2" t="n"/>
      <c r="B125" s="2" t="n"/>
      <c r="C125" s="2" t="n"/>
      <c r="D125" s="8" t="n"/>
      <c r="E125" s="8">
        <f>SUMIFS(Ingresos!J:J,Ingresos!D:D,"&gt;="&amp;DATE(C125,B125,1),Ingresos!D:D,"&lt;"&amp;EDATE(DATE(C125,B125,1),1))</f>
        <v/>
      </c>
      <c r="F125" s="8">
        <f>SUMIFS(Egresos!H:H,Egresos!B:B,"&gt;="&amp;DATE(C125,B125,1),Egresos!B:B,"&lt;"&amp;EDATE(DATE(C125,B125,1),1))+SUMIFS(Gastos_Mensuales!H:H,Gastos_Mensuales!B:B,B125,Gastos_Mensuales!C:C,C125)</f>
        <v/>
      </c>
      <c r="G125" s="8">
        <f>SUMIFS(Impuestos!I:I,Impuestos!B:B,B125,Impuestos!C:C,C125)</f>
        <v/>
      </c>
      <c r="H125" s="8">
        <f>D125+E125-F125-G125</f>
        <v/>
      </c>
      <c r="I125" s="2" t="n"/>
    </row>
    <row r="126">
      <c r="A126" s="2" t="n"/>
      <c r="B126" s="2" t="n"/>
      <c r="C126" s="2" t="n"/>
      <c r="D126" s="8" t="n"/>
      <c r="E126" s="8">
        <f>SUMIFS(Ingresos!J:J,Ingresos!D:D,"&gt;="&amp;DATE(C126,B126,1),Ingresos!D:D,"&lt;"&amp;EDATE(DATE(C126,B126,1),1))</f>
        <v/>
      </c>
      <c r="F126" s="8">
        <f>SUMIFS(Egresos!H:H,Egresos!B:B,"&gt;="&amp;DATE(C126,B126,1),Egresos!B:B,"&lt;"&amp;EDATE(DATE(C126,B126,1),1))+SUMIFS(Gastos_Mensuales!H:H,Gastos_Mensuales!B:B,B126,Gastos_Mensuales!C:C,C126)</f>
        <v/>
      </c>
      <c r="G126" s="8">
        <f>SUMIFS(Impuestos!I:I,Impuestos!B:B,B126,Impuestos!C:C,C126)</f>
        <v/>
      </c>
      <c r="H126" s="8">
        <f>D126+E126-F126-G126</f>
        <v/>
      </c>
      <c r="I126" s="2" t="n"/>
    </row>
    <row r="127">
      <c r="A127" s="2" t="n"/>
      <c r="B127" s="2" t="n"/>
      <c r="C127" s="2" t="n"/>
      <c r="D127" s="8" t="n"/>
      <c r="E127" s="8">
        <f>SUMIFS(Ingresos!J:J,Ingresos!D:D,"&gt;="&amp;DATE(C127,B127,1),Ingresos!D:D,"&lt;"&amp;EDATE(DATE(C127,B127,1),1))</f>
        <v/>
      </c>
      <c r="F127" s="8">
        <f>SUMIFS(Egresos!H:H,Egresos!B:B,"&gt;="&amp;DATE(C127,B127,1),Egresos!B:B,"&lt;"&amp;EDATE(DATE(C127,B127,1),1))+SUMIFS(Gastos_Mensuales!H:H,Gastos_Mensuales!B:B,B127,Gastos_Mensuales!C:C,C127)</f>
        <v/>
      </c>
      <c r="G127" s="8">
        <f>SUMIFS(Impuestos!I:I,Impuestos!B:B,B127,Impuestos!C:C,C127)</f>
        <v/>
      </c>
      <c r="H127" s="8">
        <f>D127+E127-F127-G127</f>
        <v/>
      </c>
      <c r="I127" s="2" t="n"/>
    </row>
    <row r="128">
      <c r="A128" s="2" t="n"/>
      <c r="B128" s="2" t="n"/>
      <c r="C128" s="2" t="n"/>
      <c r="D128" s="8" t="n"/>
      <c r="E128" s="8">
        <f>SUMIFS(Ingresos!J:J,Ingresos!D:D,"&gt;="&amp;DATE(C128,B128,1),Ingresos!D:D,"&lt;"&amp;EDATE(DATE(C128,B128,1),1))</f>
        <v/>
      </c>
      <c r="F128" s="8">
        <f>SUMIFS(Egresos!H:H,Egresos!B:B,"&gt;="&amp;DATE(C128,B128,1),Egresos!B:B,"&lt;"&amp;EDATE(DATE(C128,B128,1),1))+SUMIFS(Gastos_Mensuales!H:H,Gastos_Mensuales!B:B,B128,Gastos_Mensuales!C:C,C128)</f>
        <v/>
      </c>
      <c r="G128" s="8">
        <f>SUMIFS(Impuestos!I:I,Impuestos!B:B,B128,Impuestos!C:C,C128)</f>
        <v/>
      </c>
      <c r="H128" s="8">
        <f>D128+E128-F128-G128</f>
        <v/>
      </c>
      <c r="I128" s="2" t="n"/>
    </row>
    <row r="129">
      <c r="A129" s="2" t="n"/>
      <c r="B129" s="2" t="n"/>
      <c r="C129" s="2" t="n"/>
      <c r="D129" s="8" t="n"/>
      <c r="E129" s="8">
        <f>SUMIFS(Ingresos!J:J,Ingresos!D:D,"&gt;="&amp;DATE(C129,B129,1),Ingresos!D:D,"&lt;"&amp;EDATE(DATE(C129,B129,1),1))</f>
        <v/>
      </c>
      <c r="F129" s="8">
        <f>SUMIFS(Egresos!H:H,Egresos!B:B,"&gt;="&amp;DATE(C129,B129,1),Egresos!B:B,"&lt;"&amp;EDATE(DATE(C129,B129,1),1))+SUMIFS(Gastos_Mensuales!H:H,Gastos_Mensuales!B:B,B129,Gastos_Mensuales!C:C,C129)</f>
        <v/>
      </c>
      <c r="G129" s="8">
        <f>SUMIFS(Impuestos!I:I,Impuestos!B:B,B129,Impuestos!C:C,C129)</f>
        <v/>
      </c>
      <c r="H129" s="8">
        <f>D129+E129-F129-G129</f>
        <v/>
      </c>
      <c r="I129" s="2" t="n"/>
    </row>
    <row r="130">
      <c r="A130" s="2" t="n"/>
      <c r="B130" s="2" t="n"/>
      <c r="C130" s="2" t="n"/>
      <c r="D130" s="8" t="n"/>
      <c r="E130" s="8">
        <f>SUMIFS(Ingresos!J:J,Ingresos!D:D,"&gt;="&amp;DATE(C130,B130,1),Ingresos!D:D,"&lt;"&amp;EDATE(DATE(C130,B130,1),1))</f>
        <v/>
      </c>
      <c r="F130" s="8">
        <f>SUMIFS(Egresos!H:H,Egresos!B:B,"&gt;="&amp;DATE(C130,B130,1),Egresos!B:B,"&lt;"&amp;EDATE(DATE(C130,B130,1),1))+SUMIFS(Gastos_Mensuales!H:H,Gastos_Mensuales!B:B,B130,Gastos_Mensuales!C:C,C130)</f>
        <v/>
      </c>
      <c r="G130" s="8">
        <f>SUMIFS(Impuestos!I:I,Impuestos!B:B,B130,Impuestos!C:C,C130)</f>
        <v/>
      </c>
      <c r="H130" s="8">
        <f>D130+E130-F130-G130</f>
        <v/>
      </c>
      <c r="I130" s="2" t="n"/>
    </row>
    <row r="131">
      <c r="A131" s="2" t="n"/>
      <c r="B131" s="2" t="n"/>
      <c r="C131" s="2" t="n"/>
      <c r="D131" s="8" t="n"/>
      <c r="E131" s="8">
        <f>SUMIFS(Ingresos!J:J,Ingresos!D:D,"&gt;="&amp;DATE(C131,B131,1),Ingresos!D:D,"&lt;"&amp;EDATE(DATE(C131,B131,1),1))</f>
        <v/>
      </c>
      <c r="F131" s="8">
        <f>SUMIFS(Egresos!H:H,Egresos!B:B,"&gt;="&amp;DATE(C131,B131,1),Egresos!B:B,"&lt;"&amp;EDATE(DATE(C131,B131,1),1))+SUMIFS(Gastos_Mensuales!H:H,Gastos_Mensuales!B:B,B131,Gastos_Mensuales!C:C,C131)</f>
        <v/>
      </c>
      <c r="G131" s="8">
        <f>SUMIFS(Impuestos!I:I,Impuestos!B:B,B131,Impuestos!C:C,C131)</f>
        <v/>
      </c>
      <c r="H131" s="8">
        <f>D131+E131-F131-G131</f>
        <v/>
      </c>
      <c r="I131" s="2" t="n"/>
    </row>
    <row r="132">
      <c r="A132" s="2" t="n"/>
      <c r="B132" s="2" t="n"/>
      <c r="C132" s="2" t="n"/>
      <c r="D132" s="8" t="n"/>
      <c r="E132" s="8">
        <f>SUMIFS(Ingresos!J:J,Ingresos!D:D,"&gt;="&amp;DATE(C132,B132,1),Ingresos!D:D,"&lt;"&amp;EDATE(DATE(C132,B132,1),1))</f>
        <v/>
      </c>
      <c r="F132" s="8">
        <f>SUMIFS(Egresos!H:H,Egresos!B:B,"&gt;="&amp;DATE(C132,B132,1),Egresos!B:B,"&lt;"&amp;EDATE(DATE(C132,B132,1),1))+SUMIFS(Gastos_Mensuales!H:H,Gastos_Mensuales!B:B,B132,Gastos_Mensuales!C:C,C132)</f>
        <v/>
      </c>
      <c r="G132" s="8">
        <f>SUMIFS(Impuestos!I:I,Impuestos!B:B,B132,Impuestos!C:C,C132)</f>
        <v/>
      </c>
      <c r="H132" s="8">
        <f>D132+E132-F132-G132</f>
        <v/>
      </c>
      <c r="I132" s="2" t="n"/>
    </row>
    <row r="133">
      <c r="A133" s="2" t="n"/>
      <c r="B133" s="2" t="n"/>
      <c r="C133" s="2" t="n"/>
      <c r="D133" s="8" t="n"/>
      <c r="E133" s="8">
        <f>SUMIFS(Ingresos!J:J,Ingresos!D:D,"&gt;="&amp;DATE(C133,B133,1),Ingresos!D:D,"&lt;"&amp;EDATE(DATE(C133,B133,1),1))</f>
        <v/>
      </c>
      <c r="F133" s="8">
        <f>SUMIFS(Egresos!H:H,Egresos!B:B,"&gt;="&amp;DATE(C133,B133,1),Egresos!B:B,"&lt;"&amp;EDATE(DATE(C133,B133,1),1))+SUMIFS(Gastos_Mensuales!H:H,Gastos_Mensuales!B:B,B133,Gastos_Mensuales!C:C,C133)</f>
        <v/>
      </c>
      <c r="G133" s="8">
        <f>SUMIFS(Impuestos!I:I,Impuestos!B:B,B133,Impuestos!C:C,C133)</f>
        <v/>
      </c>
      <c r="H133" s="8">
        <f>D133+E133-F133-G133</f>
        <v/>
      </c>
      <c r="I133" s="2" t="n"/>
    </row>
    <row r="134">
      <c r="A134" s="2" t="n"/>
      <c r="B134" s="2" t="n"/>
      <c r="C134" s="2" t="n"/>
      <c r="D134" s="8" t="n"/>
      <c r="E134" s="8">
        <f>SUMIFS(Ingresos!J:J,Ingresos!D:D,"&gt;="&amp;DATE(C134,B134,1),Ingresos!D:D,"&lt;"&amp;EDATE(DATE(C134,B134,1),1))</f>
        <v/>
      </c>
      <c r="F134" s="8">
        <f>SUMIFS(Egresos!H:H,Egresos!B:B,"&gt;="&amp;DATE(C134,B134,1),Egresos!B:B,"&lt;"&amp;EDATE(DATE(C134,B134,1),1))+SUMIFS(Gastos_Mensuales!H:H,Gastos_Mensuales!B:B,B134,Gastos_Mensuales!C:C,C134)</f>
        <v/>
      </c>
      <c r="G134" s="8">
        <f>SUMIFS(Impuestos!I:I,Impuestos!B:B,B134,Impuestos!C:C,C134)</f>
        <v/>
      </c>
      <c r="H134" s="8">
        <f>D134+E134-F134-G134</f>
        <v/>
      </c>
      <c r="I134" s="2" t="n"/>
    </row>
    <row r="135">
      <c r="A135" s="2" t="n"/>
      <c r="B135" s="2" t="n"/>
      <c r="C135" s="2" t="n"/>
      <c r="D135" s="8" t="n"/>
      <c r="E135" s="8">
        <f>SUMIFS(Ingresos!J:J,Ingresos!D:D,"&gt;="&amp;DATE(C135,B135,1),Ingresos!D:D,"&lt;"&amp;EDATE(DATE(C135,B135,1),1))</f>
        <v/>
      </c>
      <c r="F135" s="8">
        <f>SUMIFS(Egresos!H:H,Egresos!B:B,"&gt;="&amp;DATE(C135,B135,1),Egresos!B:B,"&lt;"&amp;EDATE(DATE(C135,B135,1),1))+SUMIFS(Gastos_Mensuales!H:H,Gastos_Mensuales!B:B,B135,Gastos_Mensuales!C:C,C135)</f>
        <v/>
      </c>
      <c r="G135" s="8">
        <f>SUMIFS(Impuestos!I:I,Impuestos!B:B,B135,Impuestos!C:C,C135)</f>
        <v/>
      </c>
      <c r="H135" s="8">
        <f>D135+E135-F135-G135</f>
        <v/>
      </c>
      <c r="I135" s="2" t="n"/>
    </row>
    <row r="136">
      <c r="A136" s="2" t="n"/>
      <c r="B136" s="2" t="n"/>
      <c r="C136" s="2" t="n"/>
      <c r="D136" s="8" t="n"/>
      <c r="E136" s="8">
        <f>SUMIFS(Ingresos!J:J,Ingresos!D:D,"&gt;="&amp;DATE(C136,B136,1),Ingresos!D:D,"&lt;"&amp;EDATE(DATE(C136,B136,1),1))</f>
        <v/>
      </c>
      <c r="F136" s="8">
        <f>SUMIFS(Egresos!H:H,Egresos!B:B,"&gt;="&amp;DATE(C136,B136,1),Egresos!B:B,"&lt;"&amp;EDATE(DATE(C136,B136,1),1))+SUMIFS(Gastos_Mensuales!H:H,Gastos_Mensuales!B:B,B136,Gastos_Mensuales!C:C,C136)</f>
        <v/>
      </c>
      <c r="G136" s="8">
        <f>SUMIFS(Impuestos!I:I,Impuestos!B:B,B136,Impuestos!C:C,C136)</f>
        <v/>
      </c>
      <c r="H136" s="8">
        <f>D136+E136-F136-G136</f>
        <v/>
      </c>
      <c r="I136" s="2" t="n"/>
    </row>
    <row r="137">
      <c r="A137" s="2" t="n"/>
      <c r="B137" s="2" t="n"/>
      <c r="C137" s="2" t="n"/>
      <c r="D137" s="8" t="n"/>
      <c r="E137" s="8">
        <f>SUMIFS(Ingresos!J:J,Ingresos!D:D,"&gt;="&amp;DATE(C137,B137,1),Ingresos!D:D,"&lt;"&amp;EDATE(DATE(C137,B137,1),1))</f>
        <v/>
      </c>
      <c r="F137" s="8">
        <f>SUMIFS(Egresos!H:H,Egresos!B:B,"&gt;="&amp;DATE(C137,B137,1),Egresos!B:B,"&lt;"&amp;EDATE(DATE(C137,B137,1),1))+SUMIFS(Gastos_Mensuales!H:H,Gastos_Mensuales!B:B,B137,Gastos_Mensuales!C:C,C137)</f>
        <v/>
      </c>
      <c r="G137" s="8">
        <f>SUMIFS(Impuestos!I:I,Impuestos!B:B,B137,Impuestos!C:C,C137)</f>
        <v/>
      </c>
      <c r="H137" s="8">
        <f>D137+E137-F137-G137</f>
        <v/>
      </c>
      <c r="I137" s="2" t="n"/>
    </row>
    <row r="138">
      <c r="A138" s="2" t="n"/>
      <c r="B138" s="2" t="n"/>
      <c r="C138" s="2" t="n"/>
      <c r="D138" s="8" t="n"/>
      <c r="E138" s="8">
        <f>SUMIFS(Ingresos!J:J,Ingresos!D:D,"&gt;="&amp;DATE(C138,B138,1),Ingresos!D:D,"&lt;"&amp;EDATE(DATE(C138,B138,1),1))</f>
        <v/>
      </c>
      <c r="F138" s="8">
        <f>SUMIFS(Egresos!H:H,Egresos!B:B,"&gt;="&amp;DATE(C138,B138,1),Egresos!B:B,"&lt;"&amp;EDATE(DATE(C138,B138,1),1))+SUMIFS(Gastos_Mensuales!H:H,Gastos_Mensuales!B:B,B138,Gastos_Mensuales!C:C,C138)</f>
        <v/>
      </c>
      <c r="G138" s="8">
        <f>SUMIFS(Impuestos!I:I,Impuestos!B:B,B138,Impuestos!C:C,C138)</f>
        <v/>
      </c>
      <c r="H138" s="8">
        <f>D138+E138-F138-G138</f>
        <v/>
      </c>
      <c r="I138" s="2" t="n"/>
    </row>
    <row r="139">
      <c r="A139" s="2" t="n"/>
      <c r="B139" s="2" t="n"/>
      <c r="C139" s="2" t="n"/>
      <c r="D139" s="8" t="n"/>
      <c r="E139" s="8">
        <f>SUMIFS(Ingresos!J:J,Ingresos!D:D,"&gt;="&amp;DATE(C139,B139,1),Ingresos!D:D,"&lt;"&amp;EDATE(DATE(C139,B139,1),1))</f>
        <v/>
      </c>
      <c r="F139" s="8">
        <f>SUMIFS(Egresos!H:H,Egresos!B:B,"&gt;="&amp;DATE(C139,B139,1),Egresos!B:B,"&lt;"&amp;EDATE(DATE(C139,B139,1),1))+SUMIFS(Gastos_Mensuales!H:H,Gastos_Mensuales!B:B,B139,Gastos_Mensuales!C:C,C139)</f>
        <v/>
      </c>
      <c r="G139" s="8">
        <f>SUMIFS(Impuestos!I:I,Impuestos!B:B,B139,Impuestos!C:C,C139)</f>
        <v/>
      </c>
      <c r="H139" s="8">
        <f>D139+E139-F139-G139</f>
        <v/>
      </c>
      <c r="I139" s="2" t="n"/>
    </row>
    <row r="140">
      <c r="A140" s="2" t="n"/>
      <c r="B140" s="2" t="n"/>
      <c r="C140" s="2" t="n"/>
      <c r="D140" s="8" t="n"/>
      <c r="E140" s="8">
        <f>SUMIFS(Ingresos!J:J,Ingresos!D:D,"&gt;="&amp;DATE(C140,B140,1),Ingresos!D:D,"&lt;"&amp;EDATE(DATE(C140,B140,1),1))</f>
        <v/>
      </c>
      <c r="F140" s="8">
        <f>SUMIFS(Egresos!H:H,Egresos!B:B,"&gt;="&amp;DATE(C140,B140,1),Egresos!B:B,"&lt;"&amp;EDATE(DATE(C140,B140,1),1))+SUMIFS(Gastos_Mensuales!H:H,Gastos_Mensuales!B:B,B140,Gastos_Mensuales!C:C,C140)</f>
        <v/>
      </c>
      <c r="G140" s="8">
        <f>SUMIFS(Impuestos!I:I,Impuestos!B:B,B140,Impuestos!C:C,C140)</f>
        <v/>
      </c>
      <c r="H140" s="8">
        <f>D140+E140-F140-G140</f>
        <v/>
      </c>
      <c r="I140" s="2" t="n"/>
    </row>
    <row r="141">
      <c r="A141" s="2" t="n"/>
      <c r="B141" s="2" t="n"/>
      <c r="C141" s="2" t="n"/>
      <c r="D141" s="8" t="n"/>
      <c r="E141" s="8">
        <f>SUMIFS(Ingresos!J:J,Ingresos!D:D,"&gt;="&amp;DATE(C141,B141,1),Ingresos!D:D,"&lt;"&amp;EDATE(DATE(C141,B141,1),1))</f>
        <v/>
      </c>
      <c r="F141" s="8">
        <f>SUMIFS(Egresos!H:H,Egresos!B:B,"&gt;="&amp;DATE(C141,B141,1),Egresos!B:B,"&lt;"&amp;EDATE(DATE(C141,B141,1),1))+SUMIFS(Gastos_Mensuales!H:H,Gastos_Mensuales!B:B,B141,Gastos_Mensuales!C:C,C141)</f>
        <v/>
      </c>
      <c r="G141" s="8">
        <f>SUMIFS(Impuestos!I:I,Impuestos!B:B,B141,Impuestos!C:C,C141)</f>
        <v/>
      </c>
      <c r="H141" s="8">
        <f>D141+E141-F141-G141</f>
        <v/>
      </c>
      <c r="I141" s="2" t="n"/>
    </row>
    <row r="142">
      <c r="A142" s="2" t="n"/>
      <c r="B142" s="2" t="n"/>
      <c r="C142" s="2" t="n"/>
      <c r="D142" s="8" t="n"/>
      <c r="E142" s="8">
        <f>SUMIFS(Ingresos!J:J,Ingresos!D:D,"&gt;="&amp;DATE(C142,B142,1),Ingresos!D:D,"&lt;"&amp;EDATE(DATE(C142,B142,1),1))</f>
        <v/>
      </c>
      <c r="F142" s="8">
        <f>SUMIFS(Egresos!H:H,Egresos!B:B,"&gt;="&amp;DATE(C142,B142,1),Egresos!B:B,"&lt;"&amp;EDATE(DATE(C142,B142,1),1))+SUMIFS(Gastos_Mensuales!H:H,Gastos_Mensuales!B:B,B142,Gastos_Mensuales!C:C,C142)</f>
        <v/>
      </c>
      <c r="G142" s="8">
        <f>SUMIFS(Impuestos!I:I,Impuestos!B:B,B142,Impuestos!C:C,C142)</f>
        <v/>
      </c>
      <c r="H142" s="8">
        <f>D142+E142-F142-G142</f>
        <v/>
      </c>
      <c r="I142" s="2" t="n"/>
    </row>
    <row r="143">
      <c r="A143" s="2" t="n"/>
      <c r="B143" s="2" t="n"/>
      <c r="C143" s="2" t="n"/>
      <c r="D143" s="8" t="n"/>
      <c r="E143" s="8">
        <f>SUMIFS(Ingresos!J:J,Ingresos!D:D,"&gt;="&amp;DATE(C143,B143,1),Ingresos!D:D,"&lt;"&amp;EDATE(DATE(C143,B143,1),1))</f>
        <v/>
      </c>
      <c r="F143" s="8">
        <f>SUMIFS(Egresos!H:H,Egresos!B:B,"&gt;="&amp;DATE(C143,B143,1),Egresos!B:B,"&lt;"&amp;EDATE(DATE(C143,B143,1),1))+SUMIFS(Gastos_Mensuales!H:H,Gastos_Mensuales!B:B,B143,Gastos_Mensuales!C:C,C143)</f>
        <v/>
      </c>
      <c r="G143" s="8">
        <f>SUMIFS(Impuestos!I:I,Impuestos!B:B,B143,Impuestos!C:C,C143)</f>
        <v/>
      </c>
      <c r="H143" s="8">
        <f>D143+E143-F143-G143</f>
        <v/>
      </c>
      <c r="I143" s="2" t="n"/>
    </row>
    <row r="144">
      <c r="A144" s="2" t="n"/>
      <c r="B144" s="2" t="n"/>
      <c r="C144" s="2" t="n"/>
      <c r="D144" s="8" t="n"/>
      <c r="E144" s="8">
        <f>SUMIFS(Ingresos!J:J,Ingresos!D:D,"&gt;="&amp;DATE(C144,B144,1),Ingresos!D:D,"&lt;"&amp;EDATE(DATE(C144,B144,1),1))</f>
        <v/>
      </c>
      <c r="F144" s="8">
        <f>SUMIFS(Egresos!H:H,Egresos!B:B,"&gt;="&amp;DATE(C144,B144,1),Egresos!B:B,"&lt;"&amp;EDATE(DATE(C144,B144,1),1))+SUMIFS(Gastos_Mensuales!H:H,Gastos_Mensuales!B:B,B144,Gastos_Mensuales!C:C,C144)</f>
        <v/>
      </c>
      <c r="G144" s="8">
        <f>SUMIFS(Impuestos!I:I,Impuestos!B:B,B144,Impuestos!C:C,C144)</f>
        <v/>
      </c>
      <c r="H144" s="8">
        <f>D144+E144-F144-G144</f>
        <v/>
      </c>
      <c r="I144" s="2" t="n"/>
    </row>
    <row r="145">
      <c r="A145" s="2" t="n"/>
      <c r="B145" s="2" t="n"/>
      <c r="C145" s="2" t="n"/>
      <c r="D145" s="8" t="n"/>
      <c r="E145" s="8">
        <f>SUMIFS(Ingresos!J:J,Ingresos!D:D,"&gt;="&amp;DATE(C145,B145,1),Ingresos!D:D,"&lt;"&amp;EDATE(DATE(C145,B145,1),1))</f>
        <v/>
      </c>
      <c r="F145" s="8">
        <f>SUMIFS(Egresos!H:H,Egresos!B:B,"&gt;="&amp;DATE(C145,B145,1),Egresos!B:B,"&lt;"&amp;EDATE(DATE(C145,B145,1),1))+SUMIFS(Gastos_Mensuales!H:H,Gastos_Mensuales!B:B,B145,Gastos_Mensuales!C:C,C145)</f>
        <v/>
      </c>
      <c r="G145" s="8">
        <f>SUMIFS(Impuestos!I:I,Impuestos!B:B,B145,Impuestos!C:C,C145)</f>
        <v/>
      </c>
      <c r="H145" s="8">
        <f>D145+E145-F145-G145</f>
        <v/>
      </c>
      <c r="I145" s="2" t="n"/>
    </row>
    <row r="146">
      <c r="A146" s="2" t="n"/>
      <c r="B146" s="2" t="n"/>
      <c r="C146" s="2" t="n"/>
      <c r="D146" s="8" t="n"/>
      <c r="E146" s="8">
        <f>SUMIFS(Ingresos!J:J,Ingresos!D:D,"&gt;="&amp;DATE(C146,B146,1),Ingresos!D:D,"&lt;"&amp;EDATE(DATE(C146,B146,1),1))</f>
        <v/>
      </c>
      <c r="F146" s="8">
        <f>SUMIFS(Egresos!H:H,Egresos!B:B,"&gt;="&amp;DATE(C146,B146,1),Egresos!B:B,"&lt;"&amp;EDATE(DATE(C146,B146,1),1))+SUMIFS(Gastos_Mensuales!H:H,Gastos_Mensuales!B:B,B146,Gastos_Mensuales!C:C,C146)</f>
        <v/>
      </c>
      <c r="G146" s="8">
        <f>SUMIFS(Impuestos!I:I,Impuestos!B:B,B146,Impuestos!C:C,C146)</f>
        <v/>
      </c>
      <c r="H146" s="8">
        <f>D146+E146-F146-G146</f>
        <v/>
      </c>
      <c r="I146" s="2" t="n"/>
    </row>
    <row r="147">
      <c r="A147" s="2" t="n"/>
      <c r="B147" s="2" t="n"/>
      <c r="C147" s="2" t="n"/>
      <c r="D147" s="8" t="n"/>
      <c r="E147" s="8">
        <f>SUMIFS(Ingresos!J:J,Ingresos!D:D,"&gt;="&amp;DATE(C147,B147,1),Ingresos!D:D,"&lt;"&amp;EDATE(DATE(C147,B147,1),1))</f>
        <v/>
      </c>
      <c r="F147" s="8">
        <f>SUMIFS(Egresos!H:H,Egresos!B:B,"&gt;="&amp;DATE(C147,B147,1),Egresos!B:B,"&lt;"&amp;EDATE(DATE(C147,B147,1),1))+SUMIFS(Gastos_Mensuales!H:H,Gastos_Mensuales!B:B,B147,Gastos_Mensuales!C:C,C147)</f>
        <v/>
      </c>
      <c r="G147" s="8">
        <f>SUMIFS(Impuestos!I:I,Impuestos!B:B,B147,Impuestos!C:C,C147)</f>
        <v/>
      </c>
      <c r="H147" s="8">
        <f>D147+E147-F147-G147</f>
        <v/>
      </c>
      <c r="I147" s="2" t="n"/>
    </row>
    <row r="148">
      <c r="A148" s="2" t="n"/>
      <c r="B148" s="2" t="n"/>
      <c r="C148" s="2" t="n"/>
      <c r="D148" s="8" t="n"/>
      <c r="E148" s="8">
        <f>SUMIFS(Ingresos!J:J,Ingresos!D:D,"&gt;="&amp;DATE(C148,B148,1),Ingresos!D:D,"&lt;"&amp;EDATE(DATE(C148,B148,1),1))</f>
        <v/>
      </c>
      <c r="F148" s="8">
        <f>SUMIFS(Egresos!H:H,Egresos!B:B,"&gt;="&amp;DATE(C148,B148,1),Egresos!B:B,"&lt;"&amp;EDATE(DATE(C148,B148,1),1))+SUMIFS(Gastos_Mensuales!H:H,Gastos_Mensuales!B:B,B148,Gastos_Mensuales!C:C,C148)</f>
        <v/>
      </c>
      <c r="G148" s="8">
        <f>SUMIFS(Impuestos!I:I,Impuestos!B:B,B148,Impuestos!C:C,C148)</f>
        <v/>
      </c>
      <c r="H148" s="8">
        <f>D148+E148-F148-G148</f>
        <v/>
      </c>
      <c r="I148" s="2" t="n"/>
    </row>
    <row r="149">
      <c r="A149" s="2" t="n"/>
      <c r="B149" s="2" t="n"/>
      <c r="C149" s="2" t="n"/>
      <c r="D149" s="8" t="n"/>
      <c r="E149" s="8">
        <f>SUMIFS(Ingresos!J:J,Ingresos!D:D,"&gt;="&amp;DATE(C149,B149,1),Ingresos!D:D,"&lt;"&amp;EDATE(DATE(C149,B149,1),1))</f>
        <v/>
      </c>
      <c r="F149" s="8">
        <f>SUMIFS(Egresos!H:H,Egresos!B:B,"&gt;="&amp;DATE(C149,B149,1),Egresos!B:B,"&lt;"&amp;EDATE(DATE(C149,B149,1),1))+SUMIFS(Gastos_Mensuales!H:H,Gastos_Mensuales!B:B,B149,Gastos_Mensuales!C:C,C149)</f>
        <v/>
      </c>
      <c r="G149" s="8">
        <f>SUMIFS(Impuestos!I:I,Impuestos!B:B,B149,Impuestos!C:C,C149)</f>
        <v/>
      </c>
      <c r="H149" s="8">
        <f>D149+E149-F149-G149</f>
        <v/>
      </c>
      <c r="I149" s="2" t="n"/>
    </row>
    <row r="150">
      <c r="A150" s="2" t="n"/>
      <c r="B150" s="2" t="n"/>
      <c r="C150" s="2" t="n"/>
      <c r="D150" s="8" t="n"/>
      <c r="E150" s="8">
        <f>SUMIFS(Ingresos!J:J,Ingresos!D:D,"&gt;="&amp;DATE(C150,B150,1),Ingresos!D:D,"&lt;"&amp;EDATE(DATE(C150,B150,1),1))</f>
        <v/>
      </c>
      <c r="F150" s="8">
        <f>SUMIFS(Egresos!H:H,Egresos!B:B,"&gt;="&amp;DATE(C150,B150,1),Egresos!B:B,"&lt;"&amp;EDATE(DATE(C150,B150,1),1))+SUMIFS(Gastos_Mensuales!H:H,Gastos_Mensuales!B:B,B150,Gastos_Mensuales!C:C,C150)</f>
        <v/>
      </c>
      <c r="G150" s="8">
        <f>SUMIFS(Impuestos!I:I,Impuestos!B:B,B150,Impuestos!C:C,C150)</f>
        <v/>
      </c>
      <c r="H150" s="8">
        <f>D150+E150-F150-G150</f>
        <v/>
      </c>
      <c r="I150" s="2" t="n"/>
    </row>
    <row r="151">
      <c r="A151" s="2" t="n"/>
      <c r="B151" s="2" t="n"/>
      <c r="C151" s="2" t="n"/>
      <c r="D151" s="8" t="n"/>
      <c r="E151" s="8">
        <f>SUMIFS(Ingresos!J:J,Ingresos!D:D,"&gt;="&amp;DATE(C151,B151,1),Ingresos!D:D,"&lt;"&amp;EDATE(DATE(C151,B151,1),1))</f>
        <v/>
      </c>
      <c r="F151" s="8">
        <f>SUMIFS(Egresos!H:H,Egresos!B:B,"&gt;="&amp;DATE(C151,B151,1),Egresos!B:B,"&lt;"&amp;EDATE(DATE(C151,B151,1),1))+SUMIFS(Gastos_Mensuales!H:H,Gastos_Mensuales!B:B,B151,Gastos_Mensuales!C:C,C151)</f>
        <v/>
      </c>
      <c r="G151" s="8">
        <f>SUMIFS(Impuestos!I:I,Impuestos!B:B,B151,Impuestos!C:C,C151)</f>
        <v/>
      </c>
      <c r="H151" s="8">
        <f>D151+E151-F151-G151</f>
        <v/>
      </c>
      <c r="I151" s="2" t="n"/>
    </row>
    <row r="152">
      <c r="A152" s="2" t="n"/>
      <c r="B152" s="2" t="n"/>
      <c r="C152" s="2" t="n"/>
      <c r="D152" s="8" t="n"/>
      <c r="E152" s="8">
        <f>SUMIFS(Ingresos!J:J,Ingresos!D:D,"&gt;="&amp;DATE(C152,B152,1),Ingresos!D:D,"&lt;"&amp;EDATE(DATE(C152,B152,1),1))</f>
        <v/>
      </c>
      <c r="F152" s="8">
        <f>SUMIFS(Egresos!H:H,Egresos!B:B,"&gt;="&amp;DATE(C152,B152,1),Egresos!B:B,"&lt;"&amp;EDATE(DATE(C152,B152,1),1))+SUMIFS(Gastos_Mensuales!H:H,Gastos_Mensuales!B:B,B152,Gastos_Mensuales!C:C,C152)</f>
        <v/>
      </c>
      <c r="G152" s="8">
        <f>SUMIFS(Impuestos!I:I,Impuestos!B:B,B152,Impuestos!C:C,C152)</f>
        <v/>
      </c>
      <c r="H152" s="8">
        <f>D152+E152-F152-G152</f>
        <v/>
      </c>
      <c r="I152" s="2" t="n"/>
    </row>
    <row r="153">
      <c r="A153" s="2" t="n"/>
      <c r="B153" s="2" t="n"/>
      <c r="C153" s="2" t="n"/>
      <c r="D153" s="8" t="n"/>
      <c r="E153" s="8">
        <f>SUMIFS(Ingresos!J:J,Ingresos!D:D,"&gt;="&amp;DATE(C153,B153,1),Ingresos!D:D,"&lt;"&amp;EDATE(DATE(C153,B153,1),1))</f>
        <v/>
      </c>
      <c r="F153" s="8">
        <f>SUMIFS(Egresos!H:H,Egresos!B:B,"&gt;="&amp;DATE(C153,B153,1),Egresos!B:B,"&lt;"&amp;EDATE(DATE(C153,B153,1),1))+SUMIFS(Gastos_Mensuales!H:H,Gastos_Mensuales!B:B,B153,Gastos_Mensuales!C:C,C153)</f>
        <v/>
      </c>
      <c r="G153" s="8">
        <f>SUMIFS(Impuestos!I:I,Impuestos!B:B,B153,Impuestos!C:C,C153)</f>
        <v/>
      </c>
      <c r="H153" s="8">
        <f>D153+E153-F153-G153</f>
        <v/>
      </c>
      <c r="I153" s="2" t="n"/>
    </row>
    <row r="154">
      <c r="A154" s="2" t="n"/>
      <c r="B154" s="2" t="n"/>
      <c r="C154" s="2" t="n"/>
      <c r="D154" s="8" t="n"/>
      <c r="E154" s="8">
        <f>SUMIFS(Ingresos!J:J,Ingresos!D:D,"&gt;="&amp;DATE(C154,B154,1),Ingresos!D:D,"&lt;"&amp;EDATE(DATE(C154,B154,1),1))</f>
        <v/>
      </c>
      <c r="F154" s="8">
        <f>SUMIFS(Egresos!H:H,Egresos!B:B,"&gt;="&amp;DATE(C154,B154,1),Egresos!B:B,"&lt;"&amp;EDATE(DATE(C154,B154,1),1))+SUMIFS(Gastos_Mensuales!H:H,Gastos_Mensuales!B:B,B154,Gastos_Mensuales!C:C,C154)</f>
        <v/>
      </c>
      <c r="G154" s="8">
        <f>SUMIFS(Impuestos!I:I,Impuestos!B:B,B154,Impuestos!C:C,C154)</f>
        <v/>
      </c>
      <c r="H154" s="8">
        <f>D154+E154-F154-G154</f>
        <v/>
      </c>
      <c r="I154" s="2" t="n"/>
    </row>
    <row r="155">
      <c r="A155" s="2" t="n"/>
      <c r="B155" s="2" t="n"/>
      <c r="C155" s="2" t="n"/>
      <c r="D155" s="8" t="n"/>
      <c r="E155" s="8">
        <f>SUMIFS(Ingresos!J:J,Ingresos!D:D,"&gt;="&amp;DATE(C155,B155,1),Ingresos!D:D,"&lt;"&amp;EDATE(DATE(C155,B155,1),1))</f>
        <v/>
      </c>
      <c r="F155" s="8">
        <f>SUMIFS(Egresos!H:H,Egresos!B:B,"&gt;="&amp;DATE(C155,B155,1),Egresos!B:B,"&lt;"&amp;EDATE(DATE(C155,B155,1),1))+SUMIFS(Gastos_Mensuales!H:H,Gastos_Mensuales!B:B,B155,Gastos_Mensuales!C:C,C155)</f>
        <v/>
      </c>
      <c r="G155" s="8">
        <f>SUMIFS(Impuestos!I:I,Impuestos!B:B,B155,Impuestos!C:C,C155)</f>
        <v/>
      </c>
      <c r="H155" s="8">
        <f>D155+E155-F155-G155</f>
        <v/>
      </c>
      <c r="I155" s="2" t="n"/>
    </row>
    <row r="156">
      <c r="A156" s="2" t="n"/>
      <c r="B156" s="2" t="n"/>
      <c r="C156" s="2" t="n"/>
      <c r="D156" s="8" t="n"/>
      <c r="E156" s="8">
        <f>SUMIFS(Ingresos!J:J,Ingresos!D:D,"&gt;="&amp;DATE(C156,B156,1),Ingresos!D:D,"&lt;"&amp;EDATE(DATE(C156,B156,1),1))</f>
        <v/>
      </c>
      <c r="F156" s="8">
        <f>SUMIFS(Egresos!H:H,Egresos!B:B,"&gt;="&amp;DATE(C156,B156,1),Egresos!B:B,"&lt;"&amp;EDATE(DATE(C156,B156,1),1))+SUMIFS(Gastos_Mensuales!H:H,Gastos_Mensuales!B:B,B156,Gastos_Mensuales!C:C,C156)</f>
        <v/>
      </c>
      <c r="G156" s="8">
        <f>SUMIFS(Impuestos!I:I,Impuestos!B:B,B156,Impuestos!C:C,C156)</f>
        <v/>
      </c>
      <c r="H156" s="8">
        <f>D156+E156-F156-G156</f>
        <v/>
      </c>
      <c r="I156" s="2" t="n"/>
    </row>
    <row r="157">
      <c r="A157" s="2" t="n"/>
      <c r="B157" s="2" t="n"/>
      <c r="C157" s="2" t="n"/>
      <c r="D157" s="8" t="n"/>
      <c r="E157" s="8">
        <f>SUMIFS(Ingresos!J:J,Ingresos!D:D,"&gt;="&amp;DATE(C157,B157,1),Ingresos!D:D,"&lt;"&amp;EDATE(DATE(C157,B157,1),1))</f>
        <v/>
      </c>
      <c r="F157" s="8">
        <f>SUMIFS(Egresos!H:H,Egresos!B:B,"&gt;="&amp;DATE(C157,B157,1),Egresos!B:B,"&lt;"&amp;EDATE(DATE(C157,B157,1),1))+SUMIFS(Gastos_Mensuales!H:H,Gastos_Mensuales!B:B,B157,Gastos_Mensuales!C:C,C157)</f>
        <v/>
      </c>
      <c r="G157" s="8">
        <f>SUMIFS(Impuestos!I:I,Impuestos!B:B,B157,Impuestos!C:C,C157)</f>
        <v/>
      </c>
      <c r="H157" s="8">
        <f>D157+E157-F157-G157</f>
        <v/>
      </c>
      <c r="I157" s="2" t="n"/>
    </row>
    <row r="158">
      <c r="A158" s="2" t="n"/>
      <c r="B158" s="2" t="n"/>
      <c r="C158" s="2" t="n"/>
      <c r="D158" s="8" t="n"/>
      <c r="E158" s="8">
        <f>SUMIFS(Ingresos!J:J,Ingresos!D:D,"&gt;="&amp;DATE(C158,B158,1),Ingresos!D:D,"&lt;"&amp;EDATE(DATE(C158,B158,1),1))</f>
        <v/>
      </c>
      <c r="F158" s="8">
        <f>SUMIFS(Egresos!H:H,Egresos!B:B,"&gt;="&amp;DATE(C158,B158,1),Egresos!B:B,"&lt;"&amp;EDATE(DATE(C158,B158,1),1))+SUMIFS(Gastos_Mensuales!H:H,Gastos_Mensuales!B:B,B158,Gastos_Mensuales!C:C,C158)</f>
        <v/>
      </c>
      <c r="G158" s="8">
        <f>SUMIFS(Impuestos!I:I,Impuestos!B:B,B158,Impuestos!C:C,C158)</f>
        <v/>
      </c>
      <c r="H158" s="8">
        <f>D158+E158-F158-G158</f>
        <v/>
      </c>
      <c r="I158" s="2" t="n"/>
    </row>
    <row r="159">
      <c r="A159" s="2" t="n"/>
      <c r="B159" s="2" t="n"/>
      <c r="C159" s="2" t="n"/>
      <c r="D159" s="8" t="n"/>
      <c r="E159" s="8">
        <f>SUMIFS(Ingresos!J:J,Ingresos!D:D,"&gt;="&amp;DATE(C159,B159,1),Ingresos!D:D,"&lt;"&amp;EDATE(DATE(C159,B159,1),1))</f>
        <v/>
      </c>
      <c r="F159" s="8">
        <f>SUMIFS(Egresos!H:H,Egresos!B:B,"&gt;="&amp;DATE(C159,B159,1),Egresos!B:B,"&lt;"&amp;EDATE(DATE(C159,B159,1),1))+SUMIFS(Gastos_Mensuales!H:H,Gastos_Mensuales!B:B,B159,Gastos_Mensuales!C:C,C159)</f>
        <v/>
      </c>
      <c r="G159" s="8">
        <f>SUMIFS(Impuestos!I:I,Impuestos!B:B,B159,Impuestos!C:C,C159)</f>
        <v/>
      </c>
      <c r="H159" s="8">
        <f>D159+E159-F159-G159</f>
        <v/>
      </c>
      <c r="I159" s="2" t="n"/>
    </row>
    <row r="160">
      <c r="A160" s="2" t="n"/>
      <c r="B160" s="2" t="n"/>
      <c r="C160" s="2" t="n"/>
      <c r="D160" s="8" t="n"/>
      <c r="E160" s="8">
        <f>SUMIFS(Ingresos!J:J,Ingresos!D:D,"&gt;="&amp;DATE(C160,B160,1),Ingresos!D:D,"&lt;"&amp;EDATE(DATE(C160,B160,1),1))</f>
        <v/>
      </c>
      <c r="F160" s="8">
        <f>SUMIFS(Egresos!H:H,Egresos!B:B,"&gt;="&amp;DATE(C160,B160,1),Egresos!B:B,"&lt;"&amp;EDATE(DATE(C160,B160,1),1))+SUMIFS(Gastos_Mensuales!H:H,Gastos_Mensuales!B:B,B160,Gastos_Mensuales!C:C,C160)</f>
        <v/>
      </c>
      <c r="G160" s="8">
        <f>SUMIFS(Impuestos!I:I,Impuestos!B:B,B160,Impuestos!C:C,C160)</f>
        <v/>
      </c>
      <c r="H160" s="8">
        <f>D160+E160-F160-G160</f>
        <v/>
      </c>
      <c r="I160" s="2" t="n"/>
    </row>
    <row r="161">
      <c r="A161" s="2" t="n"/>
      <c r="B161" s="2" t="n"/>
      <c r="C161" s="2" t="n"/>
      <c r="D161" s="8" t="n"/>
      <c r="E161" s="8">
        <f>SUMIFS(Ingresos!J:J,Ingresos!D:D,"&gt;="&amp;DATE(C161,B161,1),Ingresos!D:D,"&lt;"&amp;EDATE(DATE(C161,B161,1),1))</f>
        <v/>
      </c>
      <c r="F161" s="8">
        <f>SUMIFS(Egresos!H:H,Egresos!B:B,"&gt;="&amp;DATE(C161,B161,1),Egresos!B:B,"&lt;"&amp;EDATE(DATE(C161,B161,1),1))+SUMIFS(Gastos_Mensuales!H:H,Gastos_Mensuales!B:B,B161,Gastos_Mensuales!C:C,C161)</f>
        <v/>
      </c>
      <c r="G161" s="8">
        <f>SUMIFS(Impuestos!I:I,Impuestos!B:B,B161,Impuestos!C:C,C161)</f>
        <v/>
      </c>
      <c r="H161" s="8">
        <f>D161+E161-F161-G161</f>
        <v/>
      </c>
      <c r="I161" s="2" t="n"/>
    </row>
    <row r="162">
      <c r="A162" s="2" t="n"/>
      <c r="B162" s="2" t="n"/>
      <c r="C162" s="2" t="n"/>
      <c r="D162" s="8" t="n"/>
      <c r="E162" s="8">
        <f>SUMIFS(Ingresos!J:J,Ingresos!D:D,"&gt;="&amp;DATE(C162,B162,1),Ingresos!D:D,"&lt;"&amp;EDATE(DATE(C162,B162,1),1))</f>
        <v/>
      </c>
      <c r="F162" s="8">
        <f>SUMIFS(Egresos!H:H,Egresos!B:B,"&gt;="&amp;DATE(C162,B162,1),Egresos!B:B,"&lt;"&amp;EDATE(DATE(C162,B162,1),1))+SUMIFS(Gastos_Mensuales!H:H,Gastos_Mensuales!B:B,B162,Gastos_Mensuales!C:C,C162)</f>
        <v/>
      </c>
      <c r="G162" s="8">
        <f>SUMIFS(Impuestos!I:I,Impuestos!B:B,B162,Impuestos!C:C,C162)</f>
        <v/>
      </c>
      <c r="H162" s="8">
        <f>D162+E162-F162-G162</f>
        <v/>
      </c>
      <c r="I162" s="2" t="n"/>
    </row>
    <row r="163">
      <c r="A163" s="2" t="n"/>
      <c r="B163" s="2" t="n"/>
      <c r="C163" s="2" t="n"/>
      <c r="D163" s="8" t="n"/>
      <c r="E163" s="8">
        <f>SUMIFS(Ingresos!J:J,Ingresos!D:D,"&gt;="&amp;DATE(C163,B163,1),Ingresos!D:D,"&lt;"&amp;EDATE(DATE(C163,B163,1),1))</f>
        <v/>
      </c>
      <c r="F163" s="8">
        <f>SUMIFS(Egresos!H:H,Egresos!B:B,"&gt;="&amp;DATE(C163,B163,1),Egresos!B:B,"&lt;"&amp;EDATE(DATE(C163,B163,1),1))+SUMIFS(Gastos_Mensuales!H:H,Gastos_Mensuales!B:B,B163,Gastos_Mensuales!C:C,C163)</f>
        <v/>
      </c>
      <c r="G163" s="8">
        <f>SUMIFS(Impuestos!I:I,Impuestos!B:B,B163,Impuestos!C:C,C163)</f>
        <v/>
      </c>
      <c r="H163" s="8">
        <f>D163+E163-F163-G163</f>
        <v/>
      </c>
      <c r="I163" s="2" t="n"/>
    </row>
    <row r="164">
      <c r="A164" s="2" t="n"/>
      <c r="B164" s="2" t="n"/>
      <c r="C164" s="2" t="n"/>
      <c r="D164" s="8" t="n"/>
      <c r="E164" s="8">
        <f>SUMIFS(Ingresos!J:J,Ingresos!D:D,"&gt;="&amp;DATE(C164,B164,1),Ingresos!D:D,"&lt;"&amp;EDATE(DATE(C164,B164,1),1))</f>
        <v/>
      </c>
      <c r="F164" s="8">
        <f>SUMIFS(Egresos!H:H,Egresos!B:B,"&gt;="&amp;DATE(C164,B164,1),Egresos!B:B,"&lt;"&amp;EDATE(DATE(C164,B164,1),1))+SUMIFS(Gastos_Mensuales!H:H,Gastos_Mensuales!B:B,B164,Gastos_Mensuales!C:C,C164)</f>
        <v/>
      </c>
      <c r="G164" s="8">
        <f>SUMIFS(Impuestos!I:I,Impuestos!B:B,B164,Impuestos!C:C,C164)</f>
        <v/>
      </c>
      <c r="H164" s="8">
        <f>D164+E164-F164-G164</f>
        <v/>
      </c>
      <c r="I164" s="2" t="n"/>
    </row>
    <row r="165">
      <c r="A165" s="2" t="n"/>
      <c r="B165" s="2" t="n"/>
      <c r="C165" s="2" t="n"/>
      <c r="D165" s="8" t="n"/>
      <c r="E165" s="8">
        <f>SUMIFS(Ingresos!J:J,Ingresos!D:D,"&gt;="&amp;DATE(C165,B165,1),Ingresos!D:D,"&lt;"&amp;EDATE(DATE(C165,B165,1),1))</f>
        <v/>
      </c>
      <c r="F165" s="8">
        <f>SUMIFS(Egresos!H:H,Egresos!B:B,"&gt;="&amp;DATE(C165,B165,1),Egresos!B:B,"&lt;"&amp;EDATE(DATE(C165,B165,1),1))+SUMIFS(Gastos_Mensuales!H:H,Gastos_Mensuales!B:B,B165,Gastos_Mensuales!C:C,C165)</f>
        <v/>
      </c>
      <c r="G165" s="8">
        <f>SUMIFS(Impuestos!I:I,Impuestos!B:B,B165,Impuestos!C:C,C165)</f>
        <v/>
      </c>
      <c r="H165" s="8">
        <f>D165+E165-F165-G165</f>
        <v/>
      </c>
      <c r="I165" s="2" t="n"/>
    </row>
    <row r="166">
      <c r="A166" s="2" t="n"/>
      <c r="B166" s="2" t="n"/>
      <c r="C166" s="2" t="n"/>
      <c r="D166" s="8" t="n"/>
      <c r="E166" s="8">
        <f>SUMIFS(Ingresos!J:J,Ingresos!D:D,"&gt;="&amp;DATE(C166,B166,1),Ingresos!D:D,"&lt;"&amp;EDATE(DATE(C166,B166,1),1))</f>
        <v/>
      </c>
      <c r="F166" s="8">
        <f>SUMIFS(Egresos!H:H,Egresos!B:B,"&gt;="&amp;DATE(C166,B166,1),Egresos!B:B,"&lt;"&amp;EDATE(DATE(C166,B166,1),1))+SUMIFS(Gastos_Mensuales!H:H,Gastos_Mensuales!B:B,B166,Gastos_Mensuales!C:C,C166)</f>
        <v/>
      </c>
      <c r="G166" s="8">
        <f>SUMIFS(Impuestos!I:I,Impuestos!B:B,B166,Impuestos!C:C,C166)</f>
        <v/>
      </c>
      <c r="H166" s="8">
        <f>D166+E166-F166-G166</f>
        <v/>
      </c>
      <c r="I166" s="2" t="n"/>
    </row>
    <row r="167">
      <c r="A167" s="2" t="n"/>
      <c r="B167" s="2" t="n"/>
      <c r="C167" s="2" t="n"/>
      <c r="D167" s="8" t="n"/>
      <c r="E167" s="8">
        <f>SUMIFS(Ingresos!J:J,Ingresos!D:D,"&gt;="&amp;DATE(C167,B167,1),Ingresos!D:D,"&lt;"&amp;EDATE(DATE(C167,B167,1),1))</f>
        <v/>
      </c>
      <c r="F167" s="8">
        <f>SUMIFS(Egresos!H:H,Egresos!B:B,"&gt;="&amp;DATE(C167,B167,1),Egresos!B:B,"&lt;"&amp;EDATE(DATE(C167,B167,1),1))+SUMIFS(Gastos_Mensuales!H:H,Gastos_Mensuales!B:B,B167,Gastos_Mensuales!C:C,C167)</f>
        <v/>
      </c>
      <c r="G167" s="8">
        <f>SUMIFS(Impuestos!I:I,Impuestos!B:B,B167,Impuestos!C:C,C167)</f>
        <v/>
      </c>
      <c r="H167" s="8">
        <f>D167+E167-F167-G167</f>
        <v/>
      </c>
      <c r="I167" s="2" t="n"/>
    </row>
    <row r="168">
      <c r="A168" s="2" t="n"/>
      <c r="B168" s="2" t="n"/>
      <c r="C168" s="2" t="n"/>
      <c r="D168" s="8" t="n"/>
      <c r="E168" s="8">
        <f>SUMIFS(Ingresos!J:J,Ingresos!D:D,"&gt;="&amp;DATE(C168,B168,1),Ingresos!D:D,"&lt;"&amp;EDATE(DATE(C168,B168,1),1))</f>
        <v/>
      </c>
      <c r="F168" s="8">
        <f>SUMIFS(Egresos!H:H,Egresos!B:B,"&gt;="&amp;DATE(C168,B168,1),Egresos!B:B,"&lt;"&amp;EDATE(DATE(C168,B168,1),1))+SUMIFS(Gastos_Mensuales!H:H,Gastos_Mensuales!B:B,B168,Gastos_Mensuales!C:C,C168)</f>
        <v/>
      </c>
      <c r="G168" s="8">
        <f>SUMIFS(Impuestos!I:I,Impuestos!B:B,B168,Impuestos!C:C,C168)</f>
        <v/>
      </c>
      <c r="H168" s="8">
        <f>D168+E168-F168-G168</f>
        <v/>
      </c>
      <c r="I168" s="2" t="n"/>
    </row>
    <row r="169">
      <c r="A169" s="2" t="n"/>
      <c r="B169" s="2" t="n"/>
      <c r="C169" s="2" t="n"/>
      <c r="D169" s="8" t="n"/>
      <c r="E169" s="8">
        <f>SUMIFS(Ingresos!J:J,Ingresos!D:D,"&gt;="&amp;DATE(C169,B169,1),Ingresos!D:D,"&lt;"&amp;EDATE(DATE(C169,B169,1),1))</f>
        <v/>
      </c>
      <c r="F169" s="8">
        <f>SUMIFS(Egresos!H:H,Egresos!B:B,"&gt;="&amp;DATE(C169,B169,1),Egresos!B:B,"&lt;"&amp;EDATE(DATE(C169,B169,1),1))+SUMIFS(Gastos_Mensuales!H:H,Gastos_Mensuales!B:B,B169,Gastos_Mensuales!C:C,C169)</f>
        <v/>
      </c>
      <c r="G169" s="8">
        <f>SUMIFS(Impuestos!I:I,Impuestos!B:B,B169,Impuestos!C:C,C169)</f>
        <v/>
      </c>
      <c r="H169" s="8">
        <f>D169+E169-F169-G169</f>
        <v/>
      </c>
      <c r="I169" s="2" t="n"/>
    </row>
    <row r="170">
      <c r="A170" s="2" t="n"/>
      <c r="B170" s="2" t="n"/>
      <c r="C170" s="2" t="n"/>
      <c r="D170" s="8" t="n"/>
      <c r="E170" s="8">
        <f>SUMIFS(Ingresos!J:J,Ingresos!D:D,"&gt;="&amp;DATE(C170,B170,1),Ingresos!D:D,"&lt;"&amp;EDATE(DATE(C170,B170,1),1))</f>
        <v/>
      </c>
      <c r="F170" s="8">
        <f>SUMIFS(Egresos!H:H,Egresos!B:B,"&gt;="&amp;DATE(C170,B170,1),Egresos!B:B,"&lt;"&amp;EDATE(DATE(C170,B170,1),1))+SUMIFS(Gastos_Mensuales!H:H,Gastos_Mensuales!B:B,B170,Gastos_Mensuales!C:C,C170)</f>
        <v/>
      </c>
      <c r="G170" s="8">
        <f>SUMIFS(Impuestos!I:I,Impuestos!B:B,B170,Impuestos!C:C,C170)</f>
        <v/>
      </c>
      <c r="H170" s="8">
        <f>D170+E170-F170-G170</f>
        <v/>
      </c>
      <c r="I170" s="2" t="n"/>
    </row>
    <row r="171">
      <c r="A171" s="2" t="n"/>
      <c r="B171" s="2" t="n"/>
      <c r="C171" s="2" t="n"/>
      <c r="D171" s="8" t="n"/>
      <c r="E171" s="8">
        <f>SUMIFS(Ingresos!J:J,Ingresos!D:D,"&gt;="&amp;DATE(C171,B171,1),Ingresos!D:D,"&lt;"&amp;EDATE(DATE(C171,B171,1),1))</f>
        <v/>
      </c>
      <c r="F171" s="8">
        <f>SUMIFS(Egresos!H:H,Egresos!B:B,"&gt;="&amp;DATE(C171,B171,1),Egresos!B:B,"&lt;"&amp;EDATE(DATE(C171,B171,1),1))+SUMIFS(Gastos_Mensuales!H:H,Gastos_Mensuales!B:B,B171,Gastos_Mensuales!C:C,C171)</f>
        <v/>
      </c>
      <c r="G171" s="8">
        <f>SUMIFS(Impuestos!I:I,Impuestos!B:B,B171,Impuestos!C:C,C171)</f>
        <v/>
      </c>
      <c r="H171" s="8">
        <f>D171+E171-F171-G171</f>
        <v/>
      </c>
      <c r="I171" s="2" t="n"/>
    </row>
    <row r="172">
      <c r="A172" s="2" t="n"/>
      <c r="B172" s="2" t="n"/>
      <c r="C172" s="2" t="n"/>
      <c r="D172" s="8" t="n"/>
      <c r="E172" s="8">
        <f>SUMIFS(Ingresos!J:J,Ingresos!D:D,"&gt;="&amp;DATE(C172,B172,1),Ingresos!D:D,"&lt;"&amp;EDATE(DATE(C172,B172,1),1))</f>
        <v/>
      </c>
      <c r="F172" s="8">
        <f>SUMIFS(Egresos!H:H,Egresos!B:B,"&gt;="&amp;DATE(C172,B172,1),Egresos!B:B,"&lt;"&amp;EDATE(DATE(C172,B172,1),1))+SUMIFS(Gastos_Mensuales!H:H,Gastos_Mensuales!B:B,B172,Gastos_Mensuales!C:C,C172)</f>
        <v/>
      </c>
      <c r="G172" s="8">
        <f>SUMIFS(Impuestos!I:I,Impuestos!B:B,B172,Impuestos!C:C,C172)</f>
        <v/>
      </c>
      <c r="H172" s="8">
        <f>D172+E172-F172-G172</f>
        <v/>
      </c>
      <c r="I172" s="2" t="n"/>
    </row>
    <row r="173">
      <c r="A173" s="2" t="n"/>
      <c r="B173" s="2" t="n"/>
      <c r="C173" s="2" t="n"/>
      <c r="D173" s="8" t="n"/>
      <c r="E173" s="8">
        <f>SUMIFS(Ingresos!J:J,Ingresos!D:D,"&gt;="&amp;DATE(C173,B173,1),Ingresos!D:D,"&lt;"&amp;EDATE(DATE(C173,B173,1),1))</f>
        <v/>
      </c>
      <c r="F173" s="8">
        <f>SUMIFS(Egresos!H:H,Egresos!B:B,"&gt;="&amp;DATE(C173,B173,1),Egresos!B:B,"&lt;"&amp;EDATE(DATE(C173,B173,1),1))+SUMIFS(Gastos_Mensuales!H:H,Gastos_Mensuales!B:B,B173,Gastos_Mensuales!C:C,C173)</f>
        <v/>
      </c>
      <c r="G173" s="8">
        <f>SUMIFS(Impuestos!I:I,Impuestos!B:B,B173,Impuestos!C:C,C173)</f>
        <v/>
      </c>
      <c r="H173" s="8">
        <f>D173+E173-F173-G173</f>
        <v/>
      </c>
      <c r="I173" s="2" t="n"/>
    </row>
    <row r="174">
      <c r="A174" s="2" t="n"/>
      <c r="B174" s="2" t="n"/>
      <c r="C174" s="2" t="n"/>
      <c r="D174" s="8" t="n"/>
      <c r="E174" s="8">
        <f>SUMIFS(Ingresos!J:J,Ingresos!D:D,"&gt;="&amp;DATE(C174,B174,1),Ingresos!D:D,"&lt;"&amp;EDATE(DATE(C174,B174,1),1))</f>
        <v/>
      </c>
      <c r="F174" s="8">
        <f>SUMIFS(Egresos!H:H,Egresos!B:B,"&gt;="&amp;DATE(C174,B174,1),Egresos!B:B,"&lt;"&amp;EDATE(DATE(C174,B174,1),1))+SUMIFS(Gastos_Mensuales!H:H,Gastos_Mensuales!B:B,B174,Gastos_Mensuales!C:C,C174)</f>
        <v/>
      </c>
      <c r="G174" s="8">
        <f>SUMIFS(Impuestos!I:I,Impuestos!B:B,B174,Impuestos!C:C,C174)</f>
        <v/>
      </c>
      <c r="H174" s="8">
        <f>D174+E174-F174-G174</f>
        <v/>
      </c>
      <c r="I174" s="2" t="n"/>
    </row>
    <row r="175">
      <c r="A175" s="2" t="n"/>
      <c r="B175" s="2" t="n"/>
      <c r="C175" s="2" t="n"/>
      <c r="D175" s="8" t="n"/>
      <c r="E175" s="8">
        <f>SUMIFS(Ingresos!J:J,Ingresos!D:D,"&gt;="&amp;DATE(C175,B175,1),Ingresos!D:D,"&lt;"&amp;EDATE(DATE(C175,B175,1),1))</f>
        <v/>
      </c>
      <c r="F175" s="8">
        <f>SUMIFS(Egresos!H:H,Egresos!B:B,"&gt;="&amp;DATE(C175,B175,1),Egresos!B:B,"&lt;"&amp;EDATE(DATE(C175,B175,1),1))+SUMIFS(Gastos_Mensuales!H:H,Gastos_Mensuales!B:B,B175,Gastos_Mensuales!C:C,C175)</f>
        <v/>
      </c>
      <c r="G175" s="8">
        <f>SUMIFS(Impuestos!I:I,Impuestos!B:B,B175,Impuestos!C:C,C175)</f>
        <v/>
      </c>
      <c r="H175" s="8">
        <f>D175+E175-F175-G175</f>
        <v/>
      </c>
      <c r="I175" s="2" t="n"/>
    </row>
    <row r="176">
      <c r="A176" s="2" t="n"/>
      <c r="B176" s="2" t="n"/>
      <c r="C176" s="2" t="n"/>
      <c r="D176" s="8" t="n"/>
      <c r="E176" s="8">
        <f>SUMIFS(Ingresos!J:J,Ingresos!D:D,"&gt;="&amp;DATE(C176,B176,1),Ingresos!D:D,"&lt;"&amp;EDATE(DATE(C176,B176,1),1))</f>
        <v/>
      </c>
      <c r="F176" s="8">
        <f>SUMIFS(Egresos!H:H,Egresos!B:B,"&gt;="&amp;DATE(C176,B176,1),Egresos!B:B,"&lt;"&amp;EDATE(DATE(C176,B176,1),1))+SUMIFS(Gastos_Mensuales!H:H,Gastos_Mensuales!B:B,B176,Gastos_Mensuales!C:C,C176)</f>
        <v/>
      </c>
      <c r="G176" s="8">
        <f>SUMIFS(Impuestos!I:I,Impuestos!B:B,B176,Impuestos!C:C,C176)</f>
        <v/>
      </c>
      <c r="H176" s="8">
        <f>D176+E176-F176-G176</f>
        <v/>
      </c>
      <c r="I176" s="2" t="n"/>
    </row>
    <row r="177">
      <c r="A177" s="2" t="n"/>
      <c r="B177" s="2" t="n"/>
      <c r="C177" s="2" t="n"/>
      <c r="D177" s="8" t="n"/>
      <c r="E177" s="8">
        <f>SUMIFS(Ingresos!J:J,Ingresos!D:D,"&gt;="&amp;DATE(C177,B177,1),Ingresos!D:D,"&lt;"&amp;EDATE(DATE(C177,B177,1),1))</f>
        <v/>
      </c>
      <c r="F177" s="8">
        <f>SUMIFS(Egresos!H:H,Egresos!B:B,"&gt;="&amp;DATE(C177,B177,1),Egresos!B:B,"&lt;"&amp;EDATE(DATE(C177,B177,1),1))+SUMIFS(Gastos_Mensuales!H:H,Gastos_Mensuales!B:B,B177,Gastos_Mensuales!C:C,C177)</f>
        <v/>
      </c>
      <c r="G177" s="8">
        <f>SUMIFS(Impuestos!I:I,Impuestos!B:B,B177,Impuestos!C:C,C177)</f>
        <v/>
      </c>
      <c r="H177" s="8">
        <f>D177+E177-F177-G177</f>
        <v/>
      </c>
      <c r="I177" s="2" t="n"/>
    </row>
    <row r="178">
      <c r="A178" s="2" t="n"/>
      <c r="B178" s="2" t="n"/>
      <c r="C178" s="2" t="n"/>
      <c r="D178" s="8" t="n"/>
      <c r="E178" s="8">
        <f>SUMIFS(Ingresos!J:J,Ingresos!D:D,"&gt;="&amp;DATE(C178,B178,1),Ingresos!D:D,"&lt;"&amp;EDATE(DATE(C178,B178,1),1))</f>
        <v/>
      </c>
      <c r="F178" s="8">
        <f>SUMIFS(Egresos!H:H,Egresos!B:B,"&gt;="&amp;DATE(C178,B178,1),Egresos!B:B,"&lt;"&amp;EDATE(DATE(C178,B178,1),1))+SUMIFS(Gastos_Mensuales!H:H,Gastos_Mensuales!B:B,B178,Gastos_Mensuales!C:C,C178)</f>
        <v/>
      </c>
      <c r="G178" s="8">
        <f>SUMIFS(Impuestos!I:I,Impuestos!B:B,B178,Impuestos!C:C,C178)</f>
        <v/>
      </c>
      <c r="H178" s="8">
        <f>D178+E178-F178-G178</f>
        <v/>
      </c>
      <c r="I178" s="2" t="n"/>
    </row>
    <row r="179">
      <c r="A179" s="2" t="n"/>
      <c r="B179" s="2" t="n"/>
      <c r="C179" s="2" t="n"/>
      <c r="D179" s="8" t="n"/>
      <c r="E179" s="8">
        <f>SUMIFS(Ingresos!J:J,Ingresos!D:D,"&gt;="&amp;DATE(C179,B179,1),Ingresos!D:D,"&lt;"&amp;EDATE(DATE(C179,B179,1),1))</f>
        <v/>
      </c>
      <c r="F179" s="8">
        <f>SUMIFS(Egresos!H:H,Egresos!B:B,"&gt;="&amp;DATE(C179,B179,1),Egresos!B:B,"&lt;"&amp;EDATE(DATE(C179,B179,1),1))+SUMIFS(Gastos_Mensuales!H:H,Gastos_Mensuales!B:B,B179,Gastos_Mensuales!C:C,C179)</f>
        <v/>
      </c>
      <c r="G179" s="8">
        <f>SUMIFS(Impuestos!I:I,Impuestos!B:B,B179,Impuestos!C:C,C179)</f>
        <v/>
      </c>
      <c r="H179" s="8">
        <f>D179+E179-F179-G179</f>
        <v/>
      </c>
      <c r="I179" s="2" t="n"/>
    </row>
    <row r="180">
      <c r="A180" s="2" t="n"/>
      <c r="B180" s="2" t="n"/>
      <c r="C180" s="2" t="n"/>
      <c r="D180" s="8" t="n"/>
      <c r="E180" s="8">
        <f>SUMIFS(Ingresos!J:J,Ingresos!D:D,"&gt;="&amp;DATE(C180,B180,1),Ingresos!D:D,"&lt;"&amp;EDATE(DATE(C180,B180,1),1))</f>
        <v/>
      </c>
      <c r="F180" s="8">
        <f>SUMIFS(Egresos!H:H,Egresos!B:B,"&gt;="&amp;DATE(C180,B180,1),Egresos!B:B,"&lt;"&amp;EDATE(DATE(C180,B180,1),1))+SUMIFS(Gastos_Mensuales!H:H,Gastos_Mensuales!B:B,B180,Gastos_Mensuales!C:C,C180)</f>
        <v/>
      </c>
      <c r="G180" s="8">
        <f>SUMIFS(Impuestos!I:I,Impuestos!B:B,B180,Impuestos!C:C,C180)</f>
        <v/>
      </c>
      <c r="H180" s="8">
        <f>D180+E180-F180-G180</f>
        <v/>
      </c>
      <c r="I180" s="2" t="n"/>
    </row>
    <row r="181">
      <c r="A181" s="2" t="n"/>
      <c r="B181" s="2" t="n"/>
      <c r="C181" s="2" t="n"/>
      <c r="D181" s="8" t="n"/>
      <c r="E181" s="8">
        <f>SUMIFS(Ingresos!J:J,Ingresos!D:D,"&gt;="&amp;DATE(C181,B181,1),Ingresos!D:D,"&lt;"&amp;EDATE(DATE(C181,B181,1),1))</f>
        <v/>
      </c>
      <c r="F181" s="8">
        <f>SUMIFS(Egresos!H:H,Egresos!B:B,"&gt;="&amp;DATE(C181,B181,1),Egresos!B:B,"&lt;"&amp;EDATE(DATE(C181,B181,1),1))+SUMIFS(Gastos_Mensuales!H:H,Gastos_Mensuales!B:B,B181,Gastos_Mensuales!C:C,C181)</f>
        <v/>
      </c>
      <c r="G181" s="8">
        <f>SUMIFS(Impuestos!I:I,Impuestos!B:B,B181,Impuestos!C:C,C181)</f>
        <v/>
      </c>
      <c r="H181" s="8">
        <f>D181+E181-F181-G181</f>
        <v/>
      </c>
      <c r="I181" s="2" t="n"/>
    </row>
    <row r="182">
      <c r="A182" s="2" t="n"/>
      <c r="B182" s="2" t="n"/>
      <c r="C182" s="2" t="n"/>
      <c r="D182" s="8" t="n"/>
      <c r="E182" s="8">
        <f>SUMIFS(Ingresos!J:J,Ingresos!D:D,"&gt;="&amp;DATE(C182,B182,1),Ingresos!D:D,"&lt;"&amp;EDATE(DATE(C182,B182,1),1))</f>
        <v/>
      </c>
      <c r="F182" s="8">
        <f>SUMIFS(Egresos!H:H,Egresos!B:B,"&gt;="&amp;DATE(C182,B182,1),Egresos!B:B,"&lt;"&amp;EDATE(DATE(C182,B182,1),1))+SUMIFS(Gastos_Mensuales!H:H,Gastos_Mensuales!B:B,B182,Gastos_Mensuales!C:C,C182)</f>
        <v/>
      </c>
      <c r="G182" s="8">
        <f>SUMIFS(Impuestos!I:I,Impuestos!B:B,B182,Impuestos!C:C,C182)</f>
        <v/>
      </c>
      <c r="H182" s="8">
        <f>D182+E182-F182-G182</f>
        <v/>
      </c>
      <c r="I182" s="2" t="n"/>
    </row>
    <row r="183">
      <c r="A183" s="2" t="n"/>
      <c r="B183" s="2" t="n"/>
      <c r="C183" s="2" t="n"/>
      <c r="D183" s="8" t="n"/>
      <c r="E183" s="8">
        <f>SUMIFS(Ingresos!J:J,Ingresos!D:D,"&gt;="&amp;DATE(C183,B183,1),Ingresos!D:D,"&lt;"&amp;EDATE(DATE(C183,B183,1),1))</f>
        <v/>
      </c>
      <c r="F183" s="8">
        <f>SUMIFS(Egresos!H:H,Egresos!B:B,"&gt;="&amp;DATE(C183,B183,1),Egresos!B:B,"&lt;"&amp;EDATE(DATE(C183,B183,1),1))+SUMIFS(Gastos_Mensuales!H:H,Gastos_Mensuales!B:B,B183,Gastos_Mensuales!C:C,C183)</f>
        <v/>
      </c>
      <c r="G183" s="8">
        <f>SUMIFS(Impuestos!I:I,Impuestos!B:B,B183,Impuestos!C:C,C183)</f>
        <v/>
      </c>
      <c r="H183" s="8">
        <f>D183+E183-F183-G183</f>
        <v/>
      </c>
      <c r="I183" s="2" t="n"/>
    </row>
    <row r="184">
      <c r="A184" s="2" t="n"/>
      <c r="B184" s="2" t="n"/>
      <c r="C184" s="2" t="n"/>
      <c r="D184" s="8" t="n"/>
      <c r="E184" s="8">
        <f>SUMIFS(Ingresos!J:J,Ingresos!D:D,"&gt;="&amp;DATE(C184,B184,1),Ingresos!D:D,"&lt;"&amp;EDATE(DATE(C184,B184,1),1))</f>
        <v/>
      </c>
      <c r="F184" s="8">
        <f>SUMIFS(Egresos!H:H,Egresos!B:B,"&gt;="&amp;DATE(C184,B184,1),Egresos!B:B,"&lt;"&amp;EDATE(DATE(C184,B184,1),1))+SUMIFS(Gastos_Mensuales!H:H,Gastos_Mensuales!B:B,B184,Gastos_Mensuales!C:C,C184)</f>
        <v/>
      </c>
      <c r="G184" s="8">
        <f>SUMIFS(Impuestos!I:I,Impuestos!B:B,B184,Impuestos!C:C,C184)</f>
        <v/>
      </c>
      <c r="H184" s="8">
        <f>D184+E184-F184-G184</f>
        <v/>
      </c>
      <c r="I184" s="2" t="n"/>
    </row>
    <row r="185">
      <c r="A185" s="2" t="n"/>
      <c r="B185" s="2" t="n"/>
      <c r="C185" s="2" t="n"/>
      <c r="D185" s="8" t="n"/>
      <c r="E185" s="8">
        <f>SUMIFS(Ingresos!J:J,Ingresos!D:D,"&gt;="&amp;DATE(C185,B185,1),Ingresos!D:D,"&lt;"&amp;EDATE(DATE(C185,B185,1),1))</f>
        <v/>
      </c>
      <c r="F185" s="8">
        <f>SUMIFS(Egresos!H:H,Egresos!B:B,"&gt;="&amp;DATE(C185,B185,1),Egresos!B:B,"&lt;"&amp;EDATE(DATE(C185,B185,1),1))+SUMIFS(Gastos_Mensuales!H:H,Gastos_Mensuales!B:B,B185,Gastos_Mensuales!C:C,C185)</f>
        <v/>
      </c>
      <c r="G185" s="8">
        <f>SUMIFS(Impuestos!I:I,Impuestos!B:B,B185,Impuestos!C:C,C185)</f>
        <v/>
      </c>
      <c r="H185" s="8">
        <f>D185+E185-F185-G185</f>
        <v/>
      </c>
      <c r="I185" s="2" t="n"/>
    </row>
    <row r="186">
      <c r="A186" s="2" t="n"/>
      <c r="B186" s="2" t="n"/>
      <c r="C186" s="2" t="n"/>
      <c r="D186" s="8" t="n"/>
      <c r="E186" s="8">
        <f>SUMIFS(Ingresos!J:J,Ingresos!D:D,"&gt;="&amp;DATE(C186,B186,1),Ingresos!D:D,"&lt;"&amp;EDATE(DATE(C186,B186,1),1))</f>
        <v/>
      </c>
      <c r="F186" s="8">
        <f>SUMIFS(Egresos!H:H,Egresos!B:B,"&gt;="&amp;DATE(C186,B186,1),Egresos!B:B,"&lt;"&amp;EDATE(DATE(C186,B186,1),1))+SUMIFS(Gastos_Mensuales!H:H,Gastos_Mensuales!B:B,B186,Gastos_Mensuales!C:C,C186)</f>
        <v/>
      </c>
      <c r="G186" s="8">
        <f>SUMIFS(Impuestos!I:I,Impuestos!B:B,B186,Impuestos!C:C,C186)</f>
        <v/>
      </c>
      <c r="H186" s="8">
        <f>D186+E186-F186-G186</f>
        <v/>
      </c>
      <c r="I186" s="2" t="n"/>
    </row>
    <row r="187">
      <c r="A187" s="2" t="n"/>
      <c r="B187" s="2" t="n"/>
      <c r="C187" s="2" t="n"/>
      <c r="D187" s="8" t="n"/>
      <c r="E187" s="8">
        <f>SUMIFS(Ingresos!J:J,Ingresos!D:D,"&gt;="&amp;DATE(C187,B187,1),Ingresos!D:D,"&lt;"&amp;EDATE(DATE(C187,B187,1),1))</f>
        <v/>
      </c>
      <c r="F187" s="8">
        <f>SUMIFS(Egresos!H:H,Egresos!B:B,"&gt;="&amp;DATE(C187,B187,1),Egresos!B:B,"&lt;"&amp;EDATE(DATE(C187,B187,1),1))+SUMIFS(Gastos_Mensuales!H:H,Gastos_Mensuales!B:B,B187,Gastos_Mensuales!C:C,C187)</f>
        <v/>
      </c>
      <c r="G187" s="8">
        <f>SUMIFS(Impuestos!I:I,Impuestos!B:B,B187,Impuestos!C:C,C187)</f>
        <v/>
      </c>
      <c r="H187" s="8">
        <f>D187+E187-F187-G187</f>
        <v/>
      </c>
      <c r="I187" s="2" t="n"/>
    </row>
    <row r="188">
      <c r="A188" s="2" t="n"/>
      <c r="B188" s="2" t="n"/>
      <c r="C188" s="2" t="n"/>
      <c r="D188" s="8" t="n"/>
      <c r="E188" s="8">
        <f>SUMIFS(Ingresos!J:J,Ingresos!D:D,"&gt;="&amp;DATE(C188,B188,1),Ingresos!D:D,"&lt;"&amp;EDATE(DATE(C188,B188,1),1))</f>
        <v/>
      </c>
      <c r="F188" s="8">
        <f>SUMIFS(Egresos!H:H,Egresos!B:B,"&gt;="&amp;DATE(C188,B188,1),Egresos!B:B,"&lt;"&amp;EDATE(DATE(C188,B188,1),1))+SUMIFS(Gastos_Mensuales!H:H,Gastos_Mensuales!B:B,B188,Gastos_Mensuales!C:C,C188)</f>
        <v/>
      </c>
      <c r="G188" s="8">
        <f>SUMIFS(Impuestos!I:I,Impuestos!B:B,B188,Impuestos!C:C,C188)</f>
        <v/>
      </c>
      <c r="H188" s="8">
        <f>D188+E188-F188-G188</f>
        <v/>
      </c>
      <c r="I188" s="2" t="n"/>
    </row>
    <row r="189">
      <c r="A189" s="2" t="n"/>
      <c r="B189" s="2" t="n"/>
      <c r="C189" s="2" t="n"/>
      <c r="D189" s="8" t="n"/>
      <c r="E189" s="8">
        <f>SUMIFS(Ingresos!J:J,Ingresos!D:D,"&gt;="&amp;DATE(C189,B189,1),Ingresos!D:D,"&lt;"&amp;EDATE(DATE(C189,B189,1),1))</f>
        <v/>
      </c>
      <c r="F189" s="8">
        <f>SUMIFS(Egresos!H:H,Egresos!B:B,"&gt;="&amp;DATE(C189,B189,1),Egresos!B:B,"&lt;"&amp;EDATE(DATE(C189,B189,1),1))+SUMIFS(Gastos_Mensuales!H:H,Gastos_Mensuales!B:B,B189,Gastos_Mensuales!C:C,C189)</f>
        <v/>
      </c>
      <c r="G189" s="8">
        <f>SUMIFS(Impuestos!I:I,Impuestos!B:B,B189,Impuestos!C:C,C189)</f>
        <v/>
      </c>
      <c r="H189" s="8">
        <f>D189+E189-F189-G189</f>
        <v/>
      </c>
      <c r="I189" s="2" t="n"/>
    </row>
    <row r="190">
      <c r="A190" s="2" t="n"/>
      <c r="B190" s="2" t="n"/>
      <c r="C190" s="2" t="n"/>
      <c r="D190" s="8" t="n"/>
      <c r="E190" s="8">
        <f>SUMIFS(Ingresos!J:J,Ingresos!D:D,"&gt;="&amp;DATE(C190,B190,1),Ingresos!D:D,"&lt;"&amp;EDATE(DATE(C190,B190,1),1))</f>
        <v/>
      </c>
      <c r="F190" s="8">
        <f>SUMIFS(Egresos!H:H,Egresos!B:B,"&gt;="&amp;DATE(C190,B190,1),Egresos!B:B,"&lt;"&amp;EDATE(DATE(C190,B190,1),1))+SUMIFS(Gastos_Mensuales!H:H,Gastos_Mensuales!B:B,B190,Gastos_Mensuales!C:C,C190)</f>
        <v/>
      </c>
      <c r="G190" s="8">
        <f>SUMIFS(Impuestos!I:I,Impuestos!B:B,B190,Impuestos!C:C,C190)</f>
        <v/>
      </c>
      <c r="H190" s="8">
        <f>D190+E190-F190-G190</f>
        <v/>
      </c>
      <c r="I190" s="2" t="n"/>
    </row>
    <row r="191">
      <c r="A191" s="2" t="n"/>
      <c r="B191" s="2" t="n"/>
      <c r="C191" s="2" t="n"/>
      <c r="D191" s="8" t="n"/>
      <c r="E191" s="8">
        <f>SUMIFS(Ingresos!J:J,Ingresos!D:D,"&gt;="&amp;DATE(C191,B191,1),Ingresos!D:D,"&lt;"&amp;EDATE(DATE(C191,B191,1),1))</f>
        <v/>
      </c>
      <c r="F191" s="8">
        <f>SUMIFS(Egresos!H:H,Egresos!B:B,"&gt;="&amp;DATE(C191,B191,1),Egresos!B:B,"&lt;"&amp;EDATE(DATE(C191,B191,1),1))+SUMIFS(Gastos_Mensuales!H:H,Gastos_Mensuales!B:B,B191,Gastos_Mensuales!C:C,C191)</f>
        <v/>
      </c>
      <c r="G191" s="8">
        <f>SUMIFS(Impuestos!I:I,Impuestos!B:B,B191,Impuestos!C:C,C191)</f>
        <v/>
      </c>
      <c r="H191" s="8">
        <f>D191+E191-F191-G191</f>
        <v/>
      </c>
      <c r="I191" s="2" t="n"/>
    </row>
    <row r="192">
      <c r="A192" s="2" t="n"/>
      <c r="B192" s="2" t="n"/>
      <c r="C192" s="2" t="n"/>
      <c r="D192" s="8" t="n"/>
      <c r="E192" s="8">
        <f>SUMIFS(Ingresos!J:J,Ingresos!D:D,"&gt;="&amp;DATE(C192,B192,1),Ingresos!D:D,"&lt;"&amp;EDATE(DATE(C192,B192,1),1))</f>
        <v/>
      </c>
      <c r="F192" s="8">
        <f>SUMIFS(Egresos!H:H,Egresos!B:B,"&gt;="&amp;DATE(C192,B192,1),Egresos!B:B,"&lt;"&amp;EDATE(DATE(C192,B192,1),1))+SUMIFS(Gastos_Mensuales!H:H,Gastos_Mensuales!B:B,B192,Gastos_Mensuales!C:C,C192)</f>
        <v/>
      </c>
      <c r="G192" s="8">
        <f>SUMIFS(Impuestos!I:I,Impuestos!B:B,B192,Impuestos!C:C,C192)</f>
        <v/>
      </c>
      <c r="H192" s="8">
        <f>D192+E192-F192-G192</f>
        <v/>
      </c>
      <c r="I192" s="2" t="n"/>
    </row>
    <row r="193">
      <c r="A193" s="2" t="n"/>
      <c r="B193" s="2" t="n"/>
      <c r="C193" s="2" t="n"/>
      <c r="D193" s="8" t="n"/>
      <c r="E193" s="8">
        <f>SUMIFS(Ingresos!J:J,Ingresos!D:D,"&gt;="&amp;DATE(C193,B193,1),Ingresos!D:D,"&lt;"&amp;EDATE(DATE(C193,B193,1),1))</f>
        <v/>
      </c>
      <c r="F193" s="8">
        <f>SUMIFS(Egresos!H:H,Egresos!B:B,"&gt;="&amp;DATE(C193,B193,1),Egresos!B:B,"&lt;"&amp;EDATE(DATE(C193,B193,1),1))+SUMIFS(Gastos_Mensuales!H:H,Gastos_Mensuales!B:B,B193,Gastos_Mensuales!C:C,C193)</f>
        <v/>
      </c>
      <c r="G193" s="8">
        <f>SUMIFS(Impuestos!I:I,Impuestos!B:B,B193,Impuestos!C:C,C193)</f>
        <v/>
      </c>
      <c r="H193" s="8">
        <f>D193+E193-F193-G193</f>
        <v/>
      </c>
      <c r="I193" s="2" t="n"/>
    </row>
    <row r="194">
      <c r="A194" s="2" t="n"/>
      <c r="B194" s="2" t="n"/>
      <c r="C194" s="2" t="n"/>
      <c r="D194" s="8" t="n"/>
      <c r="E194" s="8">
        <f>SUMIFS(Ingresos!J:J,Ingresos!D:D,"&gt;="&amp;DATE(C194,B194,1),Ingresos!D:D,"&lt;"&amp;EDATE(DATE(C194,B194,1),1))</f>
        <v/>
      </c>
      <c r="F194" s="8">
        <f>SUMIFS(Egresos!H:H,Egresos!B:B,"&gt;="&amp;DATE(C194,B194,1),Egresos!B:B,"&lt;"&amp;EDATE(DATE(C194,B194,1),1))+SUMIFS(Gastos_Mensuales!H:H,Gastos_Mensuales!B:B,B194,Gastos_Mensuales!C:C,C194)</f>
        <v/>
      </c>
      <c r="G194" s="8">
        <f>SUMIFS(Impuestos!I:I,Impuestos!B:B,B194,Impuestos!C:C,C194)</f>
        <v/>
      </c>
      <c r="H194" s="8">
        <f>D194+E194-F194-G194</f>
        <v/>
      </c>
      <c r="I194" s="2" t="n"/>
    </row>
    <row r="195">
      <c r="A195" s="2" t="n"/>
      <c r="B195" s="2" t="n"/>
      <c r="C195" s="2" t="n"/>
      <c r="D195" s="8" t="n"/>
      <c r="E195" s="8">
        <f>SUMIFS(Ingresos!J:J,Ingresos!D:D,"&gt;="&amp;DATE(C195,B195,1),Ingresos!D:D,"&lt;"&amp;EDATE(DATE(C195,B195,1),1))</f>
        <v/>
      </c>
      <c r="F195" s="8">
        <f>SUMIFS(Egresos!H:H,Egresos!B:B,"&gt;="&amp;DATE(C195,B195,1),Egresos!B:B,"&lt;"&amp;EDATE(DATE(C195,B195,1),1))+SUMIFS(Gastos_Mensuales!H:H,Gastos_Mensuales!B:B,B195,Gastos_Mensuales!C:C,C195)</f>
        <v/>
      </c>
      <c r="G195" s="8">
        <f>SUMIFS(Impuestos!I:I,Impuestos!B:B,B195,Impuestos!C:C,C195)</f>
        <v/>
      </c>
      <c r="H195" s="8">
        <f>D195+E195-F195-G195</f>
        <v/>
      </c>
      <c r="I195" s="2" t="n"/>
    </row>
    <row r="196">
      <c r="A196" s="2" t="n"/>
      <c r="B196" s="2" t="n"/>
      <c r="C196" s="2" t="n"/>
      <c r="D196" s="8" t="n"/>
      <c r="E196" s="8">
        <f>SUMIFS(Ingresos!J:J,Ingresos!D:D,"&gt;="&amp;DATE(C196,B196,1),Ingresos!D:D,"&lt;"&amp;EDATE(DATE(C196,B196,1),1))</f>
        <v/>
      </c>
      <c r="F196" s="8">
        <f>SUMIFS(Egresos!H:H,Egresos!B:B,"&gt;="&amp;DATE(C196,B196,1),Egresos!B:B,"&lt;"&amp;EDATE(DATE(C196,B196,1),1))+SUMIFS(Gastos_Mensuales!H:H,Gastos_Mensuales!B:B,B196,Gastos_Mensuales!C:C,C196)</f>
        <v/>
      </c>
      <c r="G196" s="8">
        <f>SUMIFS(Impuestos!I:I,Impuestos!B:B,B196,Impuestos!C:C,C196)</f>
        <v/>
      </c>
      <c r="H196" s="8">
        <f>D196+E196-F196-G196</f>
        <v/>
      </c>
      <c r="I196" s="2" t="n"/>
    </row>
    <row r="197">
      <c r="A197" s="2" t="n"/>
      <c r="B197" s="2" t="n"/>
      <c r="C197" s="2" t="n"/>
      <c r="D197" s="8" t="n"/>
      <c r="E197" s="8">
        <f>SUMIFS(Ingresos!J:J,Ingresos!D:D,"&gt;="&amp;DATE(C197,B197,1),Ingresos!D:D,"&lt;"&amp;EDATE(DATE(C197,B197,1),1))</f>
        <v/>
      </c>
      <c r="F197" s="8">
        <f>SUMIFS(Egresos!H:H,Egresos!B:B,"&gt;="&amp;DATE(C197,B197,1),Egresos!B:B,"&lt;"&amp;EDATE(DATE(C197,B197,1),1))+SUMIFS(Gastos_Mensuales!H:H,Gastos_Mensuales!B:B,B197,Gastos_Mensuales!C:C,C197)</f>
        <v/>
      </c>
      <c r="G197" s="8">
        <f>SUMIFS(Impuestos!I:I,Impuestos!B:B,B197,Impuestos!C:C,C197)</f>
        <v/>
      </c>
      <c r="H197" s="8">
        <f>D197+E197-F197-G197</f>
        <v/>
      </c>
      <c r="I197" s="2" t="n"/>
    </row>
    <row r="198">
      <c r="A198" s="2" t="n"/>
      <c r="B198" s="2" t="n"/>
      <c r="C198" s="2" t="n"/>
      <c r="D198" s="8" t="n"/>
      <c r="E198" s="8">
        <f>SUMIFS(Ingresos!J:J,Ingresos!D:D,"&gt;="&amp;DATE(C198,B198,1),Ingresos!D:D,"&lt;"&amp;EDATE(DATE(C198,B198,1),1))</f>
        <v/>
      </c>
      <c r="F198" s="8">
        <f>SUMIFS(Egresos!H:H,Egresos!B:B,"&gt;="&amp;DATE(C198,B198,1),Egresos!B:B,"&lt;"&amp;EDATE(DATE(C198,B198,1),1))+SUMIFS(Gastos_Mensuales!H:H,Gastos_Mensuales!B:B,B198,Gastos_Mensuales!C:C,C198)</f>
        <v/>
      </c>
      <c r="G198" s="8">
        <f>SUMIFS(Impuestos!I:I,Impuestos!B:B,B198,Impuestos!C:C,C198)</f>
        <v/>
      </c>
      <c r="H198" s="8">
        <f>D198+E198-F198-G198</f>
        <v/>
      </c>
      <c r="I198" s="2" t="n"/>
    </row>
    <row r="199">
      <c r="A199" s="2" t="n"/>
      <c r="B199" s="2" t="n"/>
      <c r="C199" s="2" t="n"/>
      <c r="D199" s="8" t="n"/>
      <c r="E199" s="8">
        <f>SUMIFS(Ingresos!J:J,Ingresos!D:D,"&gt;="&amp;DATE(C199,B199,1),Ingresos!D:D,"&lt;"&amp;EDATE(DATE(C199,B199,1),1))</f>
        <v/>
      </c>
      <c r="F199" s="8">
        <f>SUMIFS(Egresos!H:H,Egresos!B:B,"&gt;="&amp;DATE(C199,B199,1),Egresos!B:B,"&lt;"&amp;EDATE(DATE(C199,B199,1),1))+SUMIFS(Gastos_Mensuales!H:H,Gastos_Mensuales!B:B,B199,Gastos_Mensuales!C:C,C199)</f>
        <v/>
      </c>
      <c r="G199" s="8">
        <f>SUMIFS(Impuestos!I:I,Impuestos!B:B,B199,Impuestos!C:C,C199)</f>
        <v/>
      </c>
      <c r="H199" s="8">
        <f>D199+E199-F199-G199</f>
        <v/>
      </c>
      <c r="I199" s="2" t="n"/>
    </row>
    <row r="200">
      <c r="A200" s="2" t="n"/>
      <c r="B200" s="2" t="n"/>
      <c r="C200" s="2" t="n"/>
      <c r="D200" s="8" t="n"/>
      <c r="E200" s="8">
        <f>SUMIFS(Ingresos!J:J,Ingresos!D:D,"&gt;="&amp;DATE(C200,B200,1),Ingresos!D:D,"&lt;"&amp;EDATE(DATE(C200,B200,1),1))</f>
        <v/>
      </c>
      <c r="F200" s="8">
        <f>SUMIFS(Egresos!H:H,Egresos!B:B,"&gt;="&amp;DATE(C200,B200,1),Egresos!B:B,"&lt;"&amp;EDATE(DATE(C200,B200,1),1))+SUMIFS(Gastos_Mensuales!H:H,Gastos_Mensuales!B:B,B200,Gastos_Mensuales!C:C,C200)</f>
        <v/>
      </c>
      <c r="G200" s="8">
        <f>SUMIFS(Impuestos!I:I,Impuestos!B:B,B200,Impuestos!C:C,C200)</f>
        <v/>
      </c>
      <c r="H200" s="8">
        <f>D200+E200-F200-G200</f>
        <v/>
      </c>
      <c r="I200" s="2" t="n"/>
    </row>
    <row r="201">
      <c r="A201" s="2" t="n"/>
      <c r="B201" s="2" t="n"/>
      <c r="C201" s="2" t="n"/>
      <c r="D201" s="8" t="n"/>
      <c r="E201" s="8">
        <f>SUMIFS(Ingresos!J:J,Ingresos!D:D,"&gt;="&amp;DATE(C201,B201,1),Ingresos!D:D,"&lt;"&amp;EDATE(DATE(C201,B201,1),1))</f>
        <v/>
      </c>
      <c r="F201" s="8">
        <f>SUMIFS(Egresos!H:H,Egresos!B:B,"&gt;="&amp;DATE(C201,B201,1),Egresos!B:B,"&lt;"&amp;EDATE(DATE(C201,B201,1),1))+SUMIFS(Gastos_Mensuales!H:H,Gastos_Mensuales!B:B,B201,Gastos_Mensuales!C:C,C201)</f>
        <v/>
      </c>
      <c r="G201" s="8">
        <f>SUMIFS(Impuestos!I:I,Impuestos!B:B,B201,Impuestos!C:C,C201)</f>
        <v/>
      </c>
      <c r="H201" s="8">
        <f>D201+E201-F201-G201</f>
        <v/>
      </c>
      <c r="I201" s="2" t="n"/>
    </row>
    <row r="202">
      <c r="A202" s="2" t="n"/>
      <c r="B202" s="2" t="n"/>
      <c r="C202" s="2" t="n"/>
      <c r="D202" s="8" t="n"/>
      <c r="E202" s="8">
        <f>SUMIFS(Ingresos!J:J,Ingresos!D:D,"&gt;="&amp;DATE(C202,B202,1),Ingresos!D:D,"&lt;"&amp;EDATE(DATE(C202,B202,1),1))</f>
        <v/>
      </c>
      <c r="F202" s="8">
        <f>SUMIFS(Egresos!H:H,Egresos!B:B,"&gt;="&amp;DATE(C202,B202,1),Egresos!B:B,"&lt;"&amp;EDATE(DATE(C202,B202,1),1))+SUMIFS(Gastos_Mensuales!H:H,Gastos_Mensuales!B:B,B202,Gastos_Mensuales!C:C,C202)</f>
        <v/>
      </c>
      <c r="G202" s="8">
        <f>SUMIFS(Impuestos!I:I,Impuestos!B:B,B202,Impuestos!C:C,C202)</f>
        <v/>
      </c>
      <c r="H202" s="8">
        <f>D202+E202-F202-G202</f>
        <v/>
      </c>
      <c r="I202" s="2" t="n"/>
    </row>
    <row r="203">
      <c r="A203" s="2" t="n"/>
      <c r="B203" s="2" t="n"/>
      <c r="C203" s="2" t="n"/>
      <c r="D203" s="8" t="n"/>
      <c r="E203" s="8">
        <f>SUMIFS(Ingresos!J:J,Ingresos!D:D,"&gt;="&amp;DATE(C203,B203,1),Ingresos!D:D,"&lt;"&amp;EDATE(DATE(C203,B203,1),1))</f>
        <v/>
      </c>
      <c r="F203" s="8">
        <f>SUMIFS(Egresos!H:H,Egresos!B:B,"&gt;="&amp;DATE(C203,B203,1),Egresos!B:B,"&lt;"&amp;EDATE(DATE(C203,B203,1),1))+SUMIFS(Gastos_Mensuales!H:H,Gastos_Mensuales!B:B,B203,Gastos_Mensuales!C:C,C203)</f>
        <v/>
      </c>
      <c r="G203" s="8">
        <f>SUMIFS(Impuestos!I:I,Impuestos!B:B,B203,Impuestos!C:C,C203)</f>
        <v/>
      </c>
      <c r="H203" s="8">
        <f>D203+E203-F203-G203</f>
        <v/>
      </c>
      <c r="I203" s="2" t="n"/>
    </row>
    <row r="204">
      <c r="A204" s="2" t="n"/>
      <c r="B204" s="2" t="n"/>
      <c r="C204" s="2" t="n"/>
      <c r="D204" s="8" t="n"/>
      <c r="E204" s="8">
        <f>SUMIFS(Ingresos!J:J,Ingresos!D:D,"&gt;="&amp;DATE(C204,B204,1),Ingresos!D:D,"&lt;"&amp;EDATE(DATE(C204,B204,1),1))</f>
        <v/>
      </c>
      <c r="F204" s="8">
        <f>SUMIFS(Egresos!H:H,Egresos!B:B,"&gt;="&amp;DATE(C204,B204,1),Egresos!B:B,"&lt;"&amp;EDATE(DATE(C204,B204,1),1))+SUMIFS(Gastos_Mensuales!H:H,Gastos_Mensuales!B:B,B204,Gastos_Mensuales!C:C,C204)</f>
        <v/>
      </c>
      <c r="G204" s="8">
        <f>SUMIFS(Impuestos!I:I,Impuestos!B:B,B204,Impuestos!C:C,C204)</f>
        <v/>
      </c>
      <c r="H204" s="8">
        <f>D204+E204-F204-G204</f>
        <v/>
      </c>
      <c r="I204" s="2" t="n"/>
    </row>
    <row r="205">
      <c r="A205" s="2" t="n"/>
      <c r="B205" s="2" t="n"/>
      <c r="C205" s="2" t="n"/>
      <c r="D205" s="8" t="n"/>
      <c r="E205" s="8">
        <f>SUMIFS(Ingresos!J:J,Ingresos!D:D,"&gt;="&amp;DATE(C205,B205,1),Ingresos!D:D,"&lt;"&amp;EDATE(DATE(C205,B205,1),1))</f>
        <v/>
      </c>
      <c r="F205" s="8">
        <f>SUMIFS(Egresos!H:H,Egresos!B:B,"&gt;="&amp;DATE(C205,B205,1),Egresos!B:B,"&lt;"&amp;EDATE(DATE(C205,B205,1),1))+SUMIFS(Gastos_Mensuales!H:H,Gastos_Mensuales!B:B,B205,Gastos_Mensuales!C:C,C205)</f>
        <v/>
      </c>
      <c r="G205" s="8">
        <f>SUMIFS(Impuestos!I:I,Impuestos!B:B,B205,Impuestos!C:C,C205)</f>
        <v/>
      </c>
      <c r="H205" s="8">
        <f>D205+E205-F205-G205</f>
        <v/>
      </c>
      <c r="I205" s="2" t="n"/>
    </row>
    <row r="206">
      <c r="A206" s="2" t="n"/>
      <c r="B206" s="2" t="n"/>
      <c r="C206" s="2" t="n"/>
      <c r="D206" s="8" t="n"/>
      <c r="E206" s="8">
        <f>SUMIFS(Ingresos!J:J,Ingresos!D:D,"&gt;="&amp;DATE(C206,B206,1),Ingresos!D:D,"&lt;"&amp;EDATE(DATE(C206,B206,1),1))</f>
        <v/>
      </c>
      <c r="F206" s="8">
        <f>SUMIFS(Egresos!H:H,Egresos!B:B,"&gt;="&amp;DATE(C206,B206,1),Egresos!B:B,"&lt;"&amp;EDATE(DATE(C206,B206,1),1))+SUMIFS(Gastos_Mensuales!H:H,Gastos_Mensuales!B:B,B206,Gastos_Mensuales!C:C,C206)</f>
        <v/>
      </c>
      <c r="G206" s="8">
        <f>SUMIFS(Impuestos!I:I,Impuestos!B:B,B206,Impuestos!C:C,C206)</f>
        <v/>
      </c>
      <c r="H206" s="8">
        <f>D206+E206-F206-G206</f>
        <v/>
      </c>
      <c r="I206" s="2" t="n"/>
    </row>
    <row r="207">
      <c r="A207" s="2" t="n"/>
      <c r="B207" s="2" t="n"/>
      <c r="C207" s="2" t="n"/>
      <c r="D207" s="8" t="n"/>
      <c r="E207" s="8">
        <f>SUMIFS(Ingresos!J:J,Ingresos!D:D,"&gt;="&amp;DATE(C207,B207,1),Ingresos!D:D,"&lt;"&amp;EDATE(DATE(C207,B207,1),1))</f>
        <v/>
      </c>
      <c r="F207" s="8">
        <f>SUMIFS(Egresos!H:H,Egresos!B:B,"&gt;="&amp;DATE(C207,B207,1),Egresos!B:B,"&lt;"&amp;EDATE(DATE(C207,B207,1),1))+SUMIFS(Gastos_Mensuales!H:H,Gastos_Mensuales!B:B,B207,Gastos_Mensuales!C:C,C207)</f>
        <v/>
      </c>
      <c r="G207" s="8">
        <f>SUMIFS(Impuestos!I:I,Impuestos!B:B,B207,Impuestos!C:C,C207)</f>
        <v/>
      </c>
      <c r="H207" s="8">
        <f>D207+E207-F207-G207</f>
        <v/>
      </c>
      <c r="I207" s="2" t="n"/>
    </row>
    <row r="208">
      <c r="A208" s="2" t="n"/>
      <c r="B208" s="2" t="n"/>
      <c r="C208" s="2" t="n"/>
      <c r="D208" s="8" t="n"/>
      <c r="E208" s="8">
        <f>SUMIFS(Ingresos!J:J,Ingresos!D:D,"&gt;="&amp;DATE(C208,B208,1),Ingresos!D:D,"&lt;"&amp;EDATE(DATE(C208,B208,1),1))</f>
        <v/>
      </c>
      <c r="F208" s="8">
        <f>SUMIFS(Egresos!H:H,Egresos!B:B,"&gt;="&amp;DATE(C208,B208,1),Egresos!B:B,"&lt;"&amp;EDATE(DATE(C208,B208,1),1))+SUMIFS(Gastos_Mensuales!H:H,Gastos_Mensuales!B:B,B208,Gastos_Mensuales!C:C,C208)</f>
        <v/>
      </c>
      <c r="G208" s="8">
        <f>SUMIFS(Impuestos!I:I,Impuestos!B:B,B208,Impuestos!C:C,C208)</f>
        <v/>
      </c>
      <c r="H208" s="8">
        <f>D208+E208-F208-G208</f>
        <v/>
      </c>
      <c r="I208" s="2" t="n"/>
    </row>
    <row r="209">
      <c r="A209" s="2" t="n"/>
      <c r="B209" s="2" t="n"/>
      <c r="C209" s="2" t="n"/>
      <c r="D209" s="8" t="n"/>
      <c r="E209" s="8">
        <f>SUMIFS(Ingresos!J:J,Ingresos!D:D,"&gt;="&amp;DATE(C209,B209,1),Ingresos!D:D,"&lt;"&amp;EDATE(DATE(C209,B209,1),1))</f>
        <v/>
      </c>
      <c r="F209" s="8">
        <f>SUMIFS(Egresos!H:H,Egresos!B:B,"&gt;="&amp;DATE(C209,B209,1),Egresos!B:B,"&lt;"&amp;EDATE(DATE(C209,B209,1),1))+SUMIFS(Gastos_Mensuales!H:H,Gastos_Mensuales!B:B,B209,Gastos_Mensuales!C:C,C209)</f>
        <v/>
      </c>
      <c r="G209" s="8">
        <f>SUMIFS(Impuestos!I:I,Impuestos!B:B,B209,Impuestos!C:C,C209)</f>
        <v/>
      </c>
      <c r="H209" s="8">
        <f>D209+E209-F209-G209</f>
        <v/>
      </c>
      <c r="I209" s="2" t="n"/>
    </row>
    <row r="210">
      <c r="A210" s="2" t="n"/>
      <c r="B210" s="2" t="n"/>
      <c r="C210" s="2" t="n"/>
      <c r="D210" s="8" t="n"/>
      <c r="E210" s="8">
        <f>SUMIFS(Ingresos!J:J,Ingresos!D:D,"&gt;="&amp;DATE(C210,B210,1),Ingresos!D:D,"&lt;"&amp;EDATE(DATE(C210,B210,1),1))</f>
        <v/>
      </c>
      <c r="F210" s="8">
        <f>SUMIFS(Egresos!H:H,Egresos!B:B,"&gt;="&amp;DATE(C210,B210,1),Egresos!B:B,"&lt;"&amp;EDATE(DATE(C210,B210,1),1))+SUMIFS(Gastos_Mensuales!H:H,Gastos_Mensuales!B:B,B210,Gastos_Mensuales!C:C,C210)</f>
        <v/>
      </c>
      <c r="G210" s="8">
        <f>SUMIFS(Impuestos!I:I,Impuestos!B:B,B210,Impuestos!C:C,C210)</f>
        <v/>
      </c>
      <c r="H210" s="8">
        <f>D210+E210-F210-G210</f>
        <v/>
      </c>
      <c r="I210" s="2" t="n"/>
    </row>
    <row r="211">
      <c r="A211" s="2" t="n"/>
      <c r="B211" s="2" t="n"/>
      <c r="C211" s="2" t="n"/>
      <c r="D211" s="8" t="n"/>
      <c r="E211" s="8">
        <f>SUMIFS(Ingresos!J:J,Ingresos!D:D,"&gt;="&amp;DATE(C211,B211,1),Ingresos!D:D,"&lt;"&amp;EDATE(DATE(C211,B211,1),1))</f>
        <v/>
      </c>
      <c r="F211" s="8">
        <f>SUMIFS(Egresos!H:H,Egresos!B:B,"&gt;="&amp;DATE(C211,B211,1),Egresos!B:B,"&lt;"&amp;EDATE(DATE(C211,B211,1),1))+SUMIFS(Gastos_Mensuales!H:H,Gastos_Mensuales!B:B,B211,Gastos_Mensuales!C:C,C211)</f>
        <v/>
      </c>
      <c r="G211" s="8">
        <f>SUMIFS(Impuestos!I:I,Impuestos!B:B,B211,Impuestos!C:C,C211)</f>
        <v/>
      </c>
      <c r="H211" s="8">
        <f>D211+E211-F211-G211</f>
        <v/>
      </c>
      <c r="I211" s="2" t="n"/>
    </row>
    <row r="212">
      <c r="A212" s="2" t="n"/>
      <c r="B212" s="2" t="n"/>
      <c r="C212" s="2" t="n"/>
      <c r="D212" s="8" t="n"/>
      <c r="E212" s="8">
        <f>SUMIFS(Ingresos!J:J,Ingresos!D:D,"&gt;="&amp;DATE(C212,B212,1),Ingresos!D:D,"&lt;"&amp;EDATE(DATE(C212,B212,1),1))</f>
        <v/>
      </c>
      <c r="F212" s="8">
        <f>SUMIFS(Egresos!H:H,Egresos!B:B,"&gt;="&amp;DATE(C212,B212,1),Egresos!B:B,"&lt;"&amp;EDATE(DATE(C212,B212,1),1))+SUMIFS(Gastos_Mensuales!H:H,Gastos_Mensuales!B:B,B212,Gastos_Mensuales!C:C,C212)</f>
        <v/>
      </c>
      <c r="G212" s="8">
        <f>SUMIFS(Impuestos!I:I,Impuestos!B:B,B212,Impuestos!C:C,C212)</f>
        <v/>
      </c>
      <c r="H212" s="8">
        <f>D212+E212-F212-G212</f>
        <v/>
      </c>
      <c r="I212" s="2" t="n"/>
    </row>
    <row r="213">
      <c r="A213" s="2" t="n"/>
      <c r="B213" s="2" t="n"/>
      <c r="C213" s="2" t="n"/>
      <c r="D213" s="8" t="n"/>
      <c r="E213" s="8">
        <f>SUMIFS(Ingresos!J:J,Ingresos!D:D,"&gt;="&amp;DATE(C213,B213,1),Ingresos!D:D,"&lt;"&amp;EDATE(DATE(C213,B213,1),1))</f>
        <v/>
      </c>
      <c r="F213" s="8">
        <f>SUMIFS(Egresos!H:H,Egresos!B:B,"&gt;="&amp;DATE(C213,B213,1),Egresos!B:B,"&lt;"&amp;EDATE(DATE(C213,B213,1),1))+SUMIFS(Gastos_Mensuales!H:H,Gastos_Mensuales!B:B,B213,Gastos_Mensuales!C:C,C213)</f>
        <v/>
      </c>
      <c r="G213" s="8">
        <f>SUMIFS(Impuestos!I:I,Impuestos!B:B,B213,Impuestos!C:C,C213)</f>
        <v/>
      </c>
      <c r="H213" s="8">
        <f>D213+E213-F213-G213</f>
        <v/>
      </c>
      <c r="I213" s="2" t="n"/>
    </row>
    <row r="214">
      <c r="A214" s="2" t="n"/>
      <c r="B214" s="2" t="n"/>
      <c r="C214" s="2" t="n"/>
      <c r="D214" s="8" t="n"/>
      <c r="E214" s="8">
        <f>SUMIFS(Ingresos!J:J,Ingresos!D:D,"&gt;="&amp;DATE(C214,B214,1),Ingresos!D:D,"&lt;"&amp;EDATE(DATE(C214,B214,1),1))</f>
        <v/>
      </c>
      <c r="F214" s="8">
        <f>SUMIFS(Egresos!H:H,Egresos!B:B,"&gt;="&amp;DATE(C214,B214,1),Egresos!B:B,"&lt;"&amp;EDATE(DATE(C214,B214,1),1))+SUMIFS(Gastos_Mensuales!H:H,Gastos_Mensuales!B:B,B214,Gastos_Mensuales!C:C,C214)</f>
        <v/>
      </c>
      <c r="G214" s="8">
        <f>SUMIFS(Impuestos!I:I,Impuestos!B:B,B214,Impuestos!C:C,C214)</f>
        <v/>
      </c>
      <c r="H214" s="8">
        <f>D214+E214-F214-G214</f>
        <v/>
      </c>
      <c r="I214" s="2" t="n"/>
    </row>
    <row r="215">
      <c r="A215" s="2" t="n"/>
      <c r="B215" s="2" t="n"/>
      <c r="C215" s="2" t="n"/>
      <c r="D215" s="8" t="n"/>
      <c r="E215" s="8">
        <f>SUMIFS(Ingresos!J:J,Ingresos!D:D,"&gt;="&amp;DATE(C215,B215,1),Ingresos!D:D,"&lt;"&amp;EDATE(DATE(C215,B215,1),1))</f>
        <v/>
      </c>
      <c r="F215" s="8">
        <f>SUMIFS(Egresos!H:H,Egresos!B:B,"&gt;="&amp;DATE(C215,B215,1),Egresos!B:B,"&lt;"&amp;EDATE(DATE(C215,B215,1),1))+SUMIFS(Gastos_Mensuales!H:H,Gastos_Mensuales!B:B,B215,Gastos_Mensuales!C:C,C215)</f>
        <v/>
      </c>
      <c r="G215" s="8">
        <f>SUMIFS(Impuestos!I:I,Impuestos!B:B,B215,Impuestos!C:C,C215)</f>
        <v/>
      </c>
      <c r="H215" s="8">
        <f>D215+E215-F215-G215</f>
        <v/>
      </c>
      <c r="I215" s="2" t="n"/>
    </row>
    <row r="216">
      <c r="A216" s="2" t="n"/>
      <c r="B216" s="2" t="n"/>
      <c r="C216" s="2" t="n"/>
      <c r="D216" s="8" t="n"/>
      <c r="E216" s="8">
        <f>SUMIFS(Ingresos!J:J,Ingresos!D:D,"&gt;="&amp;DATE(C216,B216,1),Ingresos!D:D,"&lt;"&amp;EDATE(DATE(C216,B216,1),1))</f>
        <v/>
      </c>
      <c r="F216" s="8">
        <f>SUMIFS(Egresos!H:H,Egresos!B:B,"&gt;="&amp;DATE(C216,B216,1),Egresos!B:B,"&lt;"&amp;EDATE(DATE(C216,B216,1),1))+SUMIFS(Gastos_Mensuales!H:H,Gastos_Mensuales!B:B,B216,Gastos_Mensuales!C:C,C216)</f>
        <v/>
      </c>
      <c r="G216" s="8">
        <f>SUMIFS(Impuestos!I:I,Impuestos!B:B,B216,Impuestos!C:C,C216)</f>
        <v/>
      </c>
      <c r="H216" s="8">
        <f>D216+E216-F216-G216</f>
        <v/>
      </c>
      <c r="I216" s="2" t="n"/>
    </row>
    <row r="217">
      <c r="A217" s="2" t="n"/>
      <c r="B217" s="2" t="n"/>
      <c r="C217" s="2" t="n"/>
      <c r="D217" s="8" t="n"/>
      <c r="E217" s="8">
        <f>SUMIFS(Ingresos!J:J,Ingresos!D:D,"&gt;="&amp;DATE(C217,B217,1),Ingresos!D:D,"&lt;"&amp;EDATE(DATE(C217,B217,1),1))</f>
        <v/>
      </c>
      <c r="F217" s="8">
        <f>SUMIFS(Egresos!H:H,Egresos!B:B,"&gt;="&amp;DATE(C217,B217,1),Egresos!B:B,"&lt;"&amp;EDATE(DATE(C217,B217,1),1))+SUMIFS(Gastos_Mensuales!H:H,Gastos_Mensuales!B:B,B217,Gastos_Mensuales!C:C,C217)</f>
        <v/>
      </c>
      <c r="G217" s="8">
        <f>SUMIFS(Impuestos!I:I,Impuestos!B:B,B217,Impuestos!C:C,C217)</f>
        <v/>
      </c>
      <c r="H217" s="8">
        <f>D217+E217-F217-G217</f>
        <v/>
      </c>
      <c r="I217" s="2" t="n"/>
    </row>
    <row r="218">
      <c r="A218" s="2" t="n"/>
      <c r="B218" s="2" t="n"/>
      <c r="C218" s="2" t="n"/>
      <c r="D218" s="8" t="n"/>
      <c r="E218" s="8">
        <f>SUMIFS(Ingresos!J:J,Ingresos!D:D,"&gt;="&amp;DATE(C218,B218,1),Ingresos!D:D,"&lt;"&amp;EDATE(DATE(C218,B218,1),1))</f>
        <v/>
      </c>
      <c r="F218" s="8">
        <f>SUMIFS(Egresos!H:H,Egresos!B:B,"&gt;="&amp;DATE(C218,B218,1),Egresos!B:B,"&lt;"&amp;EDATE(DATE(C218,B218,1),1))+SUMIFS(Gastos_Mensuales!H:H,Gastos_Mensuales!B:B,B218,Gastos_Mensuales!C:C,C218)</f>
        <v/>
      </c>
      <c r="G218" s="8">
        <f>SUMIFS(Impuestos!I:I,Impuestos!B:B,B218,Impuestos!C:C,C218)</f>
        <v/>
      </c>
      <c r="H218" s="8">
        <f>D218+E218-F218-G218</f>
        <v/>
      </c>
      <c r="I218" s="2" t="n"/>
    </row>
    <row r="219">
      <c r="A219" s="2" t="n"/>
      <c r="B219" s="2" t="n"/>
      <c r="C219" s="2" t="n"/>
      <c r="D219" s="8" t="n"/>
      <c r="E219" s="8">
        <f>SUMIFS(Ingresos!J:J,Ingresos!D:D,"&gt;="&amp;DATE(C219,B219,1),Ingresos!D:D,"&lt;"&amp;EDATE(DATE(C219,B219,1),1))</f>
        <v/>
      </c>
      <c r="F219" s="8">
        <f>SUMIFS(Egresos!H:H,Egresos!B:B,"&gt;="&amp;DATE(C219,B219,1),Egresos!B:B,"&lt;"&amp;EDATE(DATE(C219,B219,1),1))+SUMIFS(Gastos_Mensuales!H:H,Gastos_Mensuales!B:B,B219,Gastos_Mensuales!C:C,C219)</f>
        <v/>
      </c>
      <c r="G219" s="8">
        <f>SUMIFS(Impuestos!I:I,Impuestos!B:B,B219,Impuestos!C:C,C219)</f>
        <v/>
      </c>
      <c r="H219" s="8">
        <f>D219+E219-F219-G219</f>
        <v/>
      </c>
      <c r="I219" s="2" t="n"/>
    </row>
    <row r="220">
      <c r="A220" s="2" t="n"/>
      <c r="B220" s="2" t="n"/>
      <c r="C220" s="2" t="n"/>
      <c r="D220" s="8" t="n"/>
      <c r="E220" s="8">
        <f>SUMIFS(Ingresos!J:J,Ingresos!D:D,"&gt;="&amp;DATE(C220,B220,1),Ingresos!D:D,"&lt;"&amp;EDATE(DATE(C220,B220,1),1))</f>
        <v/>
      </c>
      <c r="F220" s="8">
        <f>SUMIFS(Egresos!H:H,Egresos!B:B,"&gt;="&amp;DATE(C220,B220,1),Egresos!B:B,"&lt;"&amp;EDATE(DATE(C220,B220,1),1))+SUMIFS(Gastos_Mensuales!H:H,Gastos_Mensuales!B:B,B220,Gastos_Mensuales!C:C,C220)</f>
        <v/>
      </c>
      <c r="G220" s="8">
        <f>SUMIFS(Impuestos!I:I,Impuestos!B:B,B220,Impuestos!C:C,C220)</f>
        <v/>
      </c>
      <c r="H220" s="8">
        <f>D220+E220-F220-G220</f>
        <v/>
      </c>
      <c r="I220" s="2" t="n"/>
    </row>
    <row r="221">
      <c r="A221" s="2" t="n"/>
      <c r="B221" s="2" t="n"/>
      <c r="C221" s="2" t="n"/>
      <c r="D221" s="8" t="n"/>
      <c r="E221" s="8">
        <f>SUMIFS(Ingresos!J:J,Ingresos!D:D,"&gt;="&amp;DATE(C221,B221,1),Ingresos!D:D,"&lt;"&amp;EDATE(DATE(C221,B221,1),1))</f>
        <v/>
      </c>
      <c r="F221" s="8">
        <f>SUMIFS(Egresos!H:H,Egresos!B:B,"&gt;="&amp;DATE(C221,B221,1),Egresos!B:B,"&lt;"&amp;EDATE(DATE(C221,B221,1),1))+SUMIFS(Gastos_Mensuales!H:H,Gastos_Mensuales!B:B,B221,Gastos_Mensuales!C:C,C221)</f>
        <v/>
      </c>
      <c r="G221" s="8">
        <f>SUMIFS(Impuestos!I:I,Impuestos!B:B,B221,Impuestos!C:C,C221)</f>
        <v/>
      </c>
      <c r="H221" s="8">
        <f>D221+E221-F221-G221</f>
        <v/>
      </c>
      <c r="I221" s="2" t="n"/>
    </row>
    <row r="222">
      <c r="A222" s="2" t="n"/>
      <c r="B222" s="2" t="n"/>
      <c r="C222" s="2" t="n"/>
      <c r="D222" s="8" t="n"/>
      <c r="E222" s="8">
        <f>SUMIFS(Ingresos!J:J,Ingresos!D:D,"&gt;="&amp;DATE(C222,B222,1),Ingresos!D:D,"&lt;"&amp;EDATE(DATE(C222,B222,1),1))</f>
        <v/>
      </c>
      <c r="F222" s="8">
        <f>SUMIFS(Egresos!H:H,Egresos!B:B,"&gt;="&amp;DATE(C222,B222,1),Egresos!B:B,"&lt;"&amp;EDATE(DATE(C222,B222,1),1))+SUMIFS(Gastos_Mensuales!H:H,Gastos_Mensuales!B:B,B222,Gastos_Mensuales!C:C,C222)</f>
        <v/>
      </c>
      <c r="G222" s="8">
        <f>SUMIFS(Impuestos!I:I,Impuestos!B:B,B222,Impuestos!C:C,C222)</f>
        <v/>
      </c>
      <c r="H222" s="8">
        <f>D222+E222-F222-G222</f>
        <v/>
      </c>
      <c r="I222" s="2" t="n"/>
    </row>
    <row r="223">
      <c r="A223" s="2" t="n"/>
      <c r="B223" s="2" t="n"/>
      <c r="C223" s="2" t="n"/>
      <c r="D223" s="8" t="n"/>
      <c r="E223" s="8">
        <f>SUMIFS(Ingresos!J:J,Ingresos!D:D,"&gt;="&amp;DATE(C223,B223,1),Ingresos!D:D,"&lt;"&amp;EDATE(DATE(C223,B223,1),1))</f>
        <v/>
      </c>
      <c r="F223" s="8">
        <f>SUMIFS(Egresos!H:H,Egresos!B:B,"&gt;="&amp;DATE(C223,B223,1),Egresos!B:B,"&lt;"&amp;EDATE(DATE(C223,B223,1),1))+SUMIFS(Gastos_Mensuales!H:H,Gastos_Mensuales!B:B,B223,Gastos_Mensuales!C:C,C223)</f>
        <v/>
      </c>
      <c r="G223" s="8">
        <f>SUMIFS(Impuestos!I:I,Impuestos!B:B,B223,Impuestos!C:C,C223)</f>
        <v/>
      </c>
      <c r="H223" s="8">
        <f>D223+E223-F223-G223</f>
        <v/>
      </c>
      <c r="I223" s="2" t="n"/>
    </row>
    <row r="224">
      <c r="A224" s="2" t="n"/>
      <c r="B224" s="2" t="n"/>
      <c r="C224" s="2" t="n"/>
      <c r="D224" s="8" t="n"/>
      <c r="E224" s="8">
        <f>SUMIFS(Ingresos!J:J,Ingresos!D:D,"&gt;="&amp;DATE(C224,B224,1),Ingresos!D:D,"&lt;"&amp;EDATE(DATE(C224,B224,1),1))</f>
        <v/>
      </c>
      <c r="F224" s="8">
        <f>SUMIFS(Egresos!H:H,Egresos!B:B,"&gt;="&amp;DATE(C224,B224,1),Egresos!B:B,"&lt;"&amp;EDATE(DATE(C224,B224,1),1))+SUMIFS(Gastos_Mensuales!H:H,Gastos_Mensuales!B:B,B224,Gastos_Mensuales!C:C,C224)</f>
        <v/>
      </c>
      <c r="G224" s="8">
        <f>SUMIFS(Impuestos!I:I,Impuestos!B:B,B224,Impuestos!C:C,C224)</f>
        <v/>
      </c>
      <c r="H224" s="8">
        <f>D224+E224-F224-G224</f>
        <v/>
      </c>
      <c r="I224" s="2" t="n"/>
    </row>
    <row r="225">
      <c r="A225" s="2" t="n"/>
      <c r="B225" s="2" t="n"/>
      <c r="C225" s="2" t="n"/>
      <c r="D225" s="8" t="n"/>
      <c r="E225" s="8">
        <f>SUMIFS(Ingresos!J:J,Ingresos!D:D,"&gt;="&amp;DATE(C225,B225,1),Ingresos!D:D,"&lt;"&amp;EDATE(DATE(C225,B225,1),1))</f>
        <v/>
      </c>
      <c r="F225" s="8">
        <f>SUMIFS(Egresos!H:H,Egresos!B:B,"&gt;="&amp;DATE(C225,B225,1),Egresos!B:B,"&lt;"&amp;EDATE(DATE(C225,B225,1),1))+SUMIFS(Gastos_Mensuales!H:H,Gastos_Mensuales!B:B,B225,Gastos_Mensuales!C:C,C225)</f>
        <v/>
      </c>
      <c r="G225" s="8">
        <f>SUMIFS(Impuestos!I:I,Impuestos!B:B,B225,Impuestos!C:C,C225)</f>
        <v/>
      </c>
      <c r="H225" s="8">
        <f>D225+E225-F225-G225</f>
        <v/>
      </c>
      <c r="I225" s="2" t="n"/>
    </row>
    <row r="226">
      <c r="A226" s="2" t="n"/>
      <c r="B226" s="2" t="n"/>
      <c r="C226" s="2" t="n"/>
      <c r="D226" s="8" t="n"/>
      <c r="E226" s="8">
        <f>SUMIFS(Ingresos!J:J,Ingresos!D:D,"&gt;="&amp;DATE(C226,B226,1),Ingresos!D:D,"&lt;"&amp;EDATE(DATE(C226,B226,1),1))</f>
        <v/>
      </c>
      <c r="F226" s="8">
        <f>SUMIFS(Egresos!H:H,Egresos!B:B,"&gt;="&amp;DATE(C226,B226,1),Egresos!B:B,"&lt;"&amp;EDATE(DATE(C226,B226,1),1))+SUMIFS(Gastos_Mensuales!H:H,Gastos_Mensuales!B:B,B226,Gastos_Mensuales!C:C,C226)</f>
        <v/>
      </c>
      <c r="G226" s="8">
        <f>SUMIFS(Impuestos!I:I,Impuestos!B:B,B226,Impuestos!C:C,C226)</f>
        <v/>
      </c>
      <c r="H226" s="8">
        <f>D226+E226-F226-G226</f>
        <v/>
      </c>
      <c r="I226" s="2" t="n"/>
    </row>
    <row r="227">
      <c r="A227" s="2" t="n"/>
      <c r="B227" s="2" t="n"/>
      <c r="C227" s="2" t="n"/>
      <c r="D227" s="8" t="n"/>
      <c r="E227" s="8">
        <f>SUMIFS(Ingresos!J:J,Ingresos!D:D,"&gt;="&amp;DATE(C227,B227,1),Ingresos!D:D,"&lt;"&amp;EDATE(DATE(C227,B227,1),1))</f>
        <v/>
      </c>
      <c r="F227" s="8">
        <f>SUMIFS(Egresos!H:H,Egresos!B:B,"&gt;="&amp;DATE(C227,B227,1),Egresos!B:B,"&lt;"&amp;EDATE(DATE(C227,B227,1),1))+SUMIFS(Gastos_Mensuales!H:H,Gastos_Mensuales!B:B,B227,Gastos_Mensuales!C:C,C227)</f>
        <v/>
      </c>
      <c r="G227" s="8">
        <f>SUMIFS(Impuestos!I:I,Impuestos!B:B,B227,Impuestos!C:C,C227)</f>
        <v/>
      </c>
      <c r="H227" s="8">
        <f>D227+E227-F227-G227</f>
        <v/>
      </c>
      <c r="I227" s="2" t="n"/>
    </row>
    <row r="228">
      <c r="A228" s="2" t="n"/>
      <c r="B228" s="2" t="n"/>
      <c r="C228" s="2" t="n"/>
      <c r="D228" s="8" t="n"/>
      <c r="E228" s="8">
        <f>SUMIFS(Ingresos!J:J,Ingresos!D:D,"&gt;="&amp;DATE(C228,B228,1),Ingresos!D:D,"&lt;"&amp;EDATE(DATE(C228,B228,1),1))</f>
        <v/>
      </c>
      <c r="F228" s="8">
        <f>SUMIFS(Egresos!H:H,Egresos!B:B,"&gt;="&amp;DATE(C228,B228,1),Egresos!B:B,"&lt;"&amp;EDATE(DATE(C228,B228,1),1))+SUMIFS(Gastos_Mensuales!H:H,Gastos_Mensuales!B:B,B228,Gastos_Mensuales!C:C,C228)</f>
        <v/>
      </c>
      <c r="G228" s="8">
        <f>SUMIFS(Impuestos!I:I,Impuestos!B:B,B228,Impuestos!C:C,C228)</f>
        <v/>
      </c>
      <c r="H228" s="8">
        <f>D228+E228-F228-G228</f>
        <v/>
      </c>
      <c r="I228" s="2" t="n"/>
    </row>
    <row r="229">
      <c r="A229" s="2" t="n"/>
      <c r="B229" s="2" t="n"/>
      <c r="C229" s="2" t="n"/>
      <c r="D229" s="8" t="n"/>
      <c r="E229" s="8">
        <f>SUMIFS(Ingresos!J:J,Ingresos!D:D,"&gt;="&amp;DATE(C229,B229,1),Ingresos!D:D,"&lt;"&amp;EDATE(DATE(C229,B229,1),1))</f>
        <v/>
      </c>
      <c r="F229" s="8">
        <f>SUMIFS(Egresos!H:H,Egresos!B:B,"&gt;="&amp;DATE(C229,B229,1),Egresos!B:B,"&lt;"&amp;EDATE(DATE(C229,B229,1),1))+SUMIFS(Gastos_Mensuales!H:H,Gastos_Mensuales!B:B,B229,Gastos_Mensuales!C:C,C229)</f>
        <v/>
      </c>
      <c r="G229" s="8">
        <f>SUMIFS(Impuestos!I:I,Impuestos!B:B,B229,Impuestos!C:C,C229)</f>
        <v/>
      </c>
      <c r="H229" s="8">
        <f>D229+E229-F229-G229</f>
        <v/>
      </c>
      <c r="I229" s="2" t="n"/>
    </row>
    <row r="230">
      <c r="A230" s="2" t="n"/>
      <c r="B230" s="2" t="n"/>
      <c r="C230" s="2" t="n"/>
      <c r="D230" s="8" t="n"/>
      <c r="E230" s="8">
        <f>SUMIFS(Ingresos!J:J,Ingresos!D:D,"&gt;="&amp;DATE(C230,B230,1),Ingresos!D:D,"&lt;"&amp;EDATE(DATE(C230,B230,1),1))</f>
        <v/>
      </c>
      <c r="F230" s="8">
        <f>SUMIFS(Egresos!H:H,Egresos!B:B,"&gt;="&amp;DATE(C230,B230,1),Egresos!B:B,"&lt;"&amp;EDATE(DATE(C230,B230,1),1))+SUMIFS(Gastos_Mensuales!H:H,Gastos_Mensuales!B:B,B230,Gastos_Mensuales!C:C,C230)</f>
        <v/>
      </c>
      <c r="G230" s="8">
        <f>SUMIFS(Impuestos!I:I,Impuestos!B:B,B230,Impuestos!C:C,C230)</f>
        <v/>
      </c>
      <c r="H230" s="8">
        <f>D230+E230-F230-G230</f>
        <v/>
      </c>
      <c r="I230" s="2" t="n"/>
    </row>
    <row r="231">
      <c r="A231" s="2" t="n"/>
      <c r="B231" s="2" t="n"/>
      <c r="C231" s="2" t="n"/>
      <c r="D231" s="8" t="n"/>
      <c r="E231" s="8">
        <f>SUMIFS(Ingresos!J:J,Ingresos!D:D,"&gt;="&amp;DATE(C231,B231,1),Ingresos!D:D,"&lt;"&amp;EDATE(DATE(C231,B231,1),1))</f>
        <v/>
      </c>
      <c r="F231" s="8">
        <f>SUMIFS(Egresos!H:H,Egresos!B:B,"&gt;="&amp;DATE(C231,B231,1),Egresos!B:B,"&lt;"&amp;EDATE(DATE(C231,B231,1),1))+SUMIFS(Gastos_Mensuales!H:H,Gastos_Mensuales!B:B,B231,Gastos_Mensuales!C:C,C231)</f>
        <v/>
      </c>
      <c r="G231" s="8">
        <f>SUMIFS(Impuestos!I:I,Impuestos!B:B,B231,Impuestos!C:C,C231)</f>
        <v/>
      </c>
      <c r="H231" s="8">
        <f>D231+E231-F231-G231</f>
        <v/>
      </c>
      <c r="I231" s="2" t="n"/>
    </row>
    <row r="232">
      <c r="A232" s="2" t="n"/>
      <c r="B232" s="2" t="n"/>
      <c r="C232" s="2" t="n"/>
      <c r="D232" s="8" t="n"/>
      <c r="E232" s="8">
        <f>SUMIFS(Ingresos!J:J,Ingresos!D:D,"&gt;="&amp;DATE(C232,B232,1),Ingresos!D:D,"&lt;"&amp;EDATE(DATE(C232,B232,1),1))</f>
        <v/>
      </c>
      <c r="F232" s="8">
        <f>SUMIFS(Egresos!H:H,Egresos!B:B,"&gt;="&amp;DATE(C232,B232,1),Egresos!B:B,"&lt;"&amp;EDATE(DATE(C232,B232,1),1))+SUMIFS(Gastos_Mensuales!H:H,Gastos_Mensuales!B:B,B232,Gastos_Mensuales!C:C,C232)</f>
        <v/>
      </c>
      <c r="G232" s="8">
        <f>SUMIFS(Impuestos!I:I,Impuestos!B:B,B232,Impuestos!C:C,C232)</f>
        <v/>
      </c>
      <c r="H232" s="8">
        <f>D232+E232-F232-G232</f>
        <v/>
      </c>
      <c r="I232" s="2" t="n"/>
    </row>
    <row r="233">
      <c r="A233" s="2" t="n"/>
      <c r="B233" s="2" t="n"/>
      <c r="C233" s="2" t="n"/>
      <c r="D233" s="8" t="n"/>
      <c r="E233" s="8">
        <f>SUMIFS(Ingresos!J:J,Ingresos!D:D,"&gt;="&amp;DATE(C233,B233,1),Ingresos!D:D,"&lt;"&amp;EDATE(DATE(C233,B233,1),1))</f>
        <v/>
      </c>
      <c r="F233" s="8">
        <f>SUMIFS(Egresos!H:H,Egresos!B:B,"&gt;="&amp;DATE(C233,B233,1),Egresos!B:B,"&lt;"&amp;EDATE(DATE(C233,B233,1),1))+SUMIFS(Gastos_Mensuales!H:H,Gastos_Mensuales!B:B,B233,Gastos_Mensuales!C:C,C233)</f>
        <v/>
      </c>
      <c r="G233" s="8">
        <f>SUMIFS(Impuestos!I:I,Impuestos!B:B,B233,Impuestos!C:C,C233)</f>
        <v/>
      </c>
      <c r="H233" s="8">
        <f>D233+E233-F233-G233</f>
        <v/>
      </c>
      <c r="I233" s="2" t="n"/>
    </row>
    <row r="234">
      <c r="A234" s="2" t="n"/>
      <c r="B234" s="2" t="n"/>
      <c r="C234" s="2" t="n"/>
      <c r="D234" s="8" t="n"/>
      <c r="E234" s="8">
        <f>SUMIFS(Ingresos!J:J,Ingresos!D:D,"&gt;="&amp;DATE(C234,B234,1),Ingresos!D:D,"&lt;"&amp;EDATE(DATE(C234,B234,1),1))</f>
        <v/>
      </c>
      <c r="F234" s="8">
        <f>SUMIFS(Egresos!H:H,Egresos!B:B,"&gt;="&amp;DATE(C234,B234,1),Egresos!B:B,"&lt;"&amp;EDATE(DATE(C234,B234,1),1))+SUMIFS(Gastos_Mensuales!H:H,Gastos_Mensuales!B:B,B234,Gastos_Mensuales!C:C,C234)</f>
        <v/>
      </c>
      <c r="G234" s="8">
        <f>SUMIFS(Impuestos!I:I,Impuestos!B:B,B234,Impuestos!C:C,C234)</f>
        <v/>
      </c>
      <c r="H234" s="8">
        <f>D234+E234-F234-G234</f>
        <v/>
      </c>
      <c r="I234" s="2" t="n"/>
    </row>
    <row r="235">
      <c r="A235" s="2" t="n"/>
      <c r="B235" s="2" t="n"/>
      <c r="C235" s="2" t="n"/>
      <c r="D235" s="8" t="n"/>
      <c r="E235" s="8">
        <f>SUMIFS(Ingresos!J:J,Ingresos!D:D,"&gt;="&amp;DATE(C235,B235,1),Ingresos!D:D,"&lt;"&amp;EDATE(DATE(C235,B235,1),1))</f>
        <v/>
      </c>
      <c r="F235" s="8">
        <f>SUMIFS(Egresos!H:H,Egresos!B:B,"&gt;="&amp;DATE(C235,B235,1),Egresos!B:B,"&lt;"&amp;EDATE(DATE(C235,B235,1),1))+SUMIFS(Gastos_Mensuales!H:H,Gastos_Mensuales!B:B,B235,Gastos_Mensuales!C:C,C235)</f>
        <v/>
      </c>
      <c r="G235" s="8">
        <f>SUMIFS(Impuestos!I:I,Impuestos!B:B,B235,Impuestos!C:C,C235)</f>
        <v/>
      </c>
      <c r="H235" s="8">
        <f>D235+E235-F235-G235</f>
        <v/>
      </c>
      <c r="I235" s="2" t="n"/>
    </row>
    <row r="236">
      <c r="A236" s="2" t="n"/>
      <c r="B236" s="2" t="n"/>
      <c r="C236" s="2" t="n"/>
      <c r="D236" s="8" t="n"/>
      <c r="E236" s="8">
        <f>SUMIFS(Ingresos!J:J,Ingresos!D:D,"&gt;="&amp;DATE(C236,B236,1),Ingresos!D:D,"&lt;"&amp;EDATE(DATE(C236,B236,1),1))</f>
        <v/>
      </c>
      <c r="F236" s="8">
        <f>SUMIFS(Egresos!H:H,Egresos!B:B,"&gt;="&amp;DATE(C236,B236,1),Egresos!B:B,"&lt;"&amp;EDATE(DATE(C236,B236,1),1))+SUMIFS(Gastos_Mensuales!H:H,Gastos_Mensuales!B:B,B236,Gastos_Mensuales!C:C,C236)</f>
        <v/>
      </c>
      <c r="G236" s="8">
        <f>SUMIFS(Impuestos!I:I,Impuestos!B:B,B236,Impuestos!C:C,C236)</f>
        <v/>
      </c>
      <c r="H236" s="8">
        <f>D236+E236-F236-G236</f>
        <v/>
      </c>
      <c r="I236" s="2" t="n"/>
    </row>
    <row r="237">
      <c r="A237" s="2" t="n"/>
      <c r="B237" s="2" t="n"/>
      <c r="C237" s="2" t="n"/>
      <c r="D237" s="8" t="n"/>
      <c r="E237" s="8">
        <f>SUMIFS(Ingresos!J:J,Ingresos!D:D,"&gt;="&amp;DATE(C237,B237,1),Ingresos!D:D,"&lt;"&amp;EDATE(DATE(C237,B237,1),1))</f>
        <v/>
      </c>
      <c r="F237" s="8">
        <f>SUMIFS(Egresos!H:H,Egresos!B:B,"&gt;="&amp;DATE(C237,B237,1),Egresos!B:B,"&lt;"&amp;EDATE(DATE(C237,B237,1),1))+SUMIFS(Gastos_Mensuales!H:H,Gastos_Mensuales!B:B,B237,Gastos_Mensuales!C:C,C237)</f>
        <v/>
      </c>
      <c r="G237" s="8">
        <f>SUMIFS(Impuestos!I:I,Impuestos!B:B,B237,Impuestos!C:C,C237)</f>
        <v/>
      </c>
      <c r="H237" s="8">
        <f>D237+E237-F237-G237</f>
        <v/>
      </c>
      <c r="I237" s="2" t="n"/>
    </row>
    <row r="238">
      <c r="A238" s="2" t="n"/>
      <c r="B238" s="2" t="n"/>
      <c r="C238" s="2" t="n"/>
      <c r="D238" s="8" t="n"/>
      <c r="E238" s="8">
        <f>SUMIFS(Ingresos!J:J,Ingresos!D:D,"&gt;="&amp;DATE(C238,B238,1),Ingresos!D:D,"&lt;"&amp;EDATE(DATE(C238,B238,1),1))</f>
        <v/>
      </c>
      <c r="F238" s="8">
        <f>SUMIFS(Egresos!H:H,Egresos!B:B,"&gt;="&amp;DATE(C238,B238,1),Egresos!B:B,"&lt;"&amp;EDATE(DATE(C238,B238,1),1))+SUMIFS(Gastos_Mensuales!H:H,Gastos_Mensuales!B:B,B238,Gastos_Mensuales!C:C,C238)</f>
        <v/>
      </c>
      <c r="G238" s="8">
        <f>SUMIFS(Impuestos!I:I,Impuestos!B:B,B238,Impuestos!C:C,C238)</f>
        <v/>
      </c>
      <c r="H238" s="8">
        <f>D238+E238-F238-G238</f>
        <v/>
      </c>
      <c r="I238" s="2" t="n"/>
    </row>
    <row r="239">
      <c r="A239" s="2" t="n"/>
      <c r="B239" s="2" t="n"/>
      <c r="C239" s="2" t="n"/>
      <c r="D239" s="8" t="n"/>
      <c r="E239" s="8">
        <f>SUMIFS(Ingresos!J:J,Ingresos!D:D,"&gt;="&amp;DATE(C239,B239,1),Ingresos!D:D,"&lt;"&amp;EDATE(DATE(C239,B239,1),1))</f>
        <v/>
      </c>
      <c r="F239" s="8">
        <f>SUMIFS(Egresos!H:H,Egresos!B:B,"&gt;="&amp;DATE(C239,B239,1),Egresos!B:B,"&lt;"&amp;EDATE(DATE(C239,B239,1),1))+SUMIFS(Gastos_Mensuales!H:H,Gastos_Mensuales!B:B,B239,Gastos_Mensuales!C:C,C239)</f>
        <v/>
      </c>
      <c r="G239" s="8">
        <f>SUMIFS(Impuestos!I:I,Impuestos!B:B,B239,Impuestos!C:C,C239)</f>
        <v/>
      </c>
      <c r="H239" s="8">
        <f>D239+E239-F239-G239</f>
        <v/>
      </c>
      <c r="I239" s="2" t="n"/>
    </row>
    <row r="240">
      <c r="A240" s="2" t="n"/>
      <c r="B240" s="2" t="n"/>
      <c r="C240" s="2" t="n"/>
      <c r="D240" s="8" t="n"/>
      <c r="E240" s="8">
        <f>SUMIFS(Ingresos!J:J,Ingresos!D:D,"&gt;="&amp;DATE(C240,B240,1),Ingresos!D:D,"&lt;"&amp;EDATE(DATE(C240,B240,1),1))</f>
        <v/>
      </c>
      <c r="F240" s="8">
        <f>SUMIFS(Egresos!H:H,Egresos!B:B,"&gt;="&amp;DATE(C240,B240,1),Egresos!B:B,"&lt;"&amp;EDATE(DATE(C240,B240,1),1))+SUMIFS(Gastos_Mensuales!H:H,Gastos_Mensuales!B:B,B240,Gastos_Mensuales!C:C,C240)</f>
        <v/>
      </c>
      <c r="G240" s="8">
        <f>SUMIFS(Impuestos!I:I,Impuestos!B:B,B240,Impuestos!C:C,C240)</f>
        <v/>
      </c>
      <c r="H240" s="8">
        <f>D240+E240-F240-G240</f>
        <v/>
      </c>
      <c r="I240" s="2" t="n"/>
    </row>
    <row r="241">
      <c r="A241" s="2" t="n"/>
      <c r="B241" s="2" t="n"/>
      <c r="C241" s="2" t="n"/>
      <c r="D241" s="8" t="n"/>
      <c r="E241" s="8">
        <f>SUMIFS(Ingresos!J:J,Ingresos!D:D,"&gt;="&amp;DATE(C241,B241,1),Ingresos!D:D,"&lt;"&amp;EDATE(DATE(C241,B241,1),1))</f>
        <v/>
      </c>
      <c r="F241" s="8">
        <f>SUMIFS(Egresos!H:H,Egresos!B:B,"&gt;="&amp;DATE(C241,B241,1),Egresos!B:B,"&lt;"&amp;EDATE(DATE(C241,B241,1),1))+SUMIFS(Gastos_Mensuales!H:H,Gastos_Mensuales!B:B,B241,Gastos_Mensuales!C:C,C241)</f>
        <v/>
      </c>
      <c r="G241" s="8">
        <f>SUMIFS(Impuestos!I:I,Impuestos!B:B,B241,Impuestos!C:C,C241)</f>
        <v/>
      </c>
      <c r="H241" s="8">
        <f>D241+E241-F241-G241</f>
        <v/>
      </c>
      <c r="I241" s="2" t="n"/>
    </row>
    <row r="242">
      <c r="A242" s="2" t="n"/>
      <c r="B242" s="2" t="n"/>
      <c r="C242" s="2" t="n"/>
      <c r="D242" s="8" t="n"/>
      <c r="E242" s="8">
        <f>SUMIFS(Ingresos!J:J,Ingresos!D:D,"&gt;="&amp;DATE(C242,B242,1),Ingresos!D:D,"&lt;"&amp;EDATE(DATE(C242,B242,1),1))</f>
        <v/>
      </c>
      <c r="F242" s="8">
        <f>SUMIFS(Egresos!H:H,Egresos!B:B,"&gt;="&amp;DATE(C242,B242,1),Egresos!B:B,"&lt;"&amp;EDATE(DATE(C242,B242,1),1))+SUMIFS(Gastos_Mensuales!H:H,Gastos_Mensuales!B:B,B242,Gastos_Mensuales!C:C,C242)</f>
        <v/>
      </c>
      <c r="G242" s="8">
        <f>SUMIFS(Impuestos!I:I,Impuestos!B:B,B242,Impuestos!C:C,C242)</f>
        <v/>
      </c>
      <c r="H242" s="8">
        <f>D242+E242-F242-G242</f>
        <v/>
      </c>
      <c r="I242" s="2" t="n"/>
    </row>
    <row r="243">
      <c r="A243" s="2" t="n"/>
      <c r="B243" s="2" t="n"/>
      <c r="C243" s="2" t="n"/>
      <c r="D243" s="8" t="n"/>
      <c r="E243" s="8">
        <f>SUMIFS(Ingresos!J:J,Ingresos!D:D,"&gt;="&amp;DATE(C243,B243,1),Ingresos!D:D,"&lt;"&amp;EDATE(DATE(C243,B243,1),1))</f>
        <v/>
      </c>
      <c r="F243" s="8">
        <f>SUMIFS(Egresos!H:H,Egresos!B:B,"&gt;="&amp;DATE(C243,B243,1),Egresos!B:B,"&lt;"&amp;EDATE(DATE(C243,B243,1),1))+SUMIFS(Gastos_Mensuales!H:H,Gastos_Mensuales!B:B,B243,Gastos_Mensuales!C:C,C243)</f>
        <v/>
      </c>
      <c r="G243" s="8">
        <f>SUMIFS(Impuestos!I:I,Impuestos!B:B,B243,Impuestos!C:C,C243)</f>
        <v/>
      </c>
      <c r="H243" s="8">
        <f>D243+E243-F243-G243</f>
        <v/>
      </c>
      <c r="I243" s="2" t="n"/>
    </row>
    <row r="244">
      <c r="A244" s="2" t="n"/>
      <c r="B244" s="2" t="n"/>
      <c r="C244" s="2" t="n"/>
      <c r="D244" s="8" t="n"/>
      <c r="E244" s="8">
        <f>SUMIFS(Ingresos!J:J,Ingresos!D:D,"&gt;="&amp;DATE(C244,B244,1),Ingresos!D:D,"&lt;"&amp;EDATE(DATE(C244,B244,1),1))</f>
        <v/>
      </c>
      <c r="F244" s="8">
        <f>SUMIFS(Egresos!H:H,Egresos!B:B,"&gt;="&amp;DATE(C244,B244,1),Egresos!B:B,"&lt;"&amp;EDATE(DATE(C244,B244,1),1))+SUMIFS(Gastos_Mensuales!H:H,Gastos_Mensuales!B:B,B244,Gastos_Mensuales!C:C,C244)</f>
        <v/>
      </c>
      <c r="G244" s="8">
        <f>SUMIFS(Impuestos!I:I,Impuestos!B:B,B244,Impuestos!C:C,C244)</f>
        <v/>
      </c>
      <c r="H244" s="8">
        <f>D244+E244-F244-G244</f>
        <v/>
      </c>
      <c r="I244" s="2" t="n"/>
    </row>
    <row r="245">
      <c r="A245" s="2" t="n"/>
      <c r="B245" s="2" t="n"/>
      <c r="C245" s="2" t="n"/>
      <c r="D245" s="8" t="n"/>
      <c r="E245" s="8">
        <f>SUMIFS(Ingresos!J:J,Ingresos!D:D,"&gt;="&amp;DATE(C245,B245,1),Ingresos!D:D,"&lt;"&amp;EDATE(DATE(C245,B245,1),1))</f>
        <v/>
      </c>
      <c r="F245" s="8">
        <f>SUMIFS(Egresos!H:H,Egresos!B:B,"&gt;="&amp;DATE(C245,B245,1),Egresos!B:B,"&lt;"&amp;EDATE(DATE(C245,B245,1),1))+SUMIFS(Gastos_Mensuales!H:H,Gastos_Mensuales!B:B,B245,Gastos_Mensuales!C:C,C245)</f>
        <v/>
      </c>
      <c r="G245" s="8">
        <f>SUMIFS(Impuestos!I:I,Impuestos!B:B,B245,Impuestos!C:C,C245)</f>
        <v/>
      </c>
      <c r="H245" s="8">
        <f>D245+E245-F245-G245</f>
        <v/>
      </c>
      <c r="I245" s="2" t="n"/>
    </row>
    <row r="246">
      <c r="A246" s="2" t="n"/>
      <c r="B246" s="2" t="n"/>
      <c r="C246" s="2" t="n"/>
      <c r="D246" s="8" t="n"/>
      <c r="E246" s="8">
        <f>SUMIFS(Ingresos!J:J,Ingresos!D:D,"&gt;="&amp;DATE(C246,B246,1),Ingresos!D:D,"&lt;"&amp;EDATE(DATE(C246,B246,1),1))</f>
        <v/>
      </c>
      <c r="F246" s="8">
        <f>SUMIFS(Egresos!H:H,Egresos!B:B,"&gt;="&amp;DATE(C246,B246,1),Egresos!B:B,"&lt;"&amp;EDATE(DATE(C246,B246,1),1))+SUMIFS(Gastos_Mensuales!H:H,Gastos_Mensuales!B:B,B246,Gastos_Mensuales!C:C,C246)</f>
        <v/>
      </c>
      <c r="G246" s="8">
        <f>SUMIFS(Impuestos!I:I,Impuestos!B:B,B246,Impuestos!C:C,C246)</f>
        <v/>
      </c>
      <c r="H246" s="8">
        <f>D246+E246-F246-G246</f>
        <v/>
      </c>
      <c r="I246" s="2" t="n"/>
    </row>
    <row r="247">
      <c r="A247" s="2" t="n"/>
      <c r="B247" s="2" t="n"/>
      <c r="C247" s="2" t="n"/>
      <c r="D247" s="8" t="n"/>
      <c r="E247" s="8">
        <f>SUMIFS(Ingresos!J:J,Ingresos!D:D,"&gt;="&amp;DATE(C247,B247,1),Ingresos!D:D,"&lt;"&amp;EDATE(DATE(C247,B247,1),1))</f>
        <v/>
      </c>
      <c r="F247" s="8">
        <f>SUMIFS(Egresos!H:H,Egresos!B:B,"&gt;="&amp;DATE(C247,B247,1),Egresos!B:B,"&lt;"&amp;EDATE(DATE(C247,B247,1),1))+SUMIFS(Gastos_Mensuales!H:H,Gastos_Mensuales!B:B,B247,Gastos_Mensuales!C:C,C247)</f>
        <v/>
      </c>
      <c r="G247" s="8">
        <f>SUMIFS(Impuestos!I:I,Impuestos!B:B,B247,Impuestos!C:C,C247)</f>
        <v/>
      </c>
      <c r="H247" s="8">
        <f>D247+E247-F247-G247</f>
        <v/>
      </c>
      <c r="I247" s="2" t="n"/>
    </row>
    <row r="248">
      <c r="A248" s="2" t="n"/>
      <c r="B248" s="2" t="n"/>
      <c r="C248" s="2" t="n"/>
      <c r="D248" s="8" t="n"/>
      <c r="E248" s="8">
        <f>SUMIFS(Ingresos!J:J,Ingresos!D:D,"&gt;="&amp;DATE(C248,B248,1),Ingresos!D:D,"&lt;"&amp;EDATE(DATE(C248,B248,1),1))</f>
        <v/>
      </c>
      <c r="F248" s="8">
        <f>SUMIFS(Egresos!H:H,Egresos!B:B,"&gt;="&amp;DATE(C248,B248,1),Egresos!B:B,"&lt;"&amp;EDATE(DATE(C248,B248,1),1))+SUMIFS(Gastos_Mensuales!H:H,Gastos_Mensuales!B:B,B248,Gastos_Mensuales!C:C,C248)</f>
        <v/>
      </c>
      <c r="G248" s="8">
        <f>SUMIFS(Impuestos!I:I,Impuestos!B:B,B248,Impuestos!C:C,C248)</f>
        <v/>
      </c>
      <c r="H248" s="8">
        <f>D248+E248-F248-G248</f>
        <v/>
      </c>
      <c r="I248" s="2" t="n"/>
    </row>
    <row r="249">
      <c r="A249" s="2" t="n"/>
      <c r="B249" s="2" t="n"/>
      <c r="C249" s="2" t="n"/>
      <c r="D249" s="8" t="n"/>
      <c r="E249" s="8">
        <f>SUMIFS(Ingresos!J:J,Ingresos!D:D,"&gt;="&amp;DATE(C249,B249,1),Ingresos!D:D,"&lt;"&amp;EDATE(DATE(C249,B249,1),1))</f>
        <v/>
      </c>
      <c r="F249" s="8">
        <f>SUMIFS(Egresos!H:H,Egresos!B:B,"&gt;="&amp;DATE(C249,B249,1),Egresos!B:B,"&lt;"&amp;EDATE(DATE(C249,B249,1),1))+SUMIFS(Gastos_Mensuales!H:H,Gastos_Mensuales!B:B,B249,Gastos_Mensuales!C:C,C249)</f>
        <v/>
      </c>
      <c r="G249" s="8">
        <f>SUMIFS(Impuestos!I:I,Impuestos!B:B,B249,Impuestos!C:C,C249)</f>
        <v/>
      </c>
      <c r="H249" s="8">
        <f>D249+E249-F249-G249</f>
        <v/>
      </c>
      <c r="I249" s="2" t="n"/>
    </row>
    <row r="250">
      <c r="A250" s="2" t="n"/>
      <c r="B250" s="2" t="n"/>
      <c r="C250" s="2" t="n"/>
      <c r="D250" s="8" t="n"/>
      <c r="E250" s="8">
        <f>SUMIFS(Ingresos!J:J,Ingresos!D:D,"&gt;="&amp;DATE(C250,B250,1),Ingresos!D:D,"&lt;"&amp;EDATE(DATE(C250,B250,1),1))</f>
        <v/>
      </c>
      <c r="F250" s="8">
        <f>SUMIFS(Egresos!H:H,Egresos!B:B,"&gt;="&amp;DATE(C250,B250,1),Egresos!B:B,"&lt;"&amp;EDATE(DATE(C250,B250,1),1))+SUMIFS(Gastos_Mensuales!H:H,Gastos_Mensuales!B:B,B250,Gastos_Mensuales!C:C,C250)</f>
        <v/>
      </c>
      <c r="G250" s="8">
        <f>SUMIFS(Impuestos!I:I,Impuestos!B:B,B250,Impuestos!C:C,C250)</f>
        <v/>
      </c>
      <c r="H250" s="8">
        <f>D250+E250-F250-G250</f>
        <v/>
      </c>
      <c r="I25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8" customWidth="1" min="3" max="3"/>
    <col width="13" customWidth="1" min="4" max="4"/>
    <col width="11" customWidth="1" min="5" max="5"/>
    <col width="13" customWidth="1" min="6" max="6"/>
    <col width="14" customWidth="1" min="7" max="7"/>
    <col width="14" customWidth="1" min="8" max="8"/>
    <col width="14" customWidth="1" min="9" max="9"/>
    <col width="11" customWidth="1" min="10" max="10"/>
    <col width="19" customWidth="1" min="11" max="11"/>
    <col width="13" customWidth="1" min="12" max="12"/>
    <col width="20" customWidth="1" min="13" max="13"/>
    <col width="15" customWidth="1" min="14" max="14"/>
  </cols>
  <sheetData>
    <row r="1">
      <c r="A1" s="4" t="inlineStr">
        <is>
          <t>ID_Tarea</t>
        </is>
      </c>
      <c r="B1" s="4" t="inlineStr">
        <is>
          <t>Etapa</t>
        </is>
      </c>
      <c r="C1" s="4" t="inlineStr">
        <is>
          <t>Tarea</t>
        </is>
      </c>
      <c r="D1" s="4" t="inlineStr">
        <is>
          <t>Descripcion</t>
        </is>
      </c>
      <c r="E1" s="4" t="inlineStr">
        <is>
          <t>Prioridad</t>
        </is>
      </c>
      <c r="F1" s="4" t="inlineStr">
        <is>
          <t>Responsable</t>
        </is>
      </c>
      <c r="G1" s="4" t="inlineStr">
        <is>
          <t>Fecha_Inicio</t>
        </is>
      </c>
      <c r="H1" s="4" t="inlineStr">
        <is>
          <t>Fecha_Limite</t>
        </is>
      </c>
      <c r="I1" s="4" t="inlineStr">
        <is>
          <t>Fecha_Cierre</t>
        </is>
      </c>
      <c r="J1" s="4" t="inlineStr">
        <is>
          <t>Estado</t>
        </is>
      </c>
      <c r="K1" s="4" t="inlineStr">
        <is>
          <t>Porcentaje_Avance</t>
        </is>
      </c>
      <c r="L1" s="4" t="inlineStr">
        <is>
          <t>Dependencia</t>
        </is>
      </c>
      <c r="M1" s="4" t="inlineStr">
        <is>
          <t>Documento_Asociado</t>
        </is>
      </c>
      <c r="N1" s="4" t="inlineStr">
        <is>
          <t>Observaciones</t>
        </is>
      </c>
    </row>
    <row r="2">
      <c r="A2" s="2" t="inlineStr">
        <is>
          <t>TAR-001</t>
        </is>
      </c>
      <c r="B2" s="2" t="inlineStr">
        <is>
          <t>Formalizacion</t>
        </is>
      </c>
      <c r="C2" s="2" t="inlineStr">
        <is>
          <t>Definir tipo de contribuyente y nombre comercial</t>
        </is>
      </c>
      <c r="D2" s="2" t="inlineStr"/>
      <c r="E2" s="2" t="inlineStr">
        <is>
          <t>Alta</t>
        </is>
      </c>
      <c r="F2" s="2" t="inlineStr"/>
      <c r="G2" s="10" t="inlineStr"/>
      <c r="H2" s="10" t="inlineStr"/>
      <c r="I2" s="10" t="inlineStr"/>
      <c r="J2" s="2" t="inlineStr">
        <is>
          <t>Pendiente</t>
        </is>
      </c>
      <c r="K2" s="11" t="n">
        <v>0</v>
      </c>
      <c r="L2" s="2" t="inlineStr"/>
      <c r="M2" s="2" t="inlineStr"/>
      <c r="N2" s="2" t="inlineStr"/>
    </row>
    <row r="3">
      <c r="A3" s="2" t="inlineStr">
        <is>
          <t>TAR-002</t>
        </is>
      </c>
      <c r="B3" s="2" t="inlineStr">
        <is>
          <t>Compra de equipos</t>
        </is>
      </c>
      <c r="C3" s="2" t="inlineStr">
        <is>
          <t>Cotizar GPS RTK y accesorios</t>
        </is>
      </c>
      <c r="D3" s="2" t="inlineStr"/>
      <c r="E3" s="2" t="inlineStr">
        <is>
          <t>Alta</t>
        </is>
      </c>
      <c r="F3" s="2" t="inlineStr"/>
      <c r="G3" s="10" t="inlineStr"/>
      <c r="H3" s="10" t="inlineStr"/>
      <c r="I3" s="10" t="inlineStr"/>
      <c r="J3" s="2" t="inlineStr">
        <is>
          <t>Pendiente</t>
        </is>
      </c>
      <c r="K3" s="11" t="n">
        <v>0</v>
      </c>
      <c r="L3" s="2" t="inlineStr"/>
      <c r="M3" s="2" t="inlineStr"/>
      <c r="N3" s="2" t="inlineStr"/>
    </row>
    <row r="4">
      <c r="A4" s="2" t="inlineStr">
        <is>
          <t>TAR-003</t>
        </is>
      </c>
      <c r="B4" s="2" t="inlineStr">
        <is>
          <t>Imagen comercial</t>
        </is>
      </c>
      <c r="C4" s="2" t="inlineStr">
        <is>
          <t>Crear dominio, correo y pagina web basica</t>
        </is>
      </c>
      <c r="D4" s="2" t="inlineStr"/>
      <c r="E4" s="2" t="inlineStr">
        <is>
          <t>Alta</t>
        </is>
      </c>
      <c r="F4" s="2" t="inlineStr"/>
      <c r="G4" s="10" t="inlineStr"/>
      <c r="H4" s="10" t="inlineStr"/>
      <c r="I4" s="10" t="inlineStr"/>
      <c r="J4" s="2" t="inlineStr">
        <is>
          <t>Pendiente</t>
        </is>
      </c>
      <c r="K4" s="11" t="n">
        <v>0</v>
      </c>
      <c r="L4" s="2" t="inlineStr"/>
      <c r="M4" s="2" t="inlineStr"/>
      <c r="N4" s="2" t="inlineStr"/>
    </row>
    <row r="5">
      <c r="A5" s="2" t="inlineStr">
        <is>
          <t>TAR-004</t>
        </is>
      </c>
      <c r="B5" s="2" t="inlineStr">
        <is>
          <t>Captacion de clientes</t>
        </is>
      </c>
      <c r="C5" s="2" t="inlineStr">
        <is>
          <t>Armar base inicial de prospectos</t>
        </is>
      </c>
      <c r="D5" s="2" t="inlineStr"/>
      <c r="E5" s="2" t="inlineStr">
        <is>
          <t>Alta</t>
        </is>
      </c>
      <c r="F5" s="2" t="inlineStr"/>
      <c r="G5" s="10" t="inlineStr"/>
      <c r="H5" s="10" t="inlineStr"/>
      <c r="I5" s="10" t="inlineStr"/>
      <c r="J5" s="2" t="inlineStr">
        <is>
          <t>Pendiente</t>
        </is>
      </c>
      <c r="K5" s="11" t="n">
        <v>0</v>
      </c>
      <c r="L5" s="2" t="inlineStr"/>
      <c r="M5" s="2" t="inlineStr"/>
      <c r="N5" s="2" t="inlineStr"/>
    </row>
    <row r="6">
      <c r="A6" s="2" t="inlineStr">
        <is>
          <t>TAR-005</t>
        </is>
      </c>
      <c r="B6" s="2" t="inlineStr">
        <is>
          <t>Primeros proyectos</t>
        </is>
      </c>
      <c r="C6" s="2" t="inlineStr">
        <is>
          <t>Levantar primeras cotizaciones pagadas</t>
        </is>
      </c>
      <c r="D6" s="2" t="inlineStr"/>
      <c r="E6" s="2" t="inlineStr">
        <is>
          <t>Media</t>
        </is>
      </c>
      <c r="F6" s="2" t="inlineStr"/>
      <c r="G6" s="10" t="inlineStr"/>
      <c r="H6" s="10" t="inlineStr"/>
      <c r="I6" s="10" t="inlineStr"/>
      <c r="J6" s="2" t="inlineStr">
        <is>
          <t>Pendiente</t>
        </is>
      </c>
      <c r="K6" s="11" t="n">
        <v>0</v>
      </c>
      <c r="L6" s="2" t="inlineStr"/>
      <c r="M6" s="2" t="inlineStr"/>
      <c r="N6" s="2" t="inlineStr"/>
    </row>
    <row r="7">
      <c r="A7" s="2" t="inlineStr">
        <is>
          <t>TAR-006</t>
        </is>
      </c>
      <c r="B7" s="2" t="inlineStr">
        <is>
          <t>Control financiero</t>
        </is>
      </c>
      <c r="C7" s="2" t="inlineStr">
        <is>
          <t>Registrar ingresos, egresos e impuestos mensuales</t>
        </is>
      </c>
      <c r="D7" s="2" t="inlineStr"/>
      <c r="E7" s="2" t="inlineStr">
        <is>
          <t>Media</t>
        </is>
      </c>
      <c r="F7" s="2" t="inlineStr"/>
      <c r="G7" s="10" t="inlineStr"/>
      <c r="H7" s="10" t="inlineStr"/>
      <c r="I7" s="10" t="inlineStr"/>
      <c r="J7" s="2" t="inlineStr">
        <is>
          <t>Pendiente</t>
        </is>
      </c>
      <c r="K7" s="11" t="n">
        <v>0</v>
      </c>
      <c r="L7" s="2" t="inlineStr"/>
      <c r="M7" s="2" t="inlineStr"/>
      <c r="N7" s="2" t="inlineStr"/>
    </row>
    <row r="8">
      <c r="A8" s="2" t="inlineStr">
        <is>
          <t>TAR-007</t>
        </is>
      </c>
      <c r="B8" s="2" t="inlineStr">
        <is>
          <t>Regularizacion tributaria</t>
        </is>
      </c>
      <c r="C8" s="2" t="inlineStr">
        <is>
          <t>Validar flujo mensual con contador</t>
        </is>
      </c>
      <c r="D8" s="2" t="inlineStr"/>
      <c r="E8" s="2" t="inlineStr">
        <is>
          <t>Media</t>
        </is>
      </c>
      <c r="F8" s="2" t="inlineStr"/>
      <c r="G8" s="10" t="inlineStr"/>
      <c r="H8" s="10" t="inlineStr"/>
      <c r="I8" s="10" t="inlineStr"/>
      <c r="J8" s="2" t="inlineStr">
        <is>
          <t>Pendiente</t>
        </is>
      </c>
      <c r="K8" s="11" t="n">
        <v>0</v>
      </c>
      <c r="L8" s="2" t="inlineStr"/>
      <c r="M8" s="2" t="inlineStr"/>
      <c r="N8" s="2" t="inlineStr"/>
    </row>
    <row r="9">
      <c r="A9" s="2" t="inlineStr">
        <is>
          <t>TAR-008</t>
        </is>
      </c>
      <c r="B9" s="2" t="inlineStr">
        <is>
          <t>Consolidacion urbana</t>
        </is>
      </c>
      <c r="C9" s="2" t="inlineStr">
        <is>
          <t>Estandarizar plantillas de entrega tecnica</t>
        </is>
      </c>
      <c r="D9" s="2" t="inlineStr"/>
      <c r="E9" s="2" t="inlineStr">
        <is>
          <t>Media</t>
        </is>
      </c>
      <c r="F9" s="2" t="inlineStr"/>
      <c r="G9" s="10" t="inlineStr"/>
      <c r="H9" s="10" t="inlineStr"/>
      <c r="I9" s="10" t="inlineStr"/>
      <c r="J9" s="2" t="inlineStr">
        <is>
          <t>Pendiente</t>
        </is>
      </c>
      <c r="K9" s="11" t="n">
        <v>0</v>
      </c>
      <c r="L9" s="2" t="inlineStr"/>
      <c r="M9" s="2" t="inlineStr"/>
      <c r="N9" s="2" t="inlineStr"/>
    </row>
    <row r="10">
      <c r="A10" s="2" t="inlineStr">
        <is>
          <t>TAR-009</t>
        </is>
      </c>
      <c r="B10" s="2" t="inlineStr">
        <is>
          <t>Entrada a mineria</t>
        </is>
      </c>
      <c r="C10" s="2" t="inlineStr">
        <is>
          <t>Diseñar modulo futuro de faenas, HSE y produccion</t>
        </is>
      </c>
      <c r="D10" s="2" t="inlineStr"/>
      <c r="E10" s="2" t="inlineStr">
        <is>
          <t>Media</t>
        </is>
      </c>
      <c r="F10" s="2" t="inlineStr"/>
      <c r="G10" s="10" t="inlineStr"/>
      <c r="H10" s="10" t="inlineStr"/>
      <c r="I10" s="10" t="inlineStr"/>
      <c r="J10" s="2" t="inlineStr">
        <is>
          <t>Pendiente</t>
        </is>
      </c>
      <c r="K10" s="11" t="n">
        <v>0</v>
      </c>
      <c r="L10" s="2" t="inlineStr"/>
      <c r="M10" s="2" t="inlineStr"/>
      <c r="N10" s="2" t="inlineStr"/>
    </row>
    <row r="11">
      <c r="A11" s="2" t="inlineStr">
        <is>
          <t>TAR-010</t>
        </is>
      </c>
      <c r="B11" s="2" t="inlineStr">
        <is>
          <t>Evolucion consultora</t>
        </is>
      </c>
      <c r="C11" s="2" t="inlineStr">
        <is>
          <t>Definir cartera de ingenieria, GIS, QA/QC y BIM</t>
        </is>
      </c>
      <c r="D11" s="2" t="inlineStr"/>
      <c r="E11" s="2" t="inlineStr">
        <is>
          <t>Media</t>
        </is>
      </c>
      <c r="F11" s="2" t="inlineStr"/>
      <c r="G11" s="10" t="inlineStr"/>
      <c r="H11" s="10" t="inlineStr"/>
      <c r="I11" s="10" t="inlineStr"/>
      <c r="J11" s="2" t="inlineStr">
        <is>
          <t>Pendiente</t>
        </is>
      </c>
      <c r="K11" s="11" t="n">
        <v>0</v>
      </c>
      <c r="L11" s="2" t="inlineStr"/>
      <c r="M11" s="2" t="inlineStr"/>
      <c r="N11" s="2" t="inlineStr"/>
    </row>
    <row r="12">
      <c r="A12" s="2" t="n"/>
      <c r="B12" s="2" t="n"/>
      <c r="C12" s="2" t="n"/>
      <c r="D12" s="2" t="n"/>
      <c r="E12" s="2" t="n"/>
      <c r="F12" s="2" t="n"/>
      <c r="G12" s="10" t="n"/>
      <c r="H12" s="10" t="n"/>
      <c r="I12" s="10" t="n"/>
      <c r="J12" s="2" t="n"/>
      <c r="K12" s="11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10" t="n"/>
      <c r="H13" s="10" t="n"/>
      <c r="I13" s="10" t="n"/>
      <c r="J13" s="2" t="n"/>
      <c r="K13" s="11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10" t="n"/>
      <c r="H14" s="10" t="n"/>
      <c r="I14" s="10" t="n"/>
      <c r="J14" s="2" t="n"/>
      <c r="K14" s="11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10" t="n"/>
      <c r="H15" s="10" t="n"/>
      <c r="I15" s="10" t="n"/>
      <c r="J15" s="2" t="n"/>
      <c r="K15" s="11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10" t="n"/>
      <c r="H16" s="10" t="n"/>
      <c r="I16" s="10" t="n"/>
      <c r="J16" s="2" t="n"/>
      <c r="K16" s="11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10" t="n"/>
      <c r="H17" s="10" t="n"/>
      <c r="I17" s="10" t="n"/>
      <c r="J17" s="2" t="n"/>
      <c r="K17" s="11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10" t="n"/>
      <c r="H18" s="10" t="n"/>
      <c r="I18" s="10" t="n"/>
      <c r="J18" s="2" t="n"/>
      <c r="K18" s="11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10" t="n"/>
      <c r="H19" s="10" t="n"/>
      <c r="I19" s="10" t="n"/>
      <c r="J19" s="2" t="n"/>
      <c r="K19" s="11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10" t="n"/>
      <c r="H20" s="10" t="n"/>
      <c r="I20" s="10" t="n"/>
      <c r="J20" s="2" t="n"/>
      <c r="K20" s="11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10" t="n"/>
      <c r="H21" s="10" t="n"/>
      <c r="I21" s="10" t="n"/>
      <c r="J21" s="2" t="n"/>
      <c r="K21" s="11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10" t="n"/>
      <c r="H22" s="10" t="n"/>
      <c r="I22" s="10" t="n"/>
      <c r="J22" s="2" t="n"/>
      <c r="K22" s="11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10" t="n"/>
      <c r="H23" s="10" t="n"/>
      <c r="I23" s="10" t="n"/>
      <c r="J23" s="2" t="n"/>
      <c r="K23" s="11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10" t="n"/>
      <c r="H24" s="10" t="n"/>
      <c r="I24" s="10" t="n"/>
      <c r="J24" s="2" t="n"/>
      <c r="K24" s="11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10" t="n"/>
      <c r="H25" s="10" t="n"/>
      <c r="I25" s="10" t="n"/>
      <c r="J25" s="2" t="n"/>
      <c r="K25" s="11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10" t="n"/>
      <c r="H26" s="10" t="n"/>
      <c r="I26" s="10" t="n"/>
      <c r="J26" s="2" t="n"/>
      <c r="K26" s="11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10" t="n"/>
      <c r="H27" s="10" t="n"/>
      <c r="I27" s="10" t="n"/>
      <c r="J27" s="2" t="n"/>
      <c r="K27" s="11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10" t="n"/>
      <c r="H28" s="10" t="n"/>
      <c r="I28" s="10" t="n"/>
      <c r="J28" s="2" t="n"/>
      <c r="K28" s="11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10" t="n"/>
      <c r="H29" s="10" t="n"/>
      <c r="I29" s="10" t="n"/>
      <c r="J29" s="2" t="n"/>
      <c r="K29" s="11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10" t="n"/>
      <c r="H30" s="10" t="n"/>
      <c r="I30" s="10" t="n"/>
      <c r="J30" s="2" t="n"/>
      <c r="K30" s="11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10" t="n"/>
      <c r="H31" s="10" t="n"/>
      <c r="I31" s="10" t="n"/>
      <c r="J31" s="2" t="n"/>
      <c r="K31" s="11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10" t="n"/>
      <c r="H32" s="10" t="n"/>
      <c r="I32" s="10" t="n"/>
      <c r="J32" s="2" t="n"/>
      <c r="K32" s="11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10" t="n"/>
      <c r="H33" s="10" t="n"/>
      <c r="I33" s="10" t="n"/>
      <c r="J33" s="2" t="n"/>
      <c r="K33" s="11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10" t="n"/>
      <c r="H34" s="10" t="n"/>
      <c r="I34" s="10" t="n"/>
      <c r="J34" s="2" t="n"/>
      <c r="K34" s="11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10" t="n"/>
      <c r="H35" s="10" t="n"/>
      <c r="I35" s="10" t="n"/>
      <c r="J35" s="2" t="n"/>
      <c r="K35" s="11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10" t="n"/>
      <c r="H36" s="10" t="n"/>
      <c r="I36" s="10" t="n"/>
      <c r="J36" s="2" t="n"/>
      <c r="K36" s="11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10" t="n"/>
      <c r="H37" s="10" t="n"/>
      <c r="I37" s="10" t="n"/>
      <c r="J37" s="2" t="n"/>
      <c r="K37" s="11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10" t="n"/>
      <c r="H38" s="10" t="n"/>
      <c r="I38" s="10" t="n"/>
      <c r="J38" s="2" t="n"/>
      <c r="K38" s="11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10" t="n"/>
      <c r="H39" s="10" t="n"/>
      <c r="I39" s="10" t="n"/>
      <c r="J39" s="2" t="n"/>
      <c r="K39" s="11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10" t="n"/>
      <c r="H40" s="10" t="n"/>
      <c r="I40" s="10" t="n"/>
      <c r="J40" s="2" t="n"/>
      <c r="K40" s="11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10" t="n"/>
      <c r="H41" s="10" t="n"/>
      <c r="I41" s="10" t="n"/>
      <c r="J41" s="2" t="n"/>
      <c r="K41" s="11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10" t="n"/>
      <c r="H42" s="10" t="n"/>
      <c r="I42" s="10" t="n"/>
      <c r="J42" s="2" t="n"/>
      <c r="K42" s="11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10" t="n"/>
      <c r="H43" s="10" t="n"/>
      <c r="I43" s="10" t="n"/>
      <c r="J43" s="2" t="n"/>
      <c r="K43" s="11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10" t="n"/>
      <c r="H44" s="10" t="n"/>
      <c r="I44" s="10" t="n"/>
      <c r="J44" s="2" t="n"/>
      <c r="K44" s="11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10" t="n"/>
      <c r="H45" s="10" t="n"/>
      <c r="I45" s="10" t="n"/>
      <c r="J45" s="2" t="n"/>
      <c r="K45" s="11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10" t="n"/>
      <c r="H46" s="10" t="n"/>
      <c r="I46" s="10" t="n"/>
      <c r="J46" s="2" t="n"/>
      <c r="K46" s="11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10" t="n"/>
      <c r="H47" s="10" t="n"/>
      <c r="I47" s="10" t="n"/>
      <c r="J47" s="2" t="n"/>
      <c r="K47" s="11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10" t="n"/>
      <c r="H48" s="10" t="n"/>
      <c r="I48" s="10" t="n"/>
      <c r="J48" s="2" t="n"/>
      <c r="K48" s="11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10" t="n"/>
      <c r="H49" s="10" t="n"/>
      <c r="I49" s="10" t="n"/>
      <c r="J49" s="2" t="n"/>
      <c r="K49" s="11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10" t="n"/>
      <c r="H50" s="10" t="n"/>
      <c r="I50" s="10" t="n"/>
      <c r="J50" s="2" t="n"/>
      <c r="K50" s="11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10" t="n"/>
      <c r="H51" s="10" t="n"/>
      <c r="I51" s="10" t="n"/>
      <c r="J51" s="2" t="n"/>
      <c r="K51" s="11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10" t="n"/>
      <c r="H52" s="10" t="n"/>
      <c r="I52" s="10" t="n"/>
      <c r="J52" s="2" t="n"/>
      <c r="K52" s="11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10" t="n"/>
      <c r="H53" s="10" t="n"/>
      <c r="I53" s="10" t="n"/>
      <c r="J53" s="2" t="n"/>
      <c r="K53" s="11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10" t="n"/>
      <c r="H54" s="10" t="n"/>
      <c r="I54" s="10" t="n"/>
      <c r="J54" s="2" t="n"/>
      <c r="K54" s="11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10" t="n"/>
      <c r="H55" s="10" t="n"/>
      <c r="I55" s="10" t="n"/>
      <c r="J55" s="2" t="n"/>
      <c r="K55" s="11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10" t="n"/>
      <c r="H56" s="10" t="n"/>
      <c r="I56" s="10" t="n"/>
      <c r="J56" s="2" t="n"/>
      <c r="K56" s="11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10" t="n"/>
      <c r="H57" s="10" t="n"/>
      <c r="I57" s="10" t="n"/>
      <c r="J57" s="2" t="n"/>
      <c r="K57" s="11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10" t="n"/>
      <c r="H58" s="10" t="n"/>
      <c r="I58" s="10" t="n"/>
      <c r="J58" s="2" t="n"/>
      <c r="K58" s="11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10" t="n"/>
      <c r="H59" s="10" t="n"/>
      <c r="I59" s="10" t="n"/>
      <c r="J59" s="2" t="n"/>
      <c r="K59" s="11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10" t="n"/>
      <c r="H60" s="10" t="n"/>
      <c r="I60" s="10" t="n"/>
      <c r="J60" s="2" t="n"/>
      <c r="K60" s="11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10" t="n"/>
      <c r="H61" s="10" t="n"/>
      <c r="I61" s="10" t="n"/>
      <c r="J61" s="2" t="n"/>
      <c r="K61" s="11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10" t="n"/>
      <c r="H62" s="10" t="n"/>
      <c r="I62" s="10" t="n"/>
      <c r="J62" s="2" t="n"/>
      <c r="K62" s="11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10" t="n"/>
      <c r="H63" s="10" t="n"/>
      <c r="I63" s="10" t="n"/>
      <c r="J63" s="2" t="n"/>
      <c r="K63" s="11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10" t="n"/>
      <c r="H64" s="10" t="n"/>
      <c r="I64" s="10" t="n"/>
      <c r="J64" s="2" t="n"/>
      <c r="K64" s="11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10" t="n"/>
      <c r="H65" s="10" t="n"/>
      <c r="I65" s="10" t="n"/>
      <c r="J65" s="2" t="n"/>
      <c r="K65" s="11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10" t="n"/>
      <c r="H66" s="10" t="n"/>
      <c r="I66" s="10" t="n"/>
      <c r="J66" s="2" t="n"/>
      <c r="K66" s="11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10" t="n"/>
      <c r="H67" s="10" t="n"/>
      <c r="I67" s="10" t="n"/>
      <c r="J67" s="2" t="n"/>
      <c r="K67" s="11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10" t="n"/>
      <c r="H68" s="10" t="n"/>
      <c r="I68" s="10" t="n"/>
      <c r="J68" s="2" t="n"/>
      <c r="K68" s="11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10" t="n"/>
      <c r="H69" s="10" t="n"/>
      <c r="I69" s="10" t="n"/>
      <c r="J69" s="2" t="n"/>
      <c r="K69" s="11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10" t="n"/>
      <c r="H70" s="10" t="n"/>
      <c r="I70" s="10" t="n"/>
      <c r="J70" s="2" t="n"/>
      <c r="K70" s="11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10" t="n"/>
      <c r="H71" s="10" t="n"/>
      <c r="I71" s="10" t="n"/>
      <c r="J71" s="2" t="n"/>
      <c r="K71" s="11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10" t="n"/>
      <c r="H72" s="10" t="n"/>
      <c r="I72" s="10" t="n"/>
      <c r="J72" s="2" t="n"/>
      <c r="K72" s="11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10" t="n"/>
      <c r="H73" s="10" t="n"/>
      <c r="I73" s="10" t="n"/>
      <c r="J73" s="2" t="n"/>
      <c r="K73" s="11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10" t="n"/>
      <c r="H74" s="10" t="n"/>
      <c r="I74" s="10" t="n"/>
      <c r="J74" s="2" t="n"/>
      <c r="K74" s="11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10" t="n"/>
      <c r="H75" s="10" t="n"/>
      <c r="I75" s="10" t="n"/>
      <c r="J75" s="2" t="n"/>
      <c r="K75" s="11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10" t="n"/>
      <c r="H76" s="10" t="n"/>
      <c r="I76" s="10" t="n"/>
      <c r="J76" s="2" t="n"/>
      <c r="K76" s="11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10" t="n"/>
      <c r="H77" s="10" t="n"/>
      <c r="I77" s="10" t="n"/>
      <c r="J77" s="2" t="n"/>
      <c r="K77" s="11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10" t="n"/>
      <c r="H78" s="10" t="n"/>
      <c r="I78" s="10" t="n"/>
      <c r="J78" s="2" t="n"/>
      <c r="K78" s="11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10" t="n"/>
      <c r="H79" s="10" t="n"/>
      <c r="I79" s="10" t="n"/>
      <c r="J79" s="2" t="n"/>
      <c r="K79" s="11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10" t="n"/>
      <c r="H80" s="10" t="n"/>
      <c r="I80" s="10" t="n"/>
      <c r="J80" s="2" t="n"/>
      <c r="K80" s="11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10" t="n"/>
      <c r="H81" s="10" t="n"/>
      <c r="I81" s="10" t="n"/>
      <c r="J81" s="2" t="n"/>
      <c r="K81" s="11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10" t="n"/>
      <c r="H82" s="10" t="n"/>
      <c r="I82" s="10" t="n"/>
      <c r="J82" s="2" t="n"/>
      <c r="K82" s="11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10" t="n"/>
      <c r="H83" s="10" t="n"/>
      <c r="I83" s="10" t="n"/>
      <c r="J83" s="2" t="n"/>
      <c r="K83" s="11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10" t="n"/>
      <c r="H84" s="10" t="n"/>
      <c r="I84" s="10" t="n"/>
      <c r="J84" s="2" t="n"/>
      <c r="K84" s="11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10" t="n"/>
      <c r="H85" s="10" t="n"/>
      <c r="I85" s="10" t="n"/>
      <c r="J85" s="2" t="n"/>
      <c r="K85" s="11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10" t="n"/>
      <c r="H86" s="10" t="n"/>
      <c r="I86" s="10" t="n"/>
      <c r="J86" s="2" t="n"/>
      <c r="K86" s="11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10" t="n"/>
      <c r="H87" s="10" t="n"/>
      <c r="I87" s="10" t="n"/>
      <c r="J87" s="2" t="n"/>
      <c r="K87" s="11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10" t="n"/>
      <c r="H88" s="10" t="n"/>
      <c r="I88" s="10" t="n"/>
      <c r="J88" s="2" t="n"/>
      <c r="K88" s="11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10" t="n"/>
      <c r="H89" s="10" t="n"/>
      <c r="I89" s="10" t="n"/>
      <c r="J89" s="2" t="n"/>
      <c r="K89" s="11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10" t="n"/>
      <c r="H90" s="10" t="n"/>
      <c r="I90" s="10" t="n"/>
      <c r="J90" s="2" t="n"/>
      <c r="K90" s="11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10" t="n"/>
      <c r="H91" s="10" t="n"/>
      <c r="I91" s="10" t="n"/>
      <c r="J91" s="2" t="n"/>
      <c r="K91" s="11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10" t="n"/>
      <c r="H92" s="10" t="n"/>
      <c r="I92" s="10" t="n"/>
      <c r="J92" s="2" t="n"/>
      <c r="K92" s="11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10" t="n"/>
      <c r="H93" s="10" t="n"/>
      <c r="I93" s="10" t="n"/>
      <c r="J93" s="2" t="n"/>
      <c r="K93" s="11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10" t="n"/>
      <c r="H94" s="10" t="n"/>
      <c r="I94" s="10" t="n"/>
      <c r="J94" s="2" t="n"/>
      <c r="K94" s="11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10" t="n"/>
      <c r="H95" s="10" t="n"/>
      <c r="I95" s="10" t="n"/>
      <c r="J95" s="2" t="n"/>
      <c r="K95" s="11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10" t="n"/>
      <c r="H96" s="10" t="n"/>
      <c r="I96" s="10" t="n"/>
      <c r="J96" s="2" t="n"/>
      <c r="K96" s="11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10" t="n"/>
      <c r="H97" s="10" t="n"/>
      <c r="I97" s="10" t="n"/>
      <c r="J97" s="2" t="n"/>
      <c r="K97" s="11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10" t="n"/>
      <c r="H98" s="10" t="n"/>
      <c r="I98" s="10" t="n"/>
      <c r="J98" s="2" t="n"/>
      <c r="K98" s="11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10" t="n"/>
      <c r="H99" s="10" t="n"/>
      <c r="I99" s="10" t="n"/>
      <c r="J99" s="2" t="n"/>
      <c r="K99" s="11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10" t="n"/>
      <c r="H100" s="10" t="n"/>
      <c r="I100" s="10" t="n"/>
      <c r="J100" s="2" t="n"/>
      <c r="K100" s="11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10" t="n"/>
      <c r="H101" s="10" t="n"/>
      <c r="I101" s="10" t="n"/>
      <c r="J101" s="2" t="n"/>
      <c r="K101" s="11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10" t="n"/>
      <c r="H102" s="10" t="n"/>
      <c r="I102" s="10" t="n"/>
      <c r="J102" s="2" t="n"/>
      <c r="K102" s="11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10" t="n"/>
      <c r="H103" s="10" t="n"/>
      <c r="I103" s="10" t="n"/>
      <c r="J103" s="2" t="n"/>
      <c r="K103" s="11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10" t="n"/>
      <c r="H104" s="10" t="n"/>
      <c r="I104" s="10" t="n"/>
      <c r="J104" s="2" t="n"/>
      <c r="K104" s="11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10" t="n"/>
      <c r="H105" s="10" t="n"/>
      <c r="I105" s="10" t="n"/>
      <c r="J105" s="2" t="n"/>
      <c r="K105" s="11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10" t="n"/>
      <c r="H106" s="10" t="n"/>
      <c r="I106" s="10" t="n"/>
      <c r="J106" s="2" t="n"/>
      <c r="K106" s="11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10" t="n"/>
      <c r="H107" s="10" t="n"/>
      <c r="I107" s="10" t="n"/>
      <c r="J107" s="2" t="n"/>
      <c r="K107" s="11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10" t="n"/>
      <c r="H108" s="10" t="n"/>
      <c r="I108" s="10" t="n"/>
      <c r="J108" s="2" t="n"/>
      <c r="K108" s="11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10" t="n"/>
      <c r="H109" s="10" t="n"/>
      <c r="I109" s="10" t="n"/>
      <c r="J109" s="2" t="n"/>
      <c r="K109" s="11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10" t="n"/>
      <c r="H110" s="10" t="n"/>
      <c r="I110" s="10" t="n"/>
      <c r="J110" s="2" t="n"/>
      <c r="K110" s="11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10" t="n"/>
      <c r="H111" s="10" t="n"/>
      <c r="I111" s="10" t="n"/>
      <c r="J111" s="2" t="n"/>
      <c r="K111" s="11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10" t="n"/>
      <c r="H112" s="10" t="n"/>
      <c r="I112" s="10" t="n"/>
      <c r="J112" s="2" t="n"/>
      <c r="K112" s="11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10" t="n"/>
      <c r="H113" s="10" t="n"/>
      <c r="I113" s="10" t="n"/>
      <c r="J113" s="2" t="n"/>
      <c r="K113" s="11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10" t="n"/>
      <c r="H114" s="10" t="n"/>
      <c r="I114" s="10" t="n"/>
      <c r="J114" s="2" t="n"/>
      <c r="K114" s="11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10" t="n"/>
      <c r="H115" s="10" t="n"/>
      <c r="I115" s="10" t="n"/>
      <c r="J115" s="2" t="n"/>
      <c r="K115" s="11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10" t="n"/>
      <c r="H116" s="10" t="n"/>
      <c r="I116" s="10" t="n"/>
      <c r="J116" s="2" t="n"/>
      <c r="K116" s="11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10" t="n"/>
      <c r="H117" s="10" t="n"/>
      <c r="I117" s="10" t="n"/>
      <c r="J117" s="2" t="n"/>
      <c r="K117" s="11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10" t="n"/>
      <c r="H118" s="10" t="n"/>
      <c r="I118" s="10" t="n"/>
      <c r="J118" s="2" t="n"/>
      <c r="K118" s="11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10" t="n"/>
      <c r="H119" s="10" t="n"/>
      <c r="I119" s="10" t="n"/>
      <c r="J119" s="2" t="n"/>
      <c r="K119" s="11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10" t="n"/>
      <c r="H120" s="10" t="n"/>
      <c r="I120" s="10" t="n"/>
      <c r="J120" s="2" t="n"/>
      <c r="K120" s="11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10" t="n"/>
      <c r="H121" s="10" t="n"/>
      <c r="I121" s="10" t="n"/>
      <c r="J121" s="2" t="n"/>
      <c r="K121" s="11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10" t="n"/>
      <c r="H122" s="10" t="n"/>
      <c r="I122" s="10" t="n"/>
      <c r="J122" s="2" t="n"/>
      <c r="K122" s="11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10" t="n"/>
      <c r="H123" s="10" t="n"/>
      <c r="I123" s="10" t="n"/>
      <c r="J123" s="2" t="n"/>
      <c r="K123" s="11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10" t="n"/>
      <c r="H124" s="10" t="n"/>
      <c r="I124" s="10" t="n"/>
      <c r="J124" s="2" t="n"/>
      <c r="K124" s="11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10" t="n"/>
      <c r="H125" s="10" t="n"/>
      <c r="I125" s="10" t="n"/>
      <c r="J125" s="2" t="n"/>
      <c r="K125" s="11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10" t="n"/>
      <c r="H126" s="10" t="n"/>
      <c r="I126" s="10" t="n"/>
      <c r="J126" s="2" t="n"/>
      <c r="K126" s="11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10" t="n"/>
      <c r="H127" s="10" t="n"/>
      <c r="I127" s="10" t="n"/>
      <c r="J127" s="2" t="n"/>
      <c r="K127" s="11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10" t="n"/>
      <c r="H128" s="10" t="n"/>
      <c r="I128" s="10" t="n"/>
      <c r="J128" s="2" t="n"/>
      <c r="K128" s="11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10" t="n"/>
      <c r="H129" s="10" t="n"/>
      <c r="I129" s="10" t="n"/>
      <c r="J129" s="2" t="n"/>
      <c r="K129" s="11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10" t="n"/>
      <c r="H130" s="10" t="n"/>
      <c r="I130" s="10" t="n"/>
      <c r="J130" s="2" t="n"/>
      <c r="K130" s="11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10" t="n"/>
      <c r="H131" s="10" t="n"/>
      <c r="I131" s="10" t="n"/>
      <c r="J131" s="2" t="n"/>
      <c r="K131" s="11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10" t="n"/>
      <c r="H132" s="10" t="n"/>
      <c r="I132" s="10" t="n"/>
      <c r="J132" s="2" t="n"/>
      <c r="K132" s="11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10" t="n"/>
      <c r="H133" s="10" t="n"/>
      <c r="I133" s="10" t="n"/>
      <c r="J133" s="2" t="n"/>
      <c r="K133" s="11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10" t="n"/>
      <c r="H134" s="10" t="n"/>
      <c r="I134" s="10" t="n"/>
      <c r="J134" s="2" t="n"/>
      <c r="K134" s="11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10" t="n"/>
      <c r="H135" s="10" t="n"/>
      <c r="I135" s="10" t="n"/>
      <c r="J135" s="2" t="n"/>
      <c r="K135" s="11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10" t="n"/>
      <c r="H136" s="10" t="n"/>
      <c r="I136" s="10" t="n"/>
      <c r="J136" s="2" t="n"/>
      <c r="K136" s="11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10" t="n"/>
      <c r="H137" s="10" t="n"/>
      <c r="I137" s="10" t="n"/>
      <c r="J137" s="2" t="n"/>
      <c r="K137" s="11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10" t="n"/>
      <c r="H138" s="10" t="n"/>
      <c r="I138" s="10" t="n"/>
      <c r="J138" s="2" t="n"/>
      <c r="K138" s="11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10" t="n"/>
      <c r="H139" s="10" t="n"/>
      <c r="I139" s="10" t="n"/>
      <c r="J139" s="2" t="n"/>
      <c r="K139" s="11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10" t="n"/>
      <c r="H140" s="10" t="n"/>
      <c r="I140" s="10" t="n"/>
      <c r="J140" s="2" t="n"/>
      <c r="K140" s="11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10" t="n"/>
      <c r="H141" s="10" t="n"/>
      <c r="I141" s="10" t="n"/>
      <c r="J141" s="2" t="n"/>
      <c r="K141" s="11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10" t="n"/>
      <c r="H142" s="10" t="n"/>
      <c r="I142" s="10" t="n"/>
      <c r="J142" s="2" t="n"/>
      <c r="K142" s="11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10" t="n"/>
      <c r="H143" s="10" t="n"/>
      <c r="I143" s="10" t="n"/>
      <c r="J143" s="2" t="n"/>
      <c r="K143" s="11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10" t="n"/>
      <c r="H144" s="10" t="n"/>
      <c r="I144" s="10" t="n"/>
      <c r="J144" s="2" t="n"/>
      <c r="K144" s="11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10" t="n"/>
      <c r="H145" s="10" t="n"/>
      <c r="I145" s="10" t="n"/>
      <c r="J145" s="2" t="n"/>
      <c r="K145" s="11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10" t="n"/>
      <c r="H146" s="10" t="n"/>
      <c r="I146" s="10" t="n"/>
      <c r="J146" s="2" t="n"/>
      <c r="K146" s="11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10" t="n"/>
      <c r="H147" s="10" t="n"/>
      <c r="I147" s="10" t="n"/>
      <c r="J147" s="2" t="n"/>
      <c r="K147" s="11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10" t="n"/>
      <c r="H148" s="10" t="n"/>
      <c r="I148" s="10" t="n"/>
      <c r="J148" s="2" t="n"/>
      <c r="K148" s="11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10" t="n"/>
      <c r="H149" s="10" t="n"/>
      <c r="I149" s="10" t="n"/>
      <c r="J149" s="2" t="n"/>
      <c r="K149" s="11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10" t="n"/>
      <c r="H150" s="10" t="n"/>
      <c r="I150" s="10" t="n"/>
      <c r="J150" s="2" t="n"/>
      <c r="K150" s="11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10" t="n"/>
      <c r="H151" s="10" t="n"/>
      <c r="I151" s="10" t="n"/>
      <c r="J151" s="2" t="n"/>
      <c r="K151" s="11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10" t="n"/>
      <c r="H152" s="10" t="n"/>
      <c r="I152" s="10" t="n"/>
      <c r="J152" s="2" t="n"/>
      <c r="K152" s="11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10" t="n"/>
      <c r="H153" s="10" t="n"/>
      <c r="I153" s="10" t="n"/>
      <c r="J153" s="2" t="n"/>
      <c r="K153" s="11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10" t="n"/>
      <c r="H154" s="10" t="n"/>
      <c r="I154" s="10" t="n"/>
      <c r="J154" s="2" t="n"/>
      <c r="K154" s="11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10" t="n"/>
      <c r="H155" s="10" t="n"/>
      <c r="I155" s="10" t="n"/>
      <c r="J155" s="2" t="n"/>
      <c r="K155" s="11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10" t="n"/>
      <c r="H156" s="10" t="n"/>
      <c r="I156" s="10" t="n"/>
      <c r="J156" s="2" t="n"/>
      <c r="K156" s="11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10" t="n"/>
      <c r="H157" s="10" t="n"/>
      <c r="I157" s="10" t="n"/>
      <c r="J157" s="2" t="n"/>
      <c r="K157" s="11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10" t="n"/>
      <c r="H158" s="10" t="n"/>
      <c r="I158" s="10" t="n"/>
      <c r="J158" s="2" t="n"/>
      <c r="K158" s="11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10" t="n"/>
      <c r="H159" s="10" t="n"/>
      <c r="I159" s="10" t="n"/>
      <c r="J159" s="2" t="n"/>
      <c r="K159" s="11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10" t="n"/>
      <c r="H160" s="10" t="n"/>
      <c r="I160" s="10" t="n"/>
      <c r="J160" s="2" t="n"/>
      <c r="K160" s="11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10" t="n"/>
      <c r="H161" s="10" t="n"/>
      <c r="I161" s="10" t="n"/>
      <c r="J161" s="2" t="n"/>
      <c r="K161" s="11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10" t="n"/>
      <c r="H162" s="10" t="n"/>
      <c r="I162" s="10" t="n"/>
      <c r="J162" s="2" t="n"/>
      <c r="K162" s="11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10" t="n"/>
      <c r="H163" s="10" t="n"/>
      <c r="I163" s="10" t="n"/>
      <c r="J163" s="2" t="n"/>
      <c r="K163" s="11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10" t="n"/>
      <c r="H164" s="10" t="n"/>
      <c r="I164" s="10" t="n"/>
      <c r="J164" s="2" t="n"/>
      <c r="K164" s="11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10" t="n"/>
      <c r="H165" s="10" t="n"/>
      <c r="I165" s="10" t="n"/>
      <c r="J165" s="2" t="n"/>
      <c r="K165" s="11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10" t="n"/>
      <c r="H166" s="10" t="n"/>
      <c r="I166" s="10" t="n"/>
      <c r="J166" s="2" t="n"/>
      <c r="K166" s="11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10" t="n"/>
      <c r="H167" s="10" t="n"/>
      <c r="I167" s="10" t="n"/>
      <c r="J167" s="2" t="n"/>
      <c r="K167" s="11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10" t="n"/>
      <c r="H168" s="10" t="n"/>
      <c r="I168" s="10" t="n"/>
      <c r="J168" s="2" t="n"/>
      <c r="K168" s="11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10" t="n"/>
      <c r="H169" s="10" t="n"/>
      <c r="I169" s="10" t="n"/>
      <c r="J169" s="2" t="n"/>
      <c r="K169" s="11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10" t="n"/>
      <c r="H170" s="10" t="n"/>
      <c r="I170" s="10" t="n"/>
      <c r="J170" s="2" t="n"/>
      <c r="K170" s="11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10" t="n"/>
      <c r="H171" s="10" t="n"/>
      <c r="I171" s="10" t="n"/>
      <c r="J171" s="2" t="n"/>
      <c r="K171" s="11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10" t="n"/>
      <c r="H172" s="10" t="n"/>
      <c r="I172" s="10" t="n"/>
      <c r="J172" s="2" t="n"/>
      <c r="K172" s="11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10" t="n"/>
      <c r="H173" s="10" t="n"/>
      <c r="I173" s="10" t="n"/>
      <c r="J173" s="2" t="n"/>
      <c r="K173" s="11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10" t="n"/>
      <c r="H174" s="10" t="n"/>
      <c r="I174" s="10" t="n"/>
      <c r="J174" s="2" t="n"/>
      <c r="K174" s="11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10" t="n"/>
      <c r="H175" s="10" t="n"/>
      <c r="I175" s="10" t="n"/>
      <c r="J175" s="2" t="n"/>
      <c r="K175" s="11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10" t="n"/>
      <c r="H176" s="10" t="n"/>
      <c r="I176" s="10" t="n"/>
      <c r="J176" s="2" t="n"/>
      <c r="K176" s="11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10" t="n"/>
      <c r="H177" s="10" t="n"/>
      <c r="I177" s="10" t="n"/>
      <c r="J177" s="2" t="n"/>
      <c r="K177" s="11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10" t="n"/>
      <c r="H178" s="10" t="n"/>
      <c r="I178" s="10" t="n"/>
      <c r="J178" s="2" t="n"/>
      <c r="K178" s="11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10" t="n"/>
      <c r="H179" s="10" t="n"/>
      <c r="I179" s="10" t="n"/>
      <c r="J179" s="2" t="n"/>
      <c r="K179" s="11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10" t="n"/>
      <c r="H180" s="10" t="n"/>
      <c r="I180" s="10" t="n"/>
      <c r="J180" s="2" t="n"/>
      <c r="K180" s="11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10" t="n"/>
      <c r="H181" s="10" t="n"/>
      <c r="I181" s="10" t="n"/>
      <c r="J181" s="2" t="n"/>
      <c r="K181" s="11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10" t="n"/>
      <c r="H182" s="10" t="n"/>
      <c r="I182" s="10" t="n"/>
      <c r="J182" s="2" t="n"/>
      <c r="K182" s="11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10" t="n"/>
      <c r="H183" s="10" t="n"/>
      <c r="I183" s="10" t="n"/>
      <c r="J183" s="2" t="n"/>
      <c r="K183" s="11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10" t="n"/>
      <c r="H184" s="10" t="n"/>
      <c r="I184" s="10" t="n"/>
      <c r="J184" s="2" t="n"/>
      <c r="K184" s="11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10" t="n"/>
      <c r="H185" s="10" t="n"/>
      <c r="I185" s="10" t="n"/>
      <c r="J185" s="2" t="n"/>
      <c r="K185" s="11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10" t="n"/>
      <c r="H186" s="10" t="n"/>
      <c r="I186" s="10" t="n"/>
      <c r="J186" s="2" t="n"/>
      <c r="K186" s="11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10" t="n"/>
      <c r="H187" s="10" t="n"/>
      <c r="I187" s="10" t="n"/>
      <c r="J187" s="2" t="n"/>
      <c r="K187" s="11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10" t="n"/>
      <c r="H188" s="10" t="n"/>
      <c r="I188" s="10" t="n"/>
      <c r="J188" s="2" t="n"/>
      <c r="K188" s="11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10" t="n"/>
      <c r="H189" s="10" t="n"/>
      <c r="I189" s="10" t="n"/>
      <c r="J189" s="2" t="n"/>
      <c r="K189" s="11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10" t="n"/>
      <c r="H190" s="10" t="n"/>
      <c r="I190" s="10" t="n"/>
      <c r="J190" s="2" t="n"/>
      <c r="K190" s="11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10" t="n"/>
      <c r="H191" s="10" t="n"/>
      <c r="I191" s="10" t="n"/>
      <c r="J191" s="2" t="n"/>
      <c r="K191" s="11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10" t="n"/>
      <c r="H192" s="10" t="n"/>
      <c r="I192" s="10" t="n"/>
      <c r="J192" s="2" t="n"/>
      <c r="K192" s="11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10" t="n"/>
      <c r="H193" s="10" t="n"/>
      <c r="I193" s="10" t="n"/>
      <c r="J193" s="2" t="n"/>
      <c r="K193" s="11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10" t="n"/>
      <c r="H194" s="10" t="n"/>
      <c r="I194" s="10" t="n"/>
      <c r="J194" s="2" t="n"/>
      <c r="K194" s="11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10" t="n"/>
      <c r="H195" s="10" t="n"/>
      <c r="I195" s="10" t="n"/>
      <c r="J195" s="2" t="n"/>
      <c r="K195" s="11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10" t="n"/>
      <c r="H196" s="10" t="n"/>
      <c r="I196" s="10" t="n"/>
      <c r="J196" s="2" t="n"/>
      <c r="K196" s="11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10" t="n"/>
      <c r="H197" s="10" t="n"/>
      <c r="I197" s="10" t="n"/>
      <c r="J197" s="2" t="n"/>
      <c r="K197" s="11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10" t="n"/>
      <c r="H198" s="10" t="n"/>
      <c r="I198" s="10" t="n"/>
      <c r="J198" s="2" t="n"/>
      <c r="K198" s="11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10" t="n"/>
      <c r="H199" s="10" t="n"/>
      <c r="I199" s="10" t="n"/>
      <c r="J199" s="2" t="n"/>
      <c r="K199" s="11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10" t="n"/>
      <c r="H200" s="10" t="n"/>
      <c r="I200" s="10" t="n"/>
      <c r="J200" s="2" t="n"/>
      <c r="K200" s="11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10" t="n"/>
      <c r="H201" s="10" t="n"/>
      <c r="I201" s="10" t="n"/>
      <c r="J201" s="2" t="n"/>
      <c r="K201" s="11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10" t="n"/>
      <c r="H202" s="10" t="n"/>
      <c r="I202" s="10" t="n"/>
      <c r="J202" s="2" t="n"/>
      <c r="K202" s="11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10" t="n"/>
      <c r="H203" s="10" t="n"/>
      <c r="I203" s="10" t="n"/>
      <c r="J203" s="2" t="n"/>
      <c r="K203" s="11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10" t="n"/>
      <c r="H204" s="10" t="n"/>
      <c r="I204" s="10" t="n"/>
      <c r="J204" s="2" t="n"/>
      <c r="K204" s="11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10" t="n"/>
      <c r="H205" s="10" t="n"/>
      <c r="I205" s="10" t="n"/>
      <c r="J205" s="2" t="n"/>
      <c r="K205" s="11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10" t="n"/>
      <c r="H206" s="10" t="n"/>
      <c r="I206" s="10" t="n"/>
      <c r="J206" s="2" t="n"/>
      <c r="K206" s="11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10" t="n"/>
      <c r="H207" s="10" t="n"/>
      <c r="I207" s="10" t="n"/>
      <c r="J207" s="2" t="n"/>
      <c r="K207" s="11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10" t="n"/>
      <c r="H208" s="10" t="n"/>
      <c r="I208" s="10" t="n"/>
      <c r="J208" s="2" t="n"/>
      <c r="K208" s="11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10" t="n"/>
      <c r="H209" s="10" t="n"/>
      <c r="I209" s="10" t="n"/>
      <c r="J209" s="2" t="n"/>
      <c r="K209" s="11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10" t="n"/>
      <c r="H210" s="10" t="n"/>
      <c r="I210" s="10" t="n"/>
      <c r="J210" s="2" t="n"/>
      <c r="K210" s="11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10" t="n"/>
      <c r="H211" s="10" t="n"/>
      <c r="I211" s="10" t="n"/>
      <c r="J211" s="2" t="n"/>
      <c r="K211" s="11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10" t="n"/>
      <c r="H212" s="10" t="n"/>
      <c r="I212" s="10" t="n"/>
      <c r="J212" s="2" t="n"/>
      <c r="K212" s="11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10" t="n"/>
      <c r="H213" s="10" t="n"/>
      <c r="I213" s="10" t="n"/>
      <c r="J213" s="2" t="n"/>
      <c r="K213" s="11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10" t="n"/>
      <c r="H214" s="10" t="n"/>
      <c r="I214" s="10" t="n"/>
      <c r="J214" s="2" t="n"/>
      <c r="K214" s="11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10" t="n"/>
      <c r="H215" s="10" t="n"/>
      <c r="I215" s="10" t="n"/>
      <c r="J215" s="2" t="n"/>
      <c r="K215" s="11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10" t="n"/>
      <c r="H216" s="10" t="n"/>
      <c r="I216" s="10" t="n"/>
      <c r="J216" s="2" t="n"/>
      <c r="K216" s="11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10" t="n"/>
      <c r="H217" s="10" t="n"/>
      <c r="I217" s="10" t="n"/>
      <c r="J217" s="2" t="n"/>
      <c r="K217" s="11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10" t="n"/>
      <c r="H218" s="10" t="n"/>
      <c r="I218" s="10" t="n"/>
      <c r="J218" s="2" t="n"/>
      <c r="K218" s="11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10" t="n"/>
      <c r="H219" s="10" t="n"/>
      <c r="I219" s="10" t="n"/>
      <c r="J219" s="2" t="n"/>
      <c r="K219" s="11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10" t="n"/>
      <c r="H220" s="10" t="n"/>
      <c r="I220" s="10" t="n"/>
      <c r="J220" s="2" t="n"/>
      <c r="K220" s="11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10" t="n"/>
      <c r="H221" s="10" t="n"/>
      <c r="I221" s="10" t="n"/>
      <c r="J221" s="2" t="n"/>
      <c r="K221" s="11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10" t="n"/>
      <c r="H222" s="10" t="n"/>
      <c r="I222" s="10" t="n"/>
      <c r="J222" s="2" t="n"/>
      <c r="K222" s="11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10" t="n"/>
      <c r="H223" s="10" t="n"/>
      <c r="I223" s="10" t="n"/>
      <c r="J223" s="2" t="n"/>
      <c r="K223" s="11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10" t="n"/>
      <c r="H224" s="10" t="n"/>
      <c r="I224" s="10" t="n"/>
      <c r="J224" s="2" t="n"/>
      <c r="K224" s="11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10" t="n"/>
      <c r="H225" s="10" t="n"/>
      <c r="I225" s="10" t="n"/>
      <c r="J225" s="2" t="n"/>
      <c r="K225" s="11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10" t="n"/>
      <c r="H226" s="10" t="n"/>
      <c r="I226" s="10" t="n"/>
      <c r="J226" s="2" t="n"/>
      <c r="K226" s="11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10" t="n"/>
      <c r="H227" s="10" t="n"/>
      <c r="I227" s="10" t="n"/>
      <c r="J227" s="2" t="n"/>
      <c r="K227" s="11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10" t="n"/>
      <c r="H228" s="10" t="n"/>
      <c r="I228" s="10" t="n"/>
      <c r="J228" s="2" t="n"/>
      <c r="K228" s="11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10" t="n"/>
      <c r="H229" s="10" t="n"/>
      <c r="I229" s="10" t="n"/>
      <c r="J229" s="2" t="n"/>
      <c r="K229" s="11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10" t="n"/>
      <c r="H230" s="10" t="n"/>
      <c r="I230" s="10" t="n"/>
      <c r="J230" s="2" t="n"/>
      <c r="K230" s="11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10" t="n"/>
      <c r="H231" s="10" t="n"/>
      <c r="I231" s="10" t="n"/>
      <c r="J231" s="2" t="n"/>
      <c r="K231" s="11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10" t="n"/>
      <c r="H232" s="10" t="n"/>
      <c r="I232" s="10" t="n"/>
      <c r="J232" s="2" t="n"/>
      <c r="K232" s="11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10" t="n"/>
      <c r="H233" s="10" t="n"/>
      <c r="I233" s="10" t="n"/>
      <c r="J233" s="2" t="n"/>
      <c r="K233" s="11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10" t="n"/>
      <c r="H234" s="10" t="n"/>
      <c r="I234" s="10" t="n"/>
      <c r="J234" s="2" t="n"/>
      <c r="K234" s="11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10" t="n"/>
      <c r="H235" s="10" t="n"/>
      <c r="I235" s="10" t="n"/>
      <c r="J235" s="2" t="n"/>
      <c r="K235" s="11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10" t="n"/>
      <c r="H236" s="10" t="n"/>
      <c r="I236" s="10" t="n"/>
      <c r="J236" s="2" t="n"/>
      <c r="K236" s="11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10" t="n"/>
      <c r="H237" s="10" t="n"/>
      <c r="I237" s="10" t="n"/>
      <c r="J237" s="2" t="n"/>
      <c r="K237" s="11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10" t="n"/>
      <c r="H238" s="10" t="n"/>
      <c r="I238" s="10" t="n"/>
      <c r="J238" s="2" t="n"/>
      <c r="K238" s="11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10" t="n"/>
      <c r="H239" s="10" t="n"/>
      <c r="I239" s="10" t="n"/>
      <c r="J239" s="2" t="n"/>
      <c r="K239" s="11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10" t="n"/>
      <c r="H240" s="10" t="n"/>
      <c r="I240" s="10" t="n"/>
      <c r="J240" s="2" t="n"/>
      <c r="K240" s="11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10" t="n"/>
      <c r="H241" s="10" t="n"/>
      <c r="I241" s="10" t="n"/>
      <c r="J241" s="2" t="n"/>
      <c r="K241" s="11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10" t="n"/>
      <c r="H242" s="10" t="n"/>
      <c r="I242" s="10" t="n"/>
      <c r="J242" s="2" t="n"/>
      <c r="K242" s="11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10" t="n"/>
      <c r="H243" s="10" t="n"/>
      <c r="I243" s="10" t="n"/>
      <c r="J243" s="2" t="n"/>
      <c r="K243" s="11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10" t="n"/>
      <c r="H244" s="10" t="n"/>
      <c r="I244" s="10" t="n"/>
      <c r="J244" s="2" t="n"/>
      <c r="K244" s="11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10" t="n"/>
      <c r="H245" s="10" t="n"/>
      <c r="I245" s="10" t="n"/>
      <c r="J245" s="2" t="n"/>
      <c r="K245" s="11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10" t="n"/>
      <c r="H246" s="10" t="n"/>
      <c r="I246" s="10" t="n"/>
      <c r="J246" s="2" t="n"/>
      <c r="K246" s="11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10" t="n"/>
      <c r="H247" s="10" t="n"/>
      <c r="I247" s="10" t="n"/>
      <c r="J247" s="2" t="n"/>
      <c r="K247" s="11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10" t="n"/>
      <c r="H248" s="10" t="n"/>
      <c r="I248" s="10" t="n"/>
      <c r="J248" s="2" t="n"/>
      <c r="K248" s="11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10" t="n"/>
      <c r="H249" s="10" t="n"/>
      <c r="I249" s="10" t="n"/>
      <c r="J249" s="2" t="n"/>
      <c r="K249" s="11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10" t="n"/>
      <c r="H250" s="10" t="n"/>
      <c r="I250" s="10" t="n"/>
      <c r="J250" s="2" t="n"/>
      <c r="K250" s="11" t="n"/>
      <c r="L250" s="2" t="n"/>
      <c r="M250" s="2" t="n"/>
      <c r="N250" s="2" t="n"/>
    </row>
  </sheetData>
  <dataValidations count="3">
    <dataValidation sqref="B2:B250" showDropDown="0" showInputMessage="0" showErrorMessage="0" allowBlank="1" type="list">
      <formula1>"Formalizacion,Compra de equipos,Imagen comercial,Captacion de clientes,Primeros proyectos,Control financiero,Regularizacion tributaria,Consolidacion urbana,Entrada a mineria,Evolucion consultora"</formula1>
    </dataValidation>
    <dataValidation sqref="E2:E250" showDropDown="0" showInputMessage="0" showErrorMessage="0" allowBlank="1" type="list">
      <formula1>"Alta,Media,Baja"</formula1>
    </dataValidation>
    <dataValidation sqref="J2:J250" showDropDown="0" showInputMessage="0" showErrorMessage="0" allowBlank="1" type="list">
      <formula1>"Pendiente,En proceso,Bloqueada,Completada,Cancelada"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0" customWidth="1" min="4" max="4"/>
    <col width="15" customWidth="1" min="5" max="5"/>
    <col width="16" customWidth="1" min="6" max="6"/>
    <col width="10" customWidth="1" min="7" max="7"/>
    <col width="13" customWidth="1" min="8" max="8"/>
    <col width="10" customWidth="1" min="9" max="9"/>
    <col width="15" customWidth="1" min="10" max="10"/>
  </cols>
  <sheetData>
    <row r="1">
      <c r="A1" s="4" t="inlineStr">
        <is>
          <t>ID_Documento</t>
        </is>
      </c>
      <c r="B1" s="4" t="inlineStr">
        <is>
          <t>Categoria</t>
        </is>
      </c>
      <c r="C1" s="4" t="inlineStr">
        <is>
          <t>Nombre_Documento</t>
        </is>
      </c>
      <c r="D1" s="4" t="inlineStr">
        <is>
          <t>Fecha</t>
        </is>
      </c>
      <c r="E1" s="4" t="inlineStr">
        <is>
          <t>Relacionado_A</t>
        </is>
      </c>
      <c r="F1" s="4" t="inlineStr">
        <is>
          <t>ID_Relacionado</t>
        </is>
      </c>
      <c r="G1" s="4" t="inlineStr">
        <is>
          <t>Archivo</t>
        </is>
      </c>
      <c r="H1" s="4" t="inlineStr">
        <is>
          <t>Vencimiento</t>
        </is>
      </c>
      <c r="I1" s="4" t="inlineStr">
        <is>
          <t>Estado</t>
        </is>
      </c>
      <c r="J1" s="4" t="inlineStr">
        <is>
          <t>Observaciones</t>
        </is>
      </c>
    </row>
    <row r="2">
      <c r="A2" s="2" t="n"/>
      <c r="B2" s="2" t="n"/>
      <c r="C2" s="2" t="n"/>
      <c r="D2" s="10" t="n"/>
      <c r="E2" s="2" t="n"/>
      <c r="F2" s="2" t="n"/>
      <c r="G2" s="2" t="n"/>
      <c r="H2" s="10" t="n"/>
      <c r="I2" s="2" t="n"/>
      <c r="J2" s="2" t="n"/>
    </row>
    <row r="3">
      <c r="A3" s="2" t="n"/>
      <c r="B3" s="2" t="n"/>
      <c r="C3" s="2" t="n"/>
      <c r="D3" s="10" t="n"/>
      <c r="E3" s="2" t="n"/>
      <c r="F3" s="2" t="n"/>
      <c r="G3" s="2" t="n"/>
      <c r="H3" s="10" t="n"/>
      <c r="I3" s="2" t="n"/>
      <c r="J3" s="2" t="n"/>
    </row>
    <row r="4">
      <c r="A4" s="2" t="n"/>
      <c r="B4" s="2" t="n"/>
      <c r="C4" s="2" t="n"/>
      <c r="D4" s="10" t="n"/>
      <c r="E4" s="2" t="n"/>
      <c r="F4" s="2" t="n"/>
      <c r="G4" s="2" t="n"/>
      <c r="H4" s="10" t="n"/>
      <c r="I4" s="2" t="n"/>
      <c r="J4" s="2" t="n"/>
    </row>
    <row r="5">
      <c r="A5" s="2" t="n"/>
      <c r="B5" s="2" t="n"/>
      <c r="C5" s="2" t="n"/>
      <c r="D5" s="10" t="n"/>
      <c r="E5" s="2" t="n"/>
      <c r="F5" s="2" t="n"/>
      <c r="G5" s="2" t="n"/>
      <c r="H5" s="10" t="n"/>
      <c r="I5" s="2" t="n"/>
      <c r="J5" s="2" t="n"/>
    </row>
    <row r="6">
      <c r="A6" s="2" t="n"/>
      <c r="B6" s="2" t="n"/>
      <c r="C6" s="2" t="n"/>
      <c r="D6" s="10" t="n"/>
      <c r="E6" s="2" t="n"/>
      <c r="F6" s="2" t="n"/>
      <c r="G6" s="2" t="n"/>
      <c r="H6" s="10" t="n"/>
      <c r="I6" s="2" t="n"/>
      <c r="J6" s="2" t="n"/>
    </row>
    <row r="7">
      <c r="A7" s="2" t="n"/>
      <c r="B7" s="2" t="n"/>
      <c r="C7" s="2" t="n"/>
      <c r="D7" s="10" t="n"/>
      <c r="E7" s="2" t="n"/>
      <c r="F7" s="2" t="n"/>
      <c r="G7" s="2" t="n"/>
      <c r="H7" s="10" t="n"/>
      <c r="I7" s="2" t="n"/>
      <c r="J7" s="2" t="n"/>
    </row>
    <row r="8">
      <c r="A8" s="2" t="n"/>
      <c r="B8" s="2" t="n"/>
      <c r="C8" s="2" t="n"/>
      <c r="D8" s="10" t="n"/>
      <c r="E8" s="2" t="n"/>
      <c r="F8" s="2" t="n"/>
      <c r="G8" s="2" t="n"/>
      <c r="H8" s="10" t="n"/>
      <c r="I8" s="2" t="n"/>
      <c r="J8" s="2" t="n"/>
    </row>
    <row r="9">
      <c r="A9" s="2" t="n"/>
      <c r="B9" s="2" t="n"/>
      <c r="C9" s="2" t="n"/>
      <c r="D9" s="10" t="n"/>
      <c r="E9" s="2" t="n"/>
      <c r="F9" s="2" t="n"/>
      <c r="G9" s="2" t="n"/>
      <c r="H9" s="10" t="n"/>
      <c r="I9" s="2" t="n"/>
      <c r="J9" s="2" t="n"/>
    </row>
    <row r="10">
      <c r="A10" s="2" t="n"/>
      <c r="B10" s="2" t="n"/>
      <c r="C10" s="2" t="n"/>
      <c r="D10" s="10" t="n"/>
      <c r="E10" s="2" t="n"/>
      <c r="F10" s="2" t="n"/>
      <c r="G10" s="2" t="n"/>
      <c r="H10" s="10" t="n"/>
      <c r="I10" s="2" t="n"/>
      <c r="J10" s="2" t="n"/>
    </row>
    <row r="11">
      <c r="A11" s="2" t="n"/>
      <c r="B11" s="2" t="n"/>
      <c r="C11" s="2" t="n"/>
      <c r="D11" s="10" t="n"/>
      <c r="E11" s="2" t="n"/>
      <c r="F11" s="2" t="n"/>
      <c r="G11" s="2" t="n"/>
      <c r="H11" s="10" t="n"/>
      <c r="I11" s="2" t="n"/>
      <c r="J11" s="2" t="n"/>
    </row>
    <row r="12">
      <c r="A12" s="2" t="n"/>
      <c r="B12" s="2" t="n"/>
      <c r="C12" s="2" t="n"/>
      <c r="D12" s="10" t="n"/>
      <c r="E12" s="2" t="n"/>
      <c r="F12" s="2" t="n"/>
      <c r="G12" s="2" t="n"/>
      <c r="H12" s="10" t="n"/>
      <c r="I12" s="2" t="n"/>
      <c r="J12" s="2" t="n"/>
    </row>
    <row r="13">
      <c r="A13" s="2" t="n"/>
      <c r="B13" s="2" t="n"/>
      <c r="C13" s="2" t="n"/>
      <c r="D13" s="10" t="n"/>
      <c r="E13" s="2" t="n"/>
      <c r="F13" s="2" t="n"/>
      <c r="G13" s="2" t="n"/>
      <c r="H13" s="10" t="n"/>
      <c r="I13" s="2" t="n"/>
      <c r="J13" s="2" t="n"/>
    </row>
    <row r="14">
      <c r="A14" s="2" t="n"/>
      <c r="B14" s="2" t="n"/>
      <c r="C14" s="2" t="n"/>
      <c r="D14" s="10" t="n"/>
      <c r="E14" s="2" t="n"/>
      <c r="F14" s="2" t="n"/>
      <c r="G14" s="2" t="n"/>
      <c r="H14" s="10" t="n"/>
      <c r="I14" s="2" t="n"/>
      <c r="J14" s="2" t="n"/>
    </row>
    <row r="15">
      <c r="A15" s="2" t="n"/>
      <c r="B15" s="2" t="n"/>
      <c r="C15" s="2" t="n"/>
      <c r="D15" s="10" t="n"/>
      <c r="E15" s="2" t="n"/>
      <c r="F15" s="2" t="n"/>
      <c r="G15" s="2" t="n"/>
      <c r="H15" s="10" t="n"/>
      <c r="I15" s="2" t="n"/>
      <c r="J15" s="2" t="n"/>
    </row>
    <row r="16">
      <c r="A16" s="2" t="n"/>
      <c r="B16" s="2" t="n"/>
      <c r="C16" s="2" t="n"/>
      <c r="D16" s="10" t="n"/>
      <c r="E16" s="2" t="n"/>
      <c r="F16" s="2" t="n"/>
      <c r="G16" s="2" t="n"/>
      <c r="H16" s="10" t="n"/>
      <c r="I16" s="2" t="n"/>
      <c r="J16" s="2" t="n"/>
    </row>
    <row r="17">
      <c r="A17" s="2" t="n"/>
      <c r="B17" s="2" t="n"/>
      <c r="C17" s="2" t="n"/>
      <c r="D17" s="10" t="n"/>
      <c r="E17" s="2" t="n"/>
      <c r="F17" s="2" t="n"/>
      <c r="G17" s="2" t="n"/>
      <c r="H17" s="10" t="n"/>
      <c r="I17" s="2" t="n"/>
      <c r="J17" s="2" t="n"/>
    </row>
    <row r="18">
      <c r="A18" s="2" t="n"/>
      <c r="B18" s="2" t="n"/>
      <c r="C18" s="2" t="n"/>
      <c r="D18" s="10" t="n"/>
      <c r="E18" s="2" t="n"/>
      <c r="F18" s="2" t="n"/>
      <c r="G18" s="2" t="n"/>
      <c r="H18" s="10" t="n"/>
      <c r="I18" s="2" t="n"/>
      <c r="J18" s="2" t="n"/>
    </row>
    <row r="19">
      <c r="A19" s="2" t="n"/>
      <c r="B19" s="2" t="n"/>
      <c r="C19" s="2" t="n"/>
      <c r="D19" s="10" t="n"/>
      <c r="E19" s="2" t="n"/>
      <c r="F19" s="2" t="n"/>
      <c r="G19" s="2" t="n"/>
      <c r="H19" s="10" t="n"/>
      <c r="I19" s="2" t="n"/>
      <c r="J19" s="2" t="n"/>
    </row>
    <row r="20">
      <c r="A20" s="2" t="n"/>
      <c r="B20" s="2" t="n"/>
      <c r="C20" s="2" t="n"/>
      <c r="D20" s="10" t="n"/>
      <c r="E20" s="2" t="n"/>
      <c r="F20" s="2" t="n"/>
      <c r="G20" s="2" t="n"/>
      <c r="H20" s="10" t="n"/>
      <c r="I20" s="2" t="n"/>
      <c r="J20" s="2" t="n"/>
    </row>
    <row r="21">
      <c r="A21" s="2" t="n"/>
      <c r="B21" s="2" t="n"/>
      <c r="C21" s="2" t="n"/>
      <c r="D21" s="10" t="n"/>
      <c r="E21" s="2" t="n"/>
      <c r="F21" s="2" t="n"/>
      <c r="G21" s="2" t="n"/>
      <c r="H21" s="10" t="n"/>
      <c r="I21" s="2" t="n"/>
      <c r="J21" s="2" t="n"/>
    </row>
    <row r="22">
      <c r="A22" s="2" t="n"/>
      <c r="B22" s="2" t="n"/>
      <c r="C22" s="2" t="n"/>
      <c r="D22" s="10" t="n"/>
      <c r="E22" s="2" t="n"/>
      <c r="F22" s="2" t="n"/>
      <c r="G22" s="2" t="n"/>
      <c r="H22" s="10" t="n"/>
      <c r="I22" s="2" t="n"/>
      <c r="J22" s="2" t="n"/>
    </row>
    <row r="23">
      <c r="A23" s="2" t="n"/>
      <c r="B23" s="2" t="n"/>
      <c r="C23" s="2" t="n"/>
      <c r="D23" s="10" t="n"/>
      <c r="E23" s="2" t="n"/>
      <c r="F23" s="2" t="n"/>
      <c r="G23" s="2" t="n"/>
      <c r="H23" s="10" t="n"/>
      <c r="I23" s="2" t="n"/>
      <c r="J23" s="2" t="n"/>
    </row>
    <row r="24">
      <c r="A24" s="2" t="n"/>
      <c r="B24" s="2" t="n"/>
      <c r="C24" s="2" t="n"/>
      <c r="D24" s="10" t="n"/>
      <c r="E24" s="2" t="n"/>
      <c r="F24" s="2" t="n"/>
      <c r="G24" s="2" t="n"/>
      <c r="H24" s="10" t="n"/>
      <c r="I24" s="2" t="n"/>
      <c r="J24" s="2" t="n"/>
    </row>
    <row r="25">
      <c r="A25" s="2" t="n"/>
      <c r="B25" s="2" t="n"/>
      <c r="C25" s="2" t="n"/>
      <c r="D25" s="10" t="n"/>
      <c r="E25" s="2" t="n"/>
      <c r="F25" s="2" t="n"/>
      <c r="G25" s="2" t="n"/>
      <c r="H25" s="10" t="n"/>
      <c r="I25" s="2" t="n"/>
      <c r="J25" s="2" t="n"/>
    </row>
    <row r="26">
      <c r="A26" s="2" t="n"/>
      <c r="B26" s="2" t="n"/>
      <c r="C26" s="2" t="n"/>
      <c r="D26" s="10" t="n"/>
      <c r="E26" s="2" t="n"/>
      <c r="F26" s="2" t="n"/>
      <c r="G26" s="2" t="n"/>
      <c r="H26" s="10" t="n"/>
      <c r="I26" s="2" t="n"/>
      <c r="J26" s="2" t="n"/>
    </row>
    <row r="27">
      <c r="A27" s="2" t="n"/>
      <c r="B27" s="2" t="n"/>
      <c r="C27" s="2" t="n"/>
      <c r="D27" s="10" t="n"/>
      <c r="E27" s="2" t="n"/>
      <c r="F27" s="2" t="n"/>
      <c r="G27" s="2" t="n"/>
      <c r="H27" s="10" t="n"/>
      <c r="I27" s="2" t="n"/>
      <c r="J27" s="2" t="n"/>
    </row>
    <row r="28">
      <c r="A28" s="2" t="n"/>
      <c r="B28" s="2" t="n"/>
      <c r="C28" s="2" t="n"/>
      <c r="D28" s="10" t="n"/>
      <c r="E28" s="2" t="n"/>
      <c r="F28" s="2" t="n"/>
      <c r="G28" s="2" t="n"/>
      <c r="H28" s="10" t="n"/>
      <c r="I28" s="2" t="n"/>
      <c r="J28" s="2" t="n"/>
    </row>
    <row r="29">
      <c r="A29" s="2" t="n"/>
      <c r="B29" s="2" t="n"/>
      <c r="C29" s="2" t="n"/>
      <c r="D29" s="10" t="n"/>
      <c r="E29" s="2" t="n"/>
      <c r="F29" s="2" t="n"/>
      <c r="G29" s="2" t="n"/>
      <c r="H29" s="10" t="n"/>
      <c r="I29" s="2" t="n"/>
      <c r="J29" s="2" t="n"/>
    </row>
    <row r="30">
      <c r="A30" s="2" t="n"/>
      <c r="B30" s="2" t="n"/>
      <c r="C30" s="2" t="n"/>
      <c r="D30" s="10" t="n"/>
      <c r="E30" s="2" t="n"/>
      <c r="F30" s="2" t="n"/>
      <c r="G30" s="2" t="n"/>
      <c r="H30" s="10" t="n"/>
      <c r="I30" s="2" t="n"/>
      <c r="J30" s="2" t="n"/>
    </row>
    <row r="31">
      <c r="A31" s="2" t="n"/>
      <c r="B31" s="2" t="n"/>
      <c r="C31" s="2" t="n"/>
      <c r="D31" s="10" t="n"/>
      <c r="E31" s="2" t="n"/>
      <c r="F31" s="2" t="n"/>
      <c r="G31" s="2" t="n"/>
      <c r="H31" s="10" t="n"/>
      <c r="I31" s="2" t="n"/>
      <c r="J31" s="2" t="n"/>
    </row>
    <row r="32">
      <c r="A32" s="2" t="n"/>
      <c r="B32" s="2" t="n"/>
      <c r="C32" s="2" t="n"/>
      <c r="D32" s="10" t="n"/>
      <c r="E32" s="2" t="n"/>
      <c r="F32" s="2" t="n"/>
      <c r="G32" s="2" t="n"/>
      <c r="H32" s="10" t="n"/>
      <c r="I32" s="2" t="n"/>
      <c r="J32" s="2" t="n"/>
    </row>
    <row r="33">
      <c r="A33" s="2" t="n"/>
      <c r="B33" s="2" t="n"/>
      <c r="C33" s="2" t="n"/>
      <c r="D33" s="10" t="n"/>
      <c r="E33" s="2" t="n"/>
      <c r="F33" s="2" t="n"/>
      <c r="G33" s="2" t="n"/>
      <c r="H33" s="10" t="n"/>
      <c r="I33" s="2" t="n"/>
      <c r="J33" s="2" t="n"/>
    </row>
    <row r="34">
      <c r="A34" s="2" t="n"/>
      <c r="B34" s="2" t="n"/>
      <c r="C34" s="2" t="n"/>
      <c r="D34" s="10" t="n"/>
      <c r="E34" s="2" t="n"/>
      <c r="F34" s="2" t="n"/>
      <c r="G34" s="2" t="n"/>
      <c r="H34" s="10" t="n"/>
      <c r="I34" s="2" t="n"/>
      <c r="J34" s="2" t="n"/>
    </row>
    <row r="35">
      <c r="A35" s="2" t="n"/>
      <c r="B35" s="2" t="n"/>
      <c r="C35" s="2" t="n"/>
      <c r="D35" s="10" t="n"/>
      <c r="E35" s="2" t="n"/>
      <c r="F35" s="2" t="n"/>
      <c r="G35" s="2" t="n"/>
      <c r="H35" s="10" t="n"/>
      <c r="I35" s="2" t="n"/>
      <c r="J35" s="2" t="n"/>
    </row>
    <row r="36">
      <c r="A36" s="2" t="n"/>
      <c r="B36" s="2" t="n"/>
      <c r="C36" s="2" t="n"/>
      <c r="D36" s="10" t="n"/>
      <c r="E36" s="2" t="n"/>
      <c r="F36" s="2" t="n"/>
      <c r="G36" s="2" t="n"/>
      <c r="H36" s="10" t="n"/>
      <c r="I36" s="2" t="n"/>
      <c r="J36" s="2" t="n"/>
    </row>
    <row r="37">
      <c r="A37" s="2" t="n"/>
      <c r="B37" s="2" t="n"/>
      <c r="C37" s="2" t="n"/>
      <c r="D37" s="10" t="n"/>
      <c r="E37" s="2" t="n"/>
      <c r="F37" s="2" t="n"/>
      <c r="G37" s="2" t="n"/>
      <c r="H37" s="10" t="n"/>
      <c r="I37" s="2" t="n"/>
      <c r="J37" s="2" t="n"/>
    </row>
    <row r="38">
      <c r="A38" s="2" t="n"/>
      <c r="B38" s="2" t="n"/>
      <c r="C38" s="2" t="n"/>
      <c r="D38" s="10" t="n"/>
      <c r="E38" s="2" t="n"/>
      <c r="F38" s="2" t="n"/>
      <c r="G38" s="2" t="n"/>
      <c r="H38" s="10" t="n"/>
      <c r="I38" s="2" t="n"/>
      <c r="J38" s="2" t="n"/>
    </row>
    <row r="39">
      <c r="A39" s="2" t="n"/>
      <c r="B39" s="2" t="n"/>
      <c r="C39" s="2" t="n"/>
      <c r="D39" s="10" t="n"/>
      <c r="E39" s="2" t="n"/>
      <c r="F39" s="2" t="n"/>
      <c r="G39" s="2" t="n"/>
      <c r="H39" s="10" t="n"/>
      <c r="I39" s="2" t="n"/>
      <c r="J39" s="2" t="n"/>
    </row>
    <row r="40">
      <c r="A40" s="2" t="n"/>
      <c r="B40" s="2" t="n"/>
      <c r="C40" s="2" t="n"/>
      <c r="D40" s="10" t="n"/>
      <c r="E40" s="2" t="n"/>
      <c r="F40" s="2" t="n"/>
      <c r="G40" s="2" t="n"/>
      <c r="H40" s="10" t="n"/>
      <c r="I40" s="2" t="n"/>
      <c r="J40" s="2" t="n"/>
    </row>
    <row r="41">
      <c r="A41" s="2" t="n"/>
      <c r="B41" s="2" t="n"/>
      <c r="C41" s="2" t="n"/>
      <c r="D41" s="10" t="n"/>
      <c r="E41" s="2" t="n"/>
      <c r="F41" s="2" t="n"/>
      <c r="G41" s="2" t="n"/>
      <c r="H41" s="10" t="n"/>
      <c r="I41" s="2" t="n"/>
      <c r="J41" s="2" t="n"/>
    </row>
    <row r="42">
      <c r="A42" s="2" t="n"/>
      <c r="B42" s="2" t="n"/>
      <c r="C42" s="2" t="n"/>
      <c r="D42" s="10" t="n"/>
      <c r="E42" s="2" t="n"/>
      <c r="F42" s="2" t="n"/>
      <c r="G42" s="2" t="n"/>
      <c r="H42" s="10" t="n"/>
      <c r="I42" s="2" t="n"/>
      <c r="J42" s="2" t="n"/>
    </row>
    <row r="43">
      <c r="A43" s="2" t="n"/>
      <c r="B43" s="2" t="n"/>
      <c r="C43" s="2" t="n"/>
      <c r="D43" s="10" t="n"/>
      <c r="E43" s="2" t="n"/>
      <c r="F43" s="2" t="n"/>
      <c r="G43" s="2" t="n"/>
      <c r="H43" s="10" t="n"/>
      <c r="I43" s="2" t="n"/>
      <c r="J43" s="2" t="n"/>
    </row>
    <row r="44">
      <c r="A44" s="2" t="n"/>
      <c r="B44" s="2" t="n"/>
      <c r="C44" s="2" t="n"/>
      <c r="D44" s="10" t="n"/>
      <c r="E44" s="2" t="n"/>
      <c r="F44" s="2" t="n"/>
      <c r="G44" s="2" t="n"/>
      <c r="H44" s="10" t="n"/>
      <c r="I44" s="2" t="n"/>
      <c r="J44" s="2" t="n"/>
    </row>
    <row r="45">
      <c r="A45" s="2" t="n"/>
      <c r="B45" s="2" t="n"/>
      <c r="C45" s="2" t="n"/>
      <c r="D45" s="10" t="n"/>
      <c r="E45" s="2" t="n"/>
      <c r="F45" s="2" t="n"/>
      <c r="G45" s="2" t="n"/>
      <c r="H45" s="10" t="n"/>
      <c r="I45" s="2" t="n"/>
      <c r="J45" s="2" t="n"/>
    </row>
    <row r="46">
      <c r="A46" s="2" t="n"/>
      <c r="B46" s="2" t="n"/>
      <c r="C46" s="2" t="n"/>
      <c r="D46" s="10" t="n"/>
      <c r="E46" s="2" t="n"/>
      <c r="F46" s="2" t="n"/>
      <c r="G46" s="2" t="n"/>
      <c r="H46" s="10" t="n"/>
      <c r="I46" s="2" t="n"/>
      <c r="J46" s="2" t="n"/>
    </row>
    <row r="47">
      <c r="A47" s="2" t="n"/>
      <c r="B47" s="2" t="n"/>
      <c r="C47" s="2" t="n"/>
      <c r="D47" s="10" t="n"/>
      <c r="E47" s="2" t="n"/>
      <c r="F47" s="2" t="n"/>
      <c r="G47" s="2" t="n"/>
      <c r="H47" s="10" t="n"/>
      <c r="I47" s="2" t="n"/>
      <c r="J47" s="2" t="n"/>
    </row>
    <row r="48">
      <c r="A48" s="2" t="n"/>
      <c r="B48" s="2" t="n"/>
      <c r="C48" s="2" t="n"/>
      <c r="D48" s="10" t="n"/>
      <c r="E48" s="2" t="n"/>
      <c r="F48" s="2" t="n"/>
      <c r="G48" s="2" t="n"/>
      <c r="H48" s="10" t="n"/>
      <c r="I48" s="2" t="n"/>
      <c r="J48" s="2" t="n"/>
    </row>
    <row r="49">
      <c r="A49" s="2" t="n"/>
      <c r="B49" s="2" t="n"/>
      <c r="C49" s="2" t="n"/>
      <c r="D49" s="10" t="n"/>
      <c r="E49" s="2" t="n"/>
      <c r="F49" s="2" t="n"/>
      <c r="G49" s="2" t="n"/>
      <c r="H49" s="10" t="n"/>
      <c r="I49" s="2" t="n"/>
      <c r="J49" s="2" t="n"/>
    </row>
    <row r="50">
      <c r="A50" s="2" t="n"/>
      <c r="B50" s="2" t="n"/>
      <c r="C50" s="2" t="n"/>
      <c r="D50" s="10" t="n"/>
      <c r="E50" s="2" t="n"/>
      <c r="F50" s="2" t="n"/>
      <c r="G50" s="2" t="n"/>
      <c r="H50" s="10" t="n"/>
      <c r="I50" s="2" t="n"/>
      <c r="J50" s="2" t="n"/>
    </row>
    <row r="51">
      <c r="A51" s="2" t="n"/>
      <c r="B51" s="2" t="n"/>
      <c r="C51" s="2" t="n"/>
      <c r="D51" s="10" t="n"/>
      <c r="E51" s="2" t="n"/>
      <c r="F51" s="2" t="n"/>
      <c r="G51" s="2" t="n"/>
      <c r="H51" s="10" t="n"/>
      <c r="I51" s="2" t="n"/>
      <c r="J51" s="2" t="n"/>
    </row>
    <row r="52">
      <c r="A52" s="2" t="n"/>
      <c r="B52" s="2" t="n"/>
      <c r="C52" s="2" t="n"/>
      <c r="D52" s="10" t="n"/>
      <c r="E52" s="2" t="n"/>
      <c r="F52" s="2" t="n"/>
      <c r="G52" s="2" t="n"/>
      <c r="H52" s="10" t="n"/>
      <c r="I52" s="2" t="n"/>
      <c r="J52" s="2" t="n"/>
    </row>
    <row r="53">
      <c r="A53" s="2" t="n"/>
      <c r="B53" s="2" t="n"/>
      <c r="C53" s="2" t="n"/>
      <c r="D53" s="10" t="n"/>
      <c r="E53" s="2" t="n"/>
      <c r="F53" s="2" t="n"/>
      <c r="G53" s="2" t="n"/>
      <c r="H53" s="10" t="n"/>
      <c r="I53" s="2" t="n"/>
      <c r="J53" s="2" t="n"/>
    </row>
    <row r="54">
      <c r="A54" s="2" t="n"/>
      <c r="B54" s="2" t="n"/>
      <c r="C54" s="2" t="n"/>
      <c r="D54" s="10" t="n"/>
      <c r="E54" s="2" t="n"/>
      <c r="F54" s="2" t="n"/>
      <c r="G54" s="2" t="n"/>
      <c r="H54" s="10" t="n"/>
      <c r="I54" s="2" t="n"/>
      <c r="J54" s="2" t="n"/>
    </row>
    <row r="55">
      <c r="A55" s="2" t="n"/>
      <c r="B55" s="2" t="n"/>
      <c r="C55" s="2" t="n"/>
      <c r="D55" s="10" t="n"/>
      <c r="E55" s="2" t="n"/>
      <c r="F55" s="2" t="n"/>
      <c r="G55" s="2" t="n"/>
      <c r="H55" s="10" t="n"/>
      <c r="I55" s="2" t="n"/>
      <c r="J55" s="2" t="n"/>
    </row>
    <row r="56">
      <c r="A56" s="2" t="n"/>
      <c r="B56" s="2" t="n"/>
      <c r="C56" s="2" t="n"/>
      <c r="D56" s="10" t="n"/>
      <c r="E56" s="2" t="n"/>
      <c r="F56" s="2" t="n"/>
      <c r="G56" s="2" t="n"/>
      <c r="H56" s="10" t="n"/>
      <c r="I56" s="2" t="n"/>
      <c r="J56" s="2" t="n"/>
    </row>
    <row r="57">
      <c r="A57" s="2" t="n"/>
      <c r="B57" s="2" t="n"/>
      <c r="C57" s="2" t="n"/>
      <c r="D57" s="10" t="n"/>
      <c r="E57" s="2" t="n"/>
      <c r="F57" s="2" t="n"/>
      <c r="G57" s="2" t="n"/>
      <c r="H57" s="10" t="n"/>
      <c r="I57" s="2" t="n"/>
      <c r="J57" s="2" t="n"/>
    </row>
    <row r="58">
      <c r="A58" s="2" t="n"/>
      <c r="B58" s="2" t="n"/>
      <c r="C58" s="2" t="n"/>
      <c r="D58" s="10" t="n"/>
      <c r="E58" s="2" t="n"/>
      <c r="F58" s="2" t="n"/>
      <c r="G58" s="2" t="n"/>
      <c r="H58" s="10" t="n"/>
      <c r="I58" s="2" t="n"/>
      <c r="J58" s="2" t="n"/>
    </row>
    <row r="59">
      <c r="A59" s="2" t="n"/>
      <c r="B59" s="2" t="n"/>
      <c r="C59" s="2" t="n"/>
      <c r="D59" s="10" t="n"/>
      <c r="E59" s="2" t="n"/>
      <c r="F59" s="2" t="n"/>
      <c r="G59" s="2" t="n"/>
      <c r="H59" s="10" t="n"/>
      <c r="I59" s="2" t="n"/>
      <c r="J59" s="2" t="n"/>
    </row>
    <row r="60">
      <c r="A60" s="2" t="n"/>
      <c r="B60" s="2" t="n"/>
      <c r="C60" s="2" t="n"/>
      <c r="D60" s="10" t="n"/>
      <c r="E60" s="2" t="n"/>
      <c r="F60" s="2" t="n"/>
      <c r="G60" s="2" t="n"/>
      <c r="H60" s="10" t="n"/>
      <c r="I60" s="2" t="n"/>
      <c r="J60" s="2" t="n"/>
    </row>
    <row r="61">
      <c r="A61" s="2" t="n"/>
      <c r="B61" s="2" t="n"/>
      <c r="C61" s="2" t="n"/>
      <c r="D61" s="10" t="n"/>
      <c r="E61" s="2" t="n"/>
      <c r="F61" s="2" t="n"/>
      <c r="G61" s="2" t="n"/>
      <c r="H61" s="10" t="n"/>
      <c r="I61" s="2" t="n"/>
      <c r="J61" s="2" t="n"/>
    </row>
    <row r="62">
      <c r="A62" s="2" t="n"/>
      <c r="B62" s="2" t="n"/>
      <c r="C62" s="2" t="n"/>
      <c r="D62" s="10" t="n"/>
      <c r="E62" s="2" t="n"/>
      <c r="F62" s="2" t="n"/>
      <c r="G62" s="2" t="n"/>
      <c r="H62" s="10" t="n"/>
      <c r="I62" s="2" t="n"/>
      <c r="J62" s="2" t="n"/>
    </row>
    <row r="63">
      <c r="A63" s="2" t="n"/>
      <c r="B63" s="2" t="n"/>
      <c r="C63" s="2" t="n"/>
      <c r="D63" s="10" t="n"/>
      <c r="E63" s="2" t="n"/>
      <c r="F63" s="2" t="n"/>
      <c r="G63" s="2" t="n"/>
      <c r="H63" s="10" t="n"/>
      <c r="I63" s="2" t="n"/>
      <c r="J63" s="2" t="n"/>
    </row>
    <row r="64">
      <c r="A64" s="2" t="n"/>
      <c r="B64" s="2" t="n"/>
      <c r="C64" s="2" t="n"/>
      <c r="D64" s="10" t="n"/>
      <c r="E64" s="2" t="n"/>
      <c r="F64" s="2" t="n"/>
      <c r="G64" s="2" t="n"/>
      <c r="H64" s="10" t="n"/>
      <c r="I64" s="2" t="n"/>
      <c r="J64" s="2" t="n"/>
    </row>
    <row r="65">
      <c r="A65" s="2" t="n"/>
      <c r="B65" s="2" t="n"/>
      <c r="C65" s="2" t="n"/>
      <c r="D65" s="10" t="n"/>
      <c r="E65" s="2" t="n"/>
      <c r="F65" s="2" t="n"/>
      <c r="G65" s="2" t="n"/>
      <c r="H65" s="10" t="n"/>
      <c r="I65" s="2" t="n"/>
      <c r="J65" s="2" t="n"/>
    </row>
    <row r="66">
      <c r="A66" s="2" t="n"/>
      <c r="B66" s="2" t="n"/>
      <c r="C66" s="2" t="n"/>
      <c r="D66" s="10" t="n"/>
      <c r="E66" s="2" t="n"/>
      <c r="F66" s="2" t="n"/>
      <c r="G66" s="2" t="n"/>
      <c r="H66" s="10" t="n"/>
      <c r="I66" s="2" t="n"/>
      <c r="J66" s="2" t="n"/>
    </row>
    <row r="67">
      <c r="A67" s="2" t="n"/>
      <c r="B67" s="2" t="n"/>
      <c r="C67" s="2" t="n"/>
      <c r="D67" s="10" t="n"/>
      <c r="E67" s="2" t="n"/>
      <c r="F67" s="2" t="n"/>
      <c r="G67" s="2" t="n"/>
      <c r="H67" s="10" t="n"/>
      <c r="I67" s="2" t="n"/>
      <c r="J67" s="2" t="n"/>
    </row>
    <row r="68">
      <c r="A68" s="2" t="n"/>
      <c r="B68" s="2" t="n"/>
      <c r="C68" s="2" t="n"/>
      <c r="D68" s="10" t="n"/>
      <c r="E68" s="2" t="n"/>
      <c r="F68" s="2" t="n"/>
      <c r="G68" s="2" t="n"/>
      <c r="H68" s="10" t="n"/>
      <c r="I68" s="2" t="n"/>
      <c r="J68" s="2" t="n"/>
    </row>
    <row r="69">
      <c r="A69" s="2" t="n"/>
      <c r="B69" s="2" t="n"/>
      <c r="C69" s="2" t="n"/>
      <c r="D69" s="10" t="n"/>
      <c r="E69" s="2" t="n"/>
      <c r="F69" s="2" t="n"/>
      <c r="G69" s="2" t="n"/>
      <c r="H69" s="10" t="n"/>
      <c r="I69" s="2" t="n"/>
      <c r="J69" s="2" t="n"/>
    </row>
    <row r="70">
      <c r="A70" s="2" t="n"/>
      <c r="B70" s="2" t="n"/>
      <c r="C70" s="2" t="n"/>
      <c r="D70" s="10" t="n"/>
      <c r="E70" s="2" t="n"/>
      <c r="F70" s="2" t="n"/>
      <c r="G70" s="2" t="n"/>
      <c r="H70" s="10" t="n"/>
      <c r="I70" s="2" t="n"/>
      <c r="J70" s="2" t="n"/>
    </row>
    <row r="71">
      <c r="A71" s="2" t="n"/>
      <c r="B71" s="2" t="n"/>
      <c r="C71" s="2" t="n"/>
      <c r="D71" s="10" t="n"/>
      <c r="E71" s="2" t="n"/>
      <c r="F71" s="2" t="n"/>
      <c r="G71" s="2" t="n"/>
      <c r="H71" s="10" t="n"/>
      <c r="I71" s="2" t="n"/>
      <c r="J71" s="2" t="n"/>
    </row>
    <row r="72">
      <c r="A72" s="2" t="n"/>
      <c r="B72" s="2" t="n"/>
      <c r="C72" s="2" t="n"/>
      <c r="D72" s="10" t="n"/>
      <c r="E72" s="2" t="n"/>
      <c r="F72" s="2" t="n"/>
      <c r="G72" s="2" t="n"/>
      <c r="H72" s="10" t="n"/>
      <c r="I72" s="2" t="n"/>
      <c r="J72" s="2" t="n"/>
    </row>
    <row r="73">
      <c r="A73" s="2" t="n"/>
      <c r="B73" s="2" t="n"/>
      <c r="C73" s="2" t="n"/>
      <c r="D73" s="10" t="n"/>
      <c r="E73" s="2" t="n"/>
      <c r="F73" s="2" t="n"/>
      <c r="G73" s="2" t="n"/>
      <c r="H73" s="10" t="n"/>
      <c r="I73" s="2" t="n"/>
      <c r="J73" s="2" t="n"/>
    </row>
    <row r="74">
      <c r="A74" s="2" t="n"/>
      <c r="B74" s="2" t="n"/>
      <c r="C74" s="2" t="n"/>
      <c r="D74" s="10" t="n"/>
      <c r="E74" s="2" t="n"/>
      <c r="F74" s="2" t="n"/>
      <c r="G74" s="2" t="n"/>
      <c r="H74" s="10" t="n"/>
      <c r="I74" s="2" t="n"/>
      <c r="J74" s="2" t="n"/>
    </row>
    <row r="75">
      <c r="A75" s="2" t="n"/>
      <c r="B75" s="2" t="n"/>
      <c r="C75" s="2" t="n"/>
      <c r="D75" s="10" t="n"/>
      <c r="E75" s="2" t="n"/>
      <c r="F75" s="2" t="n"/>
      <c r="G75" s="2" t="n"/>
      <c r="H75" s="10" t="n"/>
      <c r="I75" s="2" t="n"/>
      <c r="J75" s="2" t="n"/>
    </row>
    <row r="76">
      <c r="A76" s="2" t="n"/>
      <c r="B76" s="2" t="n"/>
      <c r="C76" s="2" t="n"/>
      <c r="D76" s="10" t="n"/>
      <c r="E76" s="2" t="n"/>
      <c r="F76" s="2" t="n"/>
      <c r="G76" s="2" t="n"/>
      <c r="H76" s="10" t="n"/>
      <c r="I76" s="2" t="n"/>
      <c r="J76" s="2" t="n"/>
    </row>
    <row r="77">
      <c r="A77" s="2" t="n"/>
      <c r="B77" s="2" t="n"/>
      <c r="C77" s="2" t="n"/>
      <c r="D77" s="10" t="n"/>
      <c r="E77" s="2" t="n"/>
      <c r="F77" s="2" t="n"/>
      <c r="G77" s="2" t="n"/>
      <c r="H77" s="10" t="n"/>
      <c r="I77" s="2" t="n"/>
      <c r="J77" s="2" t="n"/>
    </row>
    <row r="78">
      <c r="A78" s="2" t="n"/>
      <c r="B78" s="2" t="n"/>
      <c r="C78" s="2" t="n"/>
      <c r="D78" s="10" t="n"/>
      <c r="E78" s="2" t="n"/>
      <c r="F78" s="2" t="n"/>
      <c r="G78" s="2" t="n"/>
      <c r="H78" s="10" t="n"/>
      <c r="I78" s="2" t="n"/>
      <c r="J78" s="2" t="n"/>
    </row>
    <row r="79">
      <c r="A79" s="2" t="n"/>
      <c r="B79" s="2" t="n"/>
      <c r="C79" s="2" t="n"/>
      <c r="D79" s="10" t="n"/>
      <c r="E79" s="2" t="n"/>
      <c r="F79" s="2" t="n"/>
      <c r="G79" s="2" t="n"/>
      <c r="H79" s="10" t="n"/>
      <c r="I79" s="2" t="n"/>
      <c r="J79" s="2" t="n"/>
    </row>
    <row r="80">
      <c r="A80" s="2" t="n"/>
      <c r="B80" s="2" t="n"/>
      <c r="C80" s="2" t="n"/>
      <c r="D80" s="10" t="n"/>
      <c r="E80" s="2" t="n"/>
      <c r="F80" s="2" t="n"/>
      <c r="G80" s="2" t="n"/>
      <c r="H80" s="10" t="n"/>
      <c r="I80" s="2" t="n"/>
      <c r="J80" s="2" t="n"/>
    </row>
    <row r="81">
      <c r="A81" s="2" t="n"/>
      <c r="B81" s="2" t="n"/>
      <c r="C81" s="2" t="n"/>
      <c r="D81" s="10" t="n"/>
      <c r="E81" s="2" t="n"/>
      <c r="F81" s="2" t="n"/>
      <c r="G81" s="2" t="n"/>
      <c r="H81" s="10" t="n"/>
      <c r="I81" s="2" t="n"/>
      <c r="J81" s="2" t="n"/>
    </row>
    <row r="82">
      <c r="A82" s="2" t="n"/>
      <c r="B82" s="2" t="n"/>
      <c r="C82" s="2" t="n"/>
      <c r="D82" s="10" t="n"/>
      <c r="E82" s="2" t="n"/>
      <c r="F82" s="2" t="n"/>
      <c r="G82" s="2" t="n"/>
      <c r="H82" s="10" t="n"/>
      <c r="I82" s="2" t="n"/>
      <c r="J82" s="2" t="n"/>
    </row>
    <row r="83">
      <c r="A83" s="2" t="n"/>
      <c r="B83" s="2" t="n"/>
      <c r="C83" s="2" t="n"/>
      <c r="D83" s="10" t="n"/>
      <c r="E83" s="2" t="n"/>
      <c r="F83" s="2" t="n"/>
      <c r="G83" s="2" t="n"/>
      <c r="H83" s="10" t="n"/>
      <c r="I83" s="2" t="n"/>
      <c r="J83" s="2" t="n"/>
    </row>
    <row r="84">
      <c r="A84" s="2" t="n"/>
      <c r="B84" s="2" t="n"/>
      <c r="C84" s="2" t="n"/>
      <c r="D84" s="10" t="n"/>
      <c r="E84" s="2" t="n"/>
      <c r="F84" s="2" t="n"/>
      <c r="G84" s="2" t="n"/>
      <c r="H84" s="10" t="n"/>
      <c r="I84" s="2" t="n"/>
      <c r="J84" s="2" t="n"/>
    </row>
    <row r="85">
      <c r="A85" s="2" t="n"/>
      <c r="B85" s="2" t="n"/>
      <c r="C85" s="2" t="n"/>
      <c r="D85" s="10" t="n"/>
      <c r="E85" s="2" t="n"/>
      <c r="F85" s="2" t="n"/>
      <c r="G85" s="2" t="n"/>
      <c r="H85" s="10" t="n"/>
      <c r="I85" s="2" t="n"/>
      <c r="J85" s="2" t="n"/>
    </row>
    <row r="86">
      <c r="A86" s="2" t="n"/>
      <c r="B86" s="2" t="n"/>
      <c r="C86" s="2" t="n"/>
      <c r="D86" s="10" t="n"/>
      <c r="E86" s="2" t="n"/>
      <c r="F86" s="2" t="n"/>
      <c r="G86" s="2" t="n"/>
      <c r="H86" s="10" t="n"/>
      <c r="I86" s="2" t="n"/>
      <c r="J86" s="2" t="n"/>
    </row>
    <row r="87">
      <c r="A87" s="2" t="n"/>
      <c r="B87" s="2" t="n"/>
      <c r="C87" s="2" t="n"/>
      <c r="D87" s="10" t="n"/>
      <c r="E87" s="2" t="n"/>
      <c r="F87" s="2" t="n"/>
      <c r="G87" s="2" t="n"/>
      <c r="H87" s="10" t="n"/>
      <c r="I87" s="2" t="n"/>
      <c r="J87" s="2" t="n"/>
    </row>
    <row r="88">
      <c r="A88" s="2" t="n"/>
      <c r="B88" s="2" t="n"/>
      <c r="C88" s="2" t="n"/>
      <c r="D88" s="10" t="n"/>
      <c r="E88" s="2" t="n"/>
      <c r="F88" s="2" t="n"/>
      <c r="G88" s="2" t="n"/>
      <c r="H88" s="10" t="n"/>
      <c r="I88" s="2" t="n"/>
      <c r="J88" s="2" t="n"/>
    </row>
    <row r="89">
      <c r="A89" s="2" t="n"/>
      <c r="B89" s="2" t="n"/>
      <c r="C89" s="2" t="n"/>
      <c r="D89" s="10" t="n"/>
      <c r="E89" s="2" t="n"/>
      <c r="F89" s="2" t="n"/>
      <c r="G89" s="2" t="n"/>
      <c r="H89" s="10" t="n"/>
      <c r="I89" s="2" t="n"/>
      <c r="J89" s="2" t="n"/>
    </row>
    <row r="90">
      <c r="A90" s="2" t="n"/>
      <c r="B90" s="2" t="n"/>
      <c r="C90" s="2" t="n"/>
      <c r="D90" s="10" t="n"/>
      <c r="E90" s="2" t="n"/>
      <c r="F90" s="2" t="n"/>
      <c r="G90" s="2" t="n"/>
      <c r="H90" s="10" t="n"/>
      <c r="I90" s="2" t="n"/>
      <c r="J90" s="2" t="n"/>
    </row>
    <row r="91">
      <c r="A91" s="2" t="n"/>
      <c r="B91" s="2" t="n"/>
      <c r="C91" s="2" t="n"/>
      <c r="D91" s="10" t="n"/>
      <c r="E91" s="2" t="n"/>
      <c r="F91" s="2" t="n"/>
      <c r="G91" s="2" t="n"/>
      <c r="H91" s="10" t="n"/>
      <c r="I91" s="2" t="n"/>
      <c r="J91" s="2" t="n"/>
    </row>
    <row r="92">
      <c r="A92" s="2" t="n"/>
      <c r="B92" s="2" t="n"/>
      <c r="C92" s="2" t="n"/>
      <c r="D92" s="10" t="n"/>
      <c r="E92" s="2" t="n"/>
      <c r="F92" s="2" t="n"/>
      <c r="G92" s="2" t="n"/>
      <c r="H92" s="10" t="n"/>
      <c r="I92" s="2" t="n"/>
      <c r="J92" s="2" t="n"/>
    </row>
    <row r="93">
      <c r="A93" s="2" t="n"/>
      <c r="B93" s="2" t="n"/>
      <c r="C93" s="2" t="n"/>
      <c r="D93" s="10" t="n"/>
      <c r="E93" s="2" t="n"/>
      <c r="F93" s="2" t="n"/>
      <c r="G93" s="2" t="n"/>
      <c r="H93" s="10" t="n"/>
      <c r="I93" s="2" t="n"/>
      <c r="J93" s="2" t="n"/>
    </row>
    <row r="94">
      <c r="A94" s="2" t="n"/>
      <c r="B94" s="2" t="n"/>
      <c r="C94" s="2" t="n"/>
      <c r="D94" s="10" t="n"/>
      <c r="E94" s="2" t="n"/>
      <c r="F94" s="2" t="n"/>
      <c r="G94" s="2" t="n"/>
      <c r="H94" s="10" t="n"/>
      <c r="I94" s="2" t="n"/>
      <c r="J94" s="2" t="n"/>
    </row>
    <row r="95">
      <c r="A95" s="2" t="n"/>
      <c r="B95" s="2" t="n"/>
      <c r="C95" s="2" t="n"/>
      <c r="D95" s="10" t="n"/>
      <c r="E95" s="2" t="n"/>
      <c r="F95" s="2" t="n"/>
      <c r="G95" s="2" t="n"/>
      <c r="H95" s="10" t="n"/>
      <c r="I95" s="2" t="n"/>
      <c r="J95" s="2" t="n"/>
    </row>
    <row r="96">
      <c r="A96" s="2" t="n"/>
      <c r="B96" s="2" t="n"/>
      <c r="C96" s="2" t="n"/>
      <c r="D96" s="10" t="n"/>
      <c r="E96" s="2" t="n"/>
      <c r="F96" s="2" t="n"/>
      <c r="G96" s="2" t="n"/>
      <c r="H96" s="10" t="n"/>
      <c r="I96" s="2" t="n"/>
      <c r="J96" s="2" t="n"/>
    </row>
    <row r="97">
      <c r="A97" s="2" t="n"/>
      <c r="B97" s="2" t="n"/>
      <c r="C97" s="2" t="n"/>
      <c r="D97" s="10" t="n"/>
      <c r="E97" s="2" t="n"/>
      <c r="F97" s="2" t="n"/>
      <c r="G97" s="2" t="n"/>
      <c r="H97" s="10" t="n"/>
      <c r="I97" s="2" t="n"/>
      <c r="J97" s="2" t="n"/>
    </row>
    <row r="98">
      <c r="A98" s="2" t="n"/>
      <c r="B98" s="2" t="n"/>
      <c r="C98" s="2" t="n"/>
      <c r="D98" s="10" t="n"/>
      <c r="E98" s="2" t="n"/>
      <c r="F98" s="2" t="n"/>
      <c r="G98" s="2" t="n"/>
      <c r="H98" s="10" t="n"/>
      <c r="I98" s="2" t="n"/>
      <c r="J98" s="2" t="n"/>
    </row>
    <row r="99">
      <c r="A99" s="2" t="n"/>
      <c r="B99" s="2" t="n"/>
      <c r="C99" s="2" t="n"/>
      <c r="D99" s="10" t="n"/>
      <c r="E99" s="2" t="n"/>
      <c r="F99" s="2" t="n"/>
      <c r="G99" s="2" t="n"/>
      <c r="H99" s="10" t="n"/>
      <c r="I99" s="2" t="n"/>
      <c r="J99" s="2" t="n"/>
    </row>
    <row r="100">
      <c r="A100" s="2" t="n"/>
      <c r="B100" s="2" t="n"/>
      <c r="C100" s="2" t="n"/>
      <c r="D100" s="10" t="n"/>
      <c r="E100" s="2" t="n"/>
      <c r="F100" s="2" t="n"/>
      <c r="G100" s="2" t="n"/>
      <c r="H100" s="10" t="n"/>
      <c r="I100" s="2" t="n"/>
      <c r="J100" s="2" t="n"/>
    </row>
    <row r="101">
      <c r="A101" s="2" t="n"/>
      <c r="B101" s="2" t="n"/>
      <c r="C101" s="2" t="n"/>
      <c r="D101" s="10" t="n"/>
      <c r="E101" s="2" t="n"/>
      <c r="F101" s="2" t="n"/>
      <c r="G101" s="2" t="n"/>
      <c r="H101" s="10" t="n"/>
      <c r="I101" s="2" t="n"/>
      <c r="J101" s="2" t="n"/>
    </row>
    <row r="102">
      <c r="A102" s="2" t="n"/>
      <c r="B102" s="2" t="n"/>
      <c r="C102" s="2" t="n"/>
      <c r="D102" s="10" t="n"/>
      <c r="E102" s="2" t="n"/>
      <c r="F102" s="2" t="n"/>
      <c r="G102" s="2" t="n"/>
      <c r="H102" s="10" t="n"/>
      <c r="I102" s="2" t="n"/>
      <c r="J102" s="2" t="n"/>
    </row>
    <row r="103">
      <c r="A103" s="2" t="n"/>
      <c r="B103" s="2" t="n"/>
      <c r="C103" s="2" t="n"/>
      <c r="D103" s="10" t="n"/>
      <c r="E103" s="2" t="n"/>
      <c r="F103" s="2" t="n"/>
      <c r="G103" s="2" t="n"/>
      <c r="H103" s="10" t="n"/>
      <c r="I103" s="2" t="n"/>
      <c r="J103" s="2" t="n"/>
    </row>
    <row r="104">
      <c r="A104" s="2" t="n"/>
      <c r="B104" s="2" t="n"/>
      <c r="C104" s="2" t="n"/>
      <c r="D104" s="10" t="n"/>
      <c r="E104" s="2" t="n"/>
      <c r="F104" s="2" t="n"/>
      <c r="G104" s="2" t="n"/>
      <c r="H104" s="10" t="n"/>
      <c r="I104" s="2" t="n"/>
      <c r="J104" s="2" t="n"/>
    </row>
    <row r="105">
      <c r="A105" s="2" t="n"/>
      <c r="B105" s="2" t="n"/>
      <c r="C105" s="2" t="n"/>
      <c r="D105" s="10" t="n"/>
      <c r="E105" s="2" t="n"/>
      <c r="F105" s="2" t="n"/>
      <c r="G105" s="2" t="n"/>
      <c r="H105" s="10" t="n"/>
      <c r="I105" s="2" t="n"/>
      <c r="J105" s="2" t="n"/>
    </row>
    <row r="106">
      <c r="A106" s="2" t="n"/>
      <c r="B106" s="2" t="n"/>
      <c r="C106" s="2" t="n"/>
      <c r="D106" s="10" t="n"/>
      <c r="E106" s="2" t="n"/>
      <c r="F106" s="2" t="n"/>
      <c r="G106" s="2" t="n"/>
      <c r="H106" s="10" t="n"/>
      <c r="I106" s="2" t="n"/>
      <c r="J106" s="2" t="n"/>
    </row>
    <row r="107">
      <c r="A107" s="2" t="n"/>
      <c r="B107" s="2" t="n"/>
      <c r="C107" s="2" t="n"/>
      <c r="D107" s="10" t="n"/>
      <c r="E107" s="2" t="n"/>
      <c r="F107" s="2" t="n"/>
      <c r="G107" s="2" t="n"/>
      <c r="H107" s="10" t="n"/>
      <c r="I107" s="2" t="n"/>
      <c r="J107" s="2" t="n"/>
    </row>
    <row r="108">
      <c r="A108" s="2" t="n"/>
      <c r="B108" s="2" t="n"/>
      <c r="C108" s="2" t="n"/>
      <c r="D108" s="10" t="n"/>
      <c r="E108" s="2" t="n"/>
      <c r="F108" s="2" t="n"/>
      <c r="G108" s="2" t="n"/>
      <c r="H108" s="10" t="n"/>
      <c r="I108" s="2" t="n"/>
      <c r="J108" s="2" t="n"/>
    </row>
    <row r="109">
      <c r="A109" s="2" t="n"/>
      <c r="B109" s="2" t="n"/>
      <c r="C109" s="2" t="n"/>
      <c r="D109" s="10" t="n"/>
      <c r="E109" s="2" t="n"/>
      <c r="F109" s="2" t="n"/>
      <c r="G109" s="2" t="n"/>
      <c r="H109" s="10" t="n"/>
      <c r="I109" s="2" t="n"/>
      <c r="J109" s="2" t="n"/>
    </row>
    <row r="110">
      <c r="A110" s="2" t="n"/>
      <c r="B110" s="2" t="n"/>
      <c r="C110" s="2" t="n"/>
      <c r="D110" s="10" t="n"/>
      <c r="E110" s="2" t="n"/>
      <c r="F110" s="2" t="n"/>
      <c r="G110" s="2" t="n"/>
      <c r="H110" s="10" t="n"/>
      <c r="I110" s="2" t="n"/>
      <c r="J110" s="2" t="n"/>
    </row>
    <row r="111">
      <c r="A111" s="2" t="n"/>
      <c r="B111" s="2" t="n"/>
      <c r="C111" s="2" t="n"/>
      <c r="D111" s="10" t="n"/>
      <c r="E111" s="2" t="n"/>
      <c r="F111" s="2" t="n"/>
      <c r="G111" s="2" t="n"/>
      <c r="H111" s="10" t="n"/>
      <c r="I111" s="2" t="n"/>
      <c r="J111" s="2" t="n"/>
    </row>
    <row r="112">
      <c r="A112" s="2" t="n"/>
      <c r="B112" s="2" t="n"/>
      <c r="C112" s="2" t="n"/>
      <c r="D112" s="10" t="n"/>
      <c r="E112" s="2" t="n"/>
      <c r="F112" s="2" t="n"/>
      <c r="G112" s="2" t="n"/>
      <c r="H112" s="10" t="n"/>
      <c r="I112" s="2" t="n"/>
      <c r="J112" s="2" t="n"/>
    </row>
    <row r="113">
      <c r="A113" s="2" t="n"/>
      <c r="B113" s="2" t="n"/>
      <c r="C113" s="2" t="n"/>
      <c r="D113" s="10" t="n"/>
      <c r="E113" s="2" t="n"/>
      <c r="F113" s="2" t="n"/>
      <c r="G113" s="2" t="n"/>
      <c r="H113" s="10" t="n"/>
      <c r="I113" s="2" t="n"/>
      <c r="J113" s="2" t="n"/>
    </row>
    <row r="114">
      <c r="A114" s="2" t="n"/>
      <c r="B114" s="2" t="n"/>
      <c r="C114" s="2" t="n"/>
      <c r="D114" s="10" t="n"/>
      <c r="E114" s="2" t="n"/>
      <c r="F114" s="2" t="n"/>
      <c r="G114" s="2" t="n"/>
      <c r="H114" s="10" t="n"/>
      <c r="I114" s="2" t="n"/>
      <c r="J114" s="2" t="n"/>
    </row>
    <row r="115">
      <c r="A115" s="2" t="n"/>
      <c r="B115" s="2" t="n"/>
      <c r="C115" s="2" t="n"/>
      <c r="D115" s="10" t="n"/>
      <c r="E115" s="2" t="n"/>
      <c r="F115" s="2" t="n"/>
      <c r="G115" s="2" t="n"/>
      <c r="H115" s="10" t="n"/>
      <c r="I115" s="2" t="n"/>
      <c r="J115" s="2" t="n"/>
    </row>
    <row r="116">
      <c r="A116" s="2" t="n"/>
      <c r="B116" s="2" t="n"/>
      <c r="C116" s="2" t="n"/>
      <c r="D116" s="10" t="n"/>
      <c r="E116" s="2" t="n"/>
      <c r="F116" s="2" t="n"/>
      <c r="G116" s="2" t="n"/>
      <c r="H116" s="10" t="n"/>
      <c r="I116" s="2" t="n"/>
      <c r="J116" s="2" t="n"/>
    </row>
    <row r="117">
      <c r="A117" s="2" t="n"/>
      <c r="B117" s="2" t="n"/>
      <c r="C117" s="2" t="n"/>
      <c r="D117" s="10" t="n"/>
      <c r="E117" s="2" t="n"/>
      <c r="F117" s="2" t="n"/>
      <c r="G117" s="2" t="n"/>
      <c r="H117" s="10" t="n"/>
      <c r="I117" s="2" t="n"/>
      <c r="J117" s="2" t="n"/>
    </row>
    <row r="118">
      <c r="A118" s="2" t="n"/>
      <c r="B118" s="2" t="n"/>
      <c r="C118" s="2" t="n"/>
      <c r="D118" s="10" t="n"/>
      <c r="E118" s="2" t="n"/>
      <c r="F118" s="2" t="n"/>
      <c r="G118" s="2" t="n"/>
      <c r="H118" s="10" t="n"/>
      <c r="I118" s="2" t="n"/>
      <c r="J118" s="2" t="n"/>
    </row>
    <row r="119">
      <c r="A119" s="2" t="n"/>
      <c r="B119" s="2" t="n"/>
      <c r="C119" s="2" t="n"/>
      <c r="D119" s="10" t="n"/>
      <c r="E119" s="2" t="n"/>
      <c r="F119" s="2" t="n"/>
      <c r="G119" s="2" t="n"/>
      <c r="H119" s="10" t="n"/>
      <c r="I119" s="2" t="n"/>
      <c r="J119" s="2" t="n"/>
    </row>
    <row r="120">
      <c r="A120" s="2" t="n"/>
      <c r="B120" s="2" t="n"/>
      <c r="C120" s="2" t="n"/>
      <c r="D120" s="10" t="n"/>
      <c r="E120" s="2" t="n"/>
      <c r="F120" s="2" t="n"/>
      <c r="G120" s="2" t="n"/>
      <c r="H120" s="10" t="n"/>
      <c r="I120" s="2" t="n"/>
      <c r="J120" s="2" t="n"/>
    </row>
    <row r="121">
      <c r="A121" s="2" t="n"/>
      <c r="B121" s="2" t="n"/>
      <c r="C121" s="2" t="n"/>
      <c r="D121" s="10" t="n"/>
      <c r="E121" s="2" t="n"/>
      <c r="F121" s="2" t="n"/>
      <c r="G121" s="2" t="n"/>
      <c r="H121" s="10" t="n"/>
      <c r="I121" s="2" t="n"/>
      <c r="J121" s="2" t="n"/>
    </row>
    <row r="122">
      <c r="A122" s="2" t="n"/>
      <c r="B122" s="2" t="n"/>
      <c r="C122" s="2" t="n"/>
      <c r="D122" s="10" t="n"/>
      <c r="E122" s="2" t="n"/>
      <c r="F122" s="2" t="n"/>
      <c r="G122" s="2" t="n"/>
      <c r="H122" s="10" t="n"/>
      <c r="I122" s="2" t="n"/>
      <c r="J122" s="2" t="n"/>
    </row>
    <row r="123">
      <c r="A123" s="2" t="n"/>
      <c r="B123" s="2" t="n"/>
      <c r="C123" s="2" t="n"/>
      <c r="D123" s="10" t="n"/>
      <c r="E123" s="2" t="n"/>
      <c r="F123" s="2" t="n"/>
      <c r="G123" s="2" t="n"/>
      <c r="H123" s="10" t="n"/>
      <c r="I123" s="2" t="n"/>
      <c r="J123" s="2" t="n"/>
    </row>
    <row r="124">
      <c r="A124" s="2" t="n"/>
      <c r="B124" s="2" t="n"/>
      <c r="C124" s="2" t="n"/>
      <c r="D124" s="10" t="n"/>
      <c r="E124" s="2" t="n"/>
      <c r="F124" s="2" t="n"/>
      <c r="G124" s="2" t="n"/>
      <c r="H124" s="10" t="n"/>
      <c r="I124" s="2" t="n"/>
      <c r="J124" s="2" t="n"/>
    </row>
    <row r="125">
      <c r="A125" s="2" t="n"/>
      <c r="B125" s="2" t="n"/>
      <c r="C125" s="2" t="n"/>
      <c r="D125" s="10" t="n"/>
      <c r="E125" s="2" t="n"/>
      <c r="F125" s="2" t="n"/>
      <c r="G125" s="2" t="n"/>
      <c r="H125" s="10" t="n"/>
      <c r="I125" s="2" t="n"/>
      <c r="J125" s="2" t="n"/>
    </row>
    <row r="126">
      <c r="A126" s="2" t="n"/>
      <c r="B126" s="2" t="n"/>
      <c r="C126" s="2" t="n"/>
      <c r="D126" s="10" t="n"/>
      <c r="E126" s="2" t="n"/>
      <c r="F126" s="2" t="n"/>
      <c r="G126" s="2" t="n"/>
      <c r="H126" s="10" t="n"/>
      <c r="I126" s="2" t="n"/>
      <c r="J126" s="2" t="n"/>
    </row>
    <row r="127">
      <c r="A127" s="2" t="n"/>
      <c r="B127" s="2" t="n"/>
      <c r="C127" s="2" t="n"/>
      <c r="D127" s="10" t="n"/>
      <c r="E127" s="2" t="n"/>
      <c r="F127" s="2" t="n"/>
      <c r="G127" s="2" t="n"/>
      <c r="H127" s="10" t="n"/>
      <c r="I127" s="2" t="n"/>
      <c r="J127" s="2" t="n"/>
    </row>
    <row r="128">
      <c r="A128" s="2" t="n"/>
      <c r="B128" s="2" t="n"/>
      <c r="C128" s="2" t="n"/>
      <c r="D128" s="10" t="n"/>
      <c r="E128" s="2" t="n"/>
      <c r="F128" s="2" t="n"/>
      <c r="G128" s="2" t="n"/>
      <c r="H128" s="10" t="n"/>
      <c r="I128" s="2" t="n"/>
      <c r="J128" s="2" t="n"/>
    </row>
    <row r="129">
      <c r="A129" s="2" t="n"/>
      <c r="B129" s="2" t="n"/>
      <c r="C129" s="2" t="n"/>
      <c r="D129" s="10" t="n"/>
      <c r="E129" s="2" t="n"/>
      <c r="F129" s="2" t="n"/>
      <c r="G129" s="2" t="n"/>
      <c r="H129" s="10" t="n"/>
      <c r="I129" s="2" t="n"/>
      <c r="J129" s="2" t="n"/>
    </row>
    <row r="130">
      <c r="A130" s="2" t="n"/>
      <c r="B130" s="2" t="n"/>
      <c r="C130" s="2" t="n"/>
      <c r="D130" s="10" t="n"/>
      <c r="E130" s="2" t="n"/>
      <c r="F130" s="2" t="n"/>
      <c r="G130" s="2" t="n"/>
      <c r="H130" s="10" t="n"/>
      <c r="I130" s="2" t="n"/>
      <c r="J130" s="2" t="n"/>
    </row>
    <row r="131">
      <c r="A131" s="2" t="n"/>
      <c r="B131" s="2" t="n"/>
      <c r="C131" s="2" t="n"/>
      <c r="D131" s="10" t="n"/>
      <c r="E131" s="2" t="n"/>
      <c r="F131" s="2" t="n"/>
      <c r="G131" s="2" t="n"/>
      <c r="H131" s="10" t="n"/>
      <c r="I131" s="2" t="n"/>
      <c r="J131" s="2" t="n"/>
    </row>
    <row r="132">
      <c r="A132" s="2" t="n"/>
      <c r="B132" s="2" t="n"/>
      <c r="C132" s="2" t="n"/>
      <c r="D132" s="10" t="n"/>
      <c r="E132" s="2" t="n"/>
      <c r="F132" s="2" t="n"/>
      <c r="G132" s="2" t="n"/>
      <c r="H132" s="10" t="n"/>
      <c r="I132" s="2" t="n"/>
      <c r="J132" s="2" t="n"/>
    </row>
    <row r="133">
      <c r="A133" s="2" t="n"/>
      <c r="B133" s="2" t="n"/>
      <c r="C133" s="2" t="n"/>
      <c r="D133" s="10" t="n"/>
      <c r="E133" s="2" t="n"/>
      <c r="F133" s="2" t="n"/>
      <c r="G133" s="2" t="n"/>
      <c r="H133" s="10" t="n"/>
      <c r="I133" s="2" t="n"/>
      <c r="J133" s="2" t="n"/>
    </row>
    <row r="134">
      <c r="A134" s="2" t="n"/>
      <c r="B134" s="2" t="n"/>
      <c r="C134" s="2" t="n"/>
      <c r="D134" s="10" t="n"/>
      <c r="E134" s="2" t="n"/>
      <c r="F134" s="2" t="n"/>
      <c r="G134" s="2" t="n"/>
      <c r="H134" s="10" t="n"/>
      <c r="I134" s="2" t="n"/>
      <c r="J134" s="2" t="n"/>
    </row>
    <row r="135">
      <c r="A135" s="2" t="n"/>
      <c r="B135" s="2" t="n"/>
      <c r="C135" s="2" t="n"/>
      <c r="D135" s="10" t="n"/>
      <c r="E135" s="2" t="n"/>
      <c r="F135" s="2" t="n"/>
      <c r="G135" s="2" t="n"/>
      <c r="H135" s="10" t="n"/>
      <c r="I135" s="2" t="n"/>
      <c r="J135" s="2" t="n"/>
    </row>
    <row r="136">
      <c r="A136" s="2" t="n"/>
      <c r="B136" s="2" t="n"/>
      <c r="C136" s="2" t="n"/>
      <c r="D136" s="10" t="n"/>
      <c r="E136" s="2" t="n"/>
      <c r="F136" s="2" t="n"/>
      <c r="G136" s="2" t="n"/>
      <c r="H136" s="10" t="n"/>
      <c r="I136" s="2" t="n"/>
      <c r="J136" s="2" t="n"/>
    </row>
    <row r="137">
      <c r="A137" s="2" t="n"/>
      <c r="B137" s="2" t="n"/>
      <c r="C137" s="2" t="n"/>
      <c r="D137" s="10" t="n"/>
      <c r="E137" s="2" t="n"/>
      <c r="F137" s="2" t="n"/>
      <c r="G137" s="2" t="n"/>
      <c r="H137" s="10" t="n"/>
      <c r="I137" s="2" t="n"/>
      <c r="J137" s="2" t="n"/>
    </row>
    <row r="138">
      <c r="A138" s="2" t="n"/>
      <c r="B138" s="2" t="n"/>
      <c r="C138" s="2" t="n"/>
      <c r="D138" s="10" t="n"/>
      <c r="E138" s="2" t="n"/>
      <c r="F138" s="2" t="n"/>
      <c r="G138" s="2" t="n"/>
      <c r="H138" s="10" t="n"/>
      <c r="I138" s="2" t="n"/>
      <c r="J138" s="2" t="n"/>
    </row>
    <row r="139">
      <c r="A139" s="2" t="n"/>
      <c r="B139" s="2" t="n"/>
      <c r="C139" s="2" t="n"/>
      <c r="D139" s="10" t="n"/>
      <c r="E139" s="2" t="n"/>
      <c r="F139" s="2" t="n"/>
      <c r="G139" s="2" t="n"/>
      <c r="H139" s="10" t="n"/>
      <c r="I139" s="2" t="n"/>
      <c r="J139" s="2" t="n"/>
    </row>
    <row r="140">
      <c r="A140" s="2" t="n"/>
      <c r="B140" s="2" t="n"/>
      <c r="C140" s="2" t="n"/>
      <c r="D140" s="10" t="n"/>
      <c r="E140" s="2" t="n"/>
      <c r="F140" s="2" t="n"/>
      <c r="G140" s="2" t="n"/>
      <c r="H140" s="10" t="n"/>
      <c r="I140" s="2" t="n"/>
      <c r="J140" s="2" t="n"/>
    </row>
    <row r="141">
      <c r="A141" s="2" t="n"/>
      <c r="B141" s="2" t="n"/>
      <c r="C141" s="2" t="n"/>
      <c r="D141" s="10" t="n"/>
      <c r="E141" s="2" t="n"/>
      <c r="F141" s="2" t="n"/>
      <c r="G141" s="2" t="n"/>
      <c r="H141" s="10" t="n"/>
      <c r="I141" s="2" t="n"/>
      <c r="J141" s="2" t="n"/>
    </row>
    <row r="142">
      <c r="A142" s="2" t="n"/>
      <c r="B142" s="2" t="n"/>
      <c r="C142" s="2" t="n"/>
      <c r="D142" s="10" t="n"/>
      <c r="E142" s="2" t="n"/>
      <c r="F142" s="2" t="n"/>
      <c r="G142" s="2" t="n"/>
      <c r="H142" s="10" t="n"/>
      <c r="I142" s="2" t="n"/>
      <c r="J142" s="2" t="n"/>
    </row>
    <row r="143">
      <c r="A143" s="2" t="n"/>
      <c r="B143" s="2" t="n"/>
      <c r="C143" s="2" t="n"/>
      <c r="D143" s="10" t="n"/>
      <c r="E143" s="2" t="n"/>
      <c r="F143" s="2" t="n"/>
      <c r="G143" s="2" t="n"/>
      <c r="H143" s="10" t="n"/>
      <c r="I143" s="2" t="n"/>
      <c r="J143" s="2" t="n"/>
    </row>
    <row r="144">
      <c r="A144" s="2" t="n"/>
      <c r="B144" s="2" t="n"/>
      <c r="C144" s="2" t="n"/>
      <c r="D144" s="10" t="n"/>
      <c r="E144" s="2" t="n"/>
      <c r="F144" s="2" t="n"/>
      <c r="G144" s="2" t="n"/>
      <c r="H144" s="10" t="n"/>
      <c r="I144" s="2" t="n"/>
      <c r="J144" s="2" t="n"/>
    </row>
    <row r="145">
      <c r="A145" s="2" t="n"/>
      <c r="B145" s="2" t="n"/>
      <c r="C145" s="2" t="n"/>
      <c r="D145" s="10" t="n"/>
      <c r="E145" s="2" t="n"/>
      <c r="F145" s="2" t="n"/>
      <c r="G145" s="2" t="n"/>
      <c r="H145" s="10" t="n"/>
      <c r="I145" s="2" t="n"/>
      <c r="J145" s="2" t="n"/>
    </row>
    <row r="146">
      <c r="A146" s="2" t="n"/>
      <c r="B146" s="2" t="n"/>
      <c r="C146" s="2" t="n"/>
      <c r="D146" s="10" t="n"/>
      <c r="E146" s="2" t="n"/>
      <c r="F146" s="2" t="n"/>
      <c r="G146" s="2" t="n"/>
      <c r="H146" s="10" t="n"/>
      <c r="I146" s="2" t="n"/>
      <c r="J146" s="2" t="n"/>
    </row>
    <row r="147">
      <c r="A147" s="2" t="n"/>
      <c r="B147" s="2" t="n"/>
      <c r="C147" s="2" t="n"/>
      <c r="D147" s="10" t="n"/>
      <c r="E147" s="2" t="n"/>
      <c r="F147" s="2" t="n"/>
      <c r="G147" s="2" t="n"/>
      <c r="H147" s="10" t="n"/>
      <c r="I147" s="2" t="n"/>
      <c r="J147" s="2" t="n"/>
    </row>
    <row r="148">
      <c r="A148" s="2" t="n"/>
      <c r="B148" s="2" t="n"/>
      <c r="C148" s="2" t="n"/>
      <c r="D148" s="10" t="n"/>
      <c r="E148" s="2" t="n"/>
      <c r="F148" s="2" t="n"/>
      <c r="G148" s="2" t="n"/>
      <c r="H148" s="10" t="n"/>
      <c r="I148" s="2" t="n"/>
      <c r="J148" s="2" t="n"/>
    </row>
    <row r="149">
      <c r="A149" s="2" t="n"/>
      <c r="B149" s="2" t="n"/>
      <c r="C149" s="2" t="n"/>
      <c r="D149" s="10" t="n"/>
      <c r="E149" s="2" t="n"/>
      <c r="F149" s="2" t="n"/>
      <c r="G149" s="2" t="n"/>
      <c r="H149" s="10" t="n"/>
      <c r="I149" s="2" t="n"/>
      <c r="J149" s="2" t="n"/>
    </row>
    <row r="150">
      <c r="A150" s="2" t="n"/>
      <c r="B150" s="2" t="n"/>
      <c r="C150" s="2" t="n"/>
      <c r="D150" s="10" t="n"/>
      <c r="E150" s="2" t="n"/>
      <c r="F150" s="2" t="n"/>
      <c r="G150" s="2" t="n"/>
      <c r="H150" s="10" t="n"/>
      <c r="I150" s="2" t="n"/>
      <c r="J150" s="2" t="n"/>
    </row>
    <row r="151">
      <c r="A151" s="2" t="n"/>
      <c r="B151" s="2" t="n"/>
      <c r="C151" s="2" t="n"/>
      <c r="D151" s="10" t="n"/>
      <c r="E151" s="2" t="n"/>
      <c r="F151" s="2" t="n"/>
      <c r="G151" s="2" t="n"/>
      <c r="H151" s="10" t="n"/>
      <c r="I151" s="2" t="n"/>
      <c r="J151" s="2" t="n"/>
    </row>
    <row r="152">
      <c r="A152" s="2" t="n"/>
      <c r="B152" s="2" t="n"/>
      <c r="C152" s="2" t="n"/>
      <c r="D152" s="10" t="n"/>
      <c r="E152" s="2" t="n"/>
      <c r="F152" s="2" t="n"/>
      <c r="G152" s="2" t="n"/>
      <c r="H152" s="10" t="n"/>
      <c r="I152" s="2" t="n"/>
      <c r="J152" s="2" t="n"/>
    </row>
    <row r="153">
      <c r="A153" s="2" t="n"/>
      <c r="B153" s="2" t="n"/>
      <c r="C153" s="2" t="n"/>
      <c r="D153" s="10" t="n"/>
      <c r="E153" s="2" t="n"/>
      <c r="F153" s="2" t="n"/>
      <c r="G153" s="2" t="n"/>
      <c r="H153" s="10" t="n"/>
      <c r="I153" s="2" t="n"/>
      <c r="J153" s="2" t="n"/>
    </row>
    <row r="154">
      <c r="A154" s="2" t="n"/>
      <c r="B154" s="2" t="n"/>
      <c r="C154" s="2" t="n"/>
      <c r="D154" s="10" t="n"/>
      <c r="E154" s="2" t="n"/>
      <c r="F154" s="2" t="n"/>
      <c r="G154" s="2" t="n"/>
      <c r="H154" s="10" t="n"/>
      <c r="I154" s="2" t="n"/>
      <c r="J154" s="2" t="n"/>
    </row>
    <row r="155">
      <c r="A155" s="2" t="n"/>
      <c r="B155" s="2" t="n"/>
      <c r="C155" s="2" t="n"/>
      <c r="D155" s="10" t="n"/>
      <c r="E155" s="2" t="n"/>
      <c r="F155" s="2" t="n"/>
      <c r="G155" s="2" t="n"/>
      <c r="H155" s="10" t="n"/>
      <c r="I155" s="2" t="n"/>
      <c r="J155" s="2" t="n"/>
    </row>
    <row r="156">
      <c r="A156" s="2" t="n"/>
      <c r="B156" s="2" t="n"/>
      <c r="C156" s="2" t="n"/>
      <c r="D156" s="10" t="n"/>
      <c r="E156" s="2" t="n"/>
      <c r="F156" s="2" t="n"/>
      <c r="G156" s="2" t="n"/>
      <c r="H156" s="10" t="n"/>
      <c r="I156" s="2" t="n"/>
      <c r="J156" s="2" t="n"/>
    </row>
    <row r="157">
      <c r="A157" s="2" t="n"/>
      <c r="B157" s="2" t="n"/>
      <c r="C157" s="2" t="n"/>
      <c r="D157" s="10" t="n"/>
      <c r="E157" s="2" t="n"/>
      <c r="F157" s="2" t="n"/>
      <c r="G157" s="2" t="n"/>
      <c r="H157" s="10" t="n"/>
      <c r="I157" s="2" t="n"/>
      <c r="J157" s="2" t="n"/>
    </row>
    <row r="158">
      <c r="A158" s="2" t="n"/>
      <c r="B158" s="2" t="n"/>
      <c r="C158" s="2" t="n"/>
      <c r="D158" s="10" t="n"/>
      <c r="E158" s="2" t="n"/>
      <c r="F158" s="2" t="n"/>
      <c r="G158" s="2" t="n"/>
      <c r="H158" s="10" t="n"/>
      <c r="I158" s="2" t="n"/>
      <c r="J158" s="2" t="n"/>
    </row>
    <row r="159">
      <c r="A159" s="2" t="n"/>
      <c r="B159" s="2" t="n"/>
      <c r="C159" s="2" t="n"/>
      <c r="D159" s="10" t="n"/>
      <c r="E159" s="2" t="n"/>
      <c r="F159" s="2" t="n"/>
      <c r="G159" s="2" t="n"/>
      <c r="H159" s="10" t="n"/>
      <c r="I159" s="2" t="n"/>
      <c r="J159" s="2" t="n"/>
    </row>
    <row r="160">
      <c r="A160" s="2" t="n"/>
      <c r="B160" s="2" t="n"/>
      <c r="C160" s="2" t="n"/>
      <c r="D160" s="10" t="n"/>
      <c r="E160" s="2" t="n"/>
      <c r="F160" s="2" t="n"/>
      <c r="G160" s="2" t="n"/>
      <c r="H160" s="10" t="n"/>
      <c r="I160" s="2" t="n"/>
      <c r="J160" s="2" t="n"/>
    </row>
    <row r="161">
      <c r="A161" s="2" t="n"/>
      <c r="B161" s="2" t="n"/>
      <c r="C161" s="2" t="n"/>
      <c r="D161" s="10" t="n"/>
      <c r="E161" s="2" t="n"/>
      <c r="F161" s="2" t="n"/>
      <c r="G161" s="2" t="n"/>
      <c r="H161" s="10" t="n"/>
      <c r="I161" s="2" t="n"/>
      <c r="J161" s="2" t="n"/>
    </row>
    <row r="162">
      <c r="A162" s="2" t="n"/>
      <c r="B162" s="2" t="n"/>
      <c r="C162" s="2" t="n"/>
      <c r="D162" s="10" t="n"/>
      <c r="E162" s="2" t="n"/>
      <c r="F162" s="2" t="n"/>
      <c r="G162" s="2" t="n"/>
      <c r="H162" s="10" t="n"/>
      <c r="I162" s="2" t="n"/>
      <c r="J162" s="2" t="n"/>
    </row>
    <row r="163">
      <c r="A163" s="2" t="n"/>
      <c r="B163" s="2" t="n"/>
      <c r="C163" s="2" t="n"/>
      <c r="D163" s="10" t="n"/>
      <c r="E163" s="2" t="n"/>
      <c r="F163" s="2" t="n"/>
      <c r="G163" s="2" t="n"/>
      <c r="H163" s="10" t="n"/>
      <c r="I163" s="2" t="n"/>
      <c r="J163" s="2" t="n"/>
    </row>
    <row r="164">
      <c r="A164" s="2" t="n"/>
      <c r="B164" s="2" t="n"/>
      <c r="C164" s="2" t="n"/>
      <c r="D164" s="10" t="n"/>
      <c r="E164" s="2" t="n"/>
      <c r="F164" s="2" t="n"/>
      <c r="G164" s="2" t="n"/>
      <c r="H164" s="10" t="n"/>
      <c r="I164" s="2" t="n"/>
      <c r="J164" s="2" t="n"/>
    </row>
    <row r="165">
      <c r="A165" s="2" t="n"/>
      <c r="B165" s="2" t="n"/>
      <c r="C165" s="2" t="n"/>
      <c r="D165" s="10" t="n"/>
      <c r="E165" s="2" t="n"/>
      <c r="F165" s="2" t="n"/>
      <c r="G165" s="2" t="n"/>
      <c r="H165" s="10" t="n"/>
      <c r="I165" s="2" t="n"/>
      <c r="J165" s="2" t="n"/>
    </row>
    <row r="166">
      <c r="A166" s="2" t="n"/>
      <c r="B166" s="2" t="n"/>
      <c r="C166" s="2" t="n"/>
      <c r="D166" s="10" t="n"/>
      <c r="E166" s="2" t="n"/>
      <c r="F166" s="2" t="n"/>
      <c r="G166" s="2" t="n"/>
      <c r="H166" s="10" t="n"/>
      <c r="I166" s="2" t="n"/>
      <c r="J166" s="2" t="n"/>
    </row>
    <row r="167">
      <c r="A167" s="2" t="n"/>
      <c r="B167" s="2" t="n"/>
      <c r="C167" s="2" t="n"/>
      <c r="D167" s="10" t="n"/>
      <c r="E167" s="2" t="n"/>
      <c r="F167" s="2" t="n"/>
      <c r="G167" s="2" t="n"/>
      <c r="H167" s="10" t="n"/>
      <c r="I167" s="2" t="n"/>
      <c r="J167" s="2" t="n"/>
    </row>
    <row r="168">
      <c r="A168" s="2" t="n"/>
      <c r="B168" s="2" t="n"/>
      <c r="C168" s="2" t="n"/>
      <c r="D168" s="10" t="n"/>
      <c r="E168" s="2" t="n"/>
      <c r="F168" s="2" t="n"/>
      <c r="G168" s="2" t="n"/>
      <c r="H168" s="10" t="n"/>
      <c r="I168" s="2" t="n"/>
      <c r="J168" s="2" t="n"/>
    </row>
    <row r="169">
      <c r="A169" s="2" t="n"/>
      <c r="B169" s="2" t="n"/>
      <c r="C169" s="2" t="n"/>
      <c r="D169" s="10" t="n"/>
      <c r="E169" s="2" t="n"/>
      <c r="F169" s="2" t="n"/>
      <c r="G169" s="2" t="n"/>
      <c r="H169" s="10" t="n"/>
      <c r="I169" s="2" t="n"/>
      <c r="J169" s="2" t="n"/>
    </row>
    <row r="170">
      <c r="A170" s="2" t="n"/>
      <c r="B170" s="2" t="n"/>
      <c r="C170" s="2" t="n"/>
      <c r="D170" s="10" t="n"/>
      <c r="E170" s="2" t="n"/>
      <c r="F170" s="2" t="n"/>
      <c r="G170" s="2" t="n"/>
      <c r="H170" s="10" t="n"/>
      <c r="I170" s="2" t="n"/>
      <c r="J170" s="2" t="n"/>
    </row>
    <row r="171">
      <c r="A171" s="2" t="n"/>
      <c r="B171" s="2" t="n"/>
      <c r="C171" s="2" t="n"/>
      <c r="D171" s="10" t="n"/>
      <c r="E171" s="2" t="n"/>
      <c r="F171" s="2" t="n"/>
      <c r="G171" s="2" t="n"/>
      <c r="H171" s="10" t="n"/>
      <c r="I171" s="2" t="n"/>
      <c r="J171" s="2" t="n"/>
    </row>
    <row r="172">
      <c r="A172" s="2" t="n"/>
      <c r="B172" s="2" t="n"/>
      <c r="C172" s="2" t="n"/>
      <c r="D172" s="10" t="n"/>
      <c r="E172" s="2" t="n"/>
      <c r="F172" s="2" t="n"/>
      <c r="G172" s="2" t="n"/>
      <c r="H172" s="10" t="n"/>
      <c r="I172" s="2" t="n"/>
      <c r="J172" s="2" t="n"/>
    </row>
    <row r="173">
      <c r="A173" s="2" t="n"/>
      <c r="B173" s="2" t="n"/>
      <c r="C173" s="2" t="n"/>
      <c r="D173" s="10" t="n"/>
      <c r="E173" s="2" t="n"/>
      <c r="F173" s="2" t="n"/>
      <c r="G173" s="2" t="n"/>
      <c r="H173" s="10" t="n"/>
      <c r="I173" s="2" t="n"/>
      <c r="J173" s="2" t="n"/>
    </row>
    <row r="174">
      <c r="A174" s="2" t="n"/>
      <c r="B174" s="2" t="n"/>
      <c r="C174" s="2" t="n"/>
      <c r="D174" s="10" t="n"/>
      <c r="E174" s="2" t="n"/>
      <c r="F174" s="2" t="n"/>
      <c r="G174" s="2" t="n"/>
      <c r="H174" s="10" t="n"/>
      <c r="I174" s="2" t="n"/>
      <c r="J174" s="2" t="n"/>
    </row>
    <row r="175">
      <c r="A175" s="2" t="n"/>
      <c r="B175" s="2" t="n"/>
      <c r="C175" s="2" t="n"/>
      <c r="D175" s="10" t="n"/>
      <c r="E175" s="2" t="n"/>
      <c r="F175" s="2" t="n"/>
      <c r="G175" s="2" t="n"/>
      <c r="H175" s="10" t="n"/>
      <c r="I175" s="2" t="n"/>
      <c r="J175" s="2" t="n"/>
    </row>
    <row r="176">
      <c r="A176" s="2" t="n"/>
      <c r="B176" s="2" t="n"/>
      <c r="C176" s="2" t="n"/>
      <c r="D176" s="10" t="n"/>
      <c r="E176" s="2" t="n"/>
      <c r="F176" s="2" t="n"/>
      <c r="G176" s="2" t="n"/>
      <c r="H176" s="10" t="n"/>
      <c r="I176" s="2" t="n"/>
      <c r="J176" s="2" t="n"/>
    </row>
    <row r="177">
      <c r="A177" s="2" t="n"/>
      <c r="B177" s="2" t="n"/>
      <c r="C177" s="2" t="n"/>
      <c r="D177" s="10" t="n"/>
      <c r="E177" s="2" t="n"/>
      <c r="F177" s="2" t="n"/>
      <c r="G177" s="2" t="n"/>
      <c r="H177" s="10" t="n"/>
      <c r="I177" s="2" t="n"/>
      <c r="J177" s="2" t="n"/>
    </row>
    <row r="178">
      <c r="A178" s="2" t="n"/>
      <c r="B178" s="2" t="n"/>
      <c r="C178" s="2" t="n"/>
      <c r="D178" s="10" t="n"/>
      <c r="E178" s="2" t="n"/>
      <c r="F178" s="2" t="n"/>
      <c r="G178" s="2" t="n"/>
      <c r="H178" s="10" t="n"/>
      <c r="I178" s="2" t="n"/>
      <c r="J178" s="2" t="n"/>
    </row>
    <row r="179">
      <c r="A179" s="2" t="n"/>
      <c r="B179" s="2" t="n"/>
      <c r="C179" s="2" t="n"/>
      <c r="D179" s="10" t="n"/>
      <c r="E179" s="2" t="n"/>
      <c r="F179" s="2" t="n"/>
      <c r="G179" s="2" t="n"/>
      <c r="H179" s="10" t="n"/>
      <c r="I179" s="2" t="n"/>
      <c r="J179" s="2" t="n"/>
    </row>
    <row r="180">
      <c r="A180" s="2" t="n"/>
      <c r="B180" s="2" t="n"/>
      <c r="C180" s="2" t="n"/>
      <c r="D180" s="10" t="n"/>
      <c r="E180" s="2" t="n"/>
      <c r="F180" s="2" t="n"/>
      <c r="G180" s="2" t="n"/>
      <c r="H180" s="10" t="n"/>
      <c r="I180" s="2" t="n"/>
      <c r="J180" s="2" t="n"/>
    </row>
    <row r="181">
      <c r="A181" s="2" t="n"/>
      <c r="B181" s="2" t="n"/>
      <c r="C181" s="2" t="n"/>
      <c r="D181" s="10" t="n"/>
      <c r="E181" s="2" t="n"/>
      <c r="F181" s="2" t="n"/>
      <c r="G181" s="2" t="n"/>
      <c r="H181" s="10" t="n"/>
      <c r="I181" s="2" t="n"/>
      <c r="J181" s="2" t="n"/>
    </row>
    <row r="182">
      <c r="A182" s="2" t="n"/>
      <c r="B182" s="2" t="n"/>
      <c r="C182" s="2" t="n"/>
      <c r="D182" s="10" t="n"/>
      <c r="E182" s="2" t="n"/>
      <c r="F182" s="2" t="n"/>
      <c r="G182" s="2" t="n"/>
      <c r="H182" s="10" t="n"/>
      <c r="I182" s="2" t="n"/>
      <c r="J182" s="2" t="n"/>
    </row>
    <row r="183">
      <c r="A183" s="2" t="n"/>
      <c r="B183" s="2" t="n"/>
      <c r="C183" s="2" t="n"/>
      <c r="D183" s="10" t="n"/>
      <c r="E183" s="2" t="n"/>
      <c r="F183" s="2" t="n"/>
      <c r="G183" s="2" t="n"/>
      <c r="H183" s="10" t="n"/>
      <c r="I183" s="2" t="n"/>
      <c r="J183" s="2" t="n"/>
    </row>
    <row r="184">
      <c r="A184" s="2" t="n"/>
      <c r="B184" s="2" t="n"/>
      <c r="C184" s="2" t="n"/>
      <c r="D184" s="10" t="n"/>
      <c r="E184" s="2" t="n"/>
      <c r="F184" s="2" t="n"/>
      <c r="G184" s="2" t="n"/>
      <c r="H184" s="10" t="n"/>
      <c r="I184" s="2" t="n"/>
      <c r="J184" s="2" t="n"/>
    </row>
    <row r="185">
      <c r="A185" s="2" t="n"/>
      <c r="B185" s="2" t="n"/>
      <c r="C185" s="2" t="n"/>
      <c r="D185" s="10" t="n"/>
      <c r="E185" s="2" t="n"/>
      <c r="F185" s="2" t="n"/>
      <c r="G185" s="2" t="n"/>
      <c r="H185" s="10" t="n"/>
      <c r="I185" s="2" t="n"/>
      <c r="J185" s="2" t="n"/>
    </row>
    <row r="186">
      <c r="A186" s="2" t="n"/>
      <c r="B186" s="2" t="n"/>
      <c r="C186" s="2" t="n"/>
      <c r="D186" s="10" t="n"/>
      <c r="E186" s="2" t="n"/>
      <c r="F186" s="2" t="n"/>
      <c r="G186" s="2" t="n"/>
      <c r="H186" s="10" t="n"/>
      <c r="I186" s="2" t="n"/>
      <c r="J186" s="2" t="n"/>
    </row>
    <row r="187">
      <c r="A187" s="2" t="n"/>
      <c r="B187" s="2" t="n"/>
      <c r="C187" s="2" t="n"/>
      <c r="D187" s="10" t="n"/>
      <c r="E187" s="2" t="n"/>
      <c r="F187" s="2" t="n"/>
      <c r="G187" s="2" t="n"/>
      <c r="H187" s="10" t="n"/>
      <c r="I187" s="2" t="n"/>
      <c r="J187" s="2" t="n"/>
    </row>
    <row r="188">
      <c r="A188" s="2" t="n"/>
      <c r="B188" s="2" t="n"/>
      <c r="C188" s="2" t="n"/>
      <c r="D188" s="10" t="n"/>
      <c r="E188" s="2" t="n"/>
      <c r="F188" s="2" t="n"/>
      <c r="G188" s="2" t="n"/>
      <c r="H188" s="10" t="n"/>
      <c r="I188" s="2" t="n"/>
      <c r="J188" s="2" t="n"/>
    </row>
    <row r="189">
      <c r="A189" s="2" t="n"/>
      <c r="B189" s="2" t="n"/>
      <c r="C189" s="2" t="n"/>
      <c r="D189" s="10" t="n"/>
      <c r="E189" s="2" t="n"/>
      <c r="F189" s="2" t="n"/>
      <c r="G189" s="2" t="n"/>
      <c r="H189" s="10" t="n"/>
      <c r="I189" s="2" t="n"/>
      <c r="J189" s="2" t="n"/>
    </row>
    <row r="190">
      <c r="A190" s="2" t="n"/>
      <c r="B190" s="2" t="n"/>
      <c r="C190" s="2" t="n"/>
      <c r="D190" s="10" t="n"/>
      <c r="E190" s="2" t="n"/>
      <c r="F190" s="2" t="n"/>
      <c r="G190" s="2" t="n"/>
      <c r="H190" s="10" t="n"/>
      <c r="I190" s="2" t="n"/>
      <c r="J190" s="2" t="n"/>
    </row>
    <row r="191">
      <c r="A191" s="2" t="n"/>
      <c r="B191" s="2" t="n"/>
      <c r="C191" s="2" t="n"/>
      <c r="D191" s="10" t="n"/>
      <c r="E191" s="2" t="n"/>
      <c r="F191" s="2" t="n"/>
      <c r="G191" s="2" t="n"/>
      <c r="H191" s="10" t="n"/>
      <c r="I191" s="2" t="n"/>
      <c r="J191" s="2" t="n"/>
    </row>
    <row r="192">
      <c r="A192" s="2" t="n"/>
      <c r="B192" s="2" t="n"/>
      <c r="C192" s="2" t="n"/>
      <c r="D192" s="10" t="n"/>
      <c r="E192" s="2" t="n"/>
      <c r="F192" s="2" t="n"/>
      <c r="G192" s="2" t="n"/>
      <c r="H192" s="10" t="n"/>
      <c r="I192" s="2" t="n"/>
      <c r="J192" s="2" t="n"/>
    </row>
    <row r="193">
      <c r="A193" s="2" t="n"/>
      <c r="B193" s="2" t="n"/>
      <c r="C193" s="2" t="n"/>
      <c r="D193" s="10" t="n"/>
      <c r="E193" s="2" t="n"/>
      <c r="F193" s="2" t="n"/>
      <c r="G193" s="2" t="n"/>
      <c r="H193" s="10" t="n"/>
      <c r="I193" s="2" t="n"/>
      <c r="J193" s="2" t="n"/>
    </row>
    <row r="194">
      <c r="A194" s="2" t="n"/>
      <c r="B194" s="2" t="n"/>
      <c r="C194" s="2" t="n"/>
      <c r="D194" s="10" t="n"/>
      <c r="E194" s="2" t="n"/>
      <c r="F194" s="2" t="n"/>
      <c r="G194" s="2" t="n"/>
      <c r="H194" s="10" t="n"/>
      <c r="I194" s="2" t="n"/>
      <c r="J194" s="2" t="n"/>
    </row>
    <row r="195">
      <c r="A195" s="2" t="n"/>
      <c r="B195" s="2" t="n"/>
      <c r="C195" s="2" t="n"/>
      <c r="D195" s="10" t="n"/>
      <c r="E195" s="2" t="n"/>
      <c r="F195" s="2" t="n"/>
      <c r="G195" s="2" t="n"/>
      <c r="H195" s="10" t="n"/>
      <c r="I195" s="2" t="n"/>
      <c r="J195" s="2" t="n"/>
    </row>
    <row r="196">
      <c r="A196" s="2" t="n"/>
      <c r="B196" s="2" t="n"/>
      <c r="C196" s="2" t="n"/>
      <c r="D196" s="10" t="n"/>
      <c r="E196" s="2" t="n"/>
      <c r="F196" s="2" t="n"/>
      <c r="G196" s="2" t="n"/>
      <c r="H196" s="10" t="n"/>
      <c r="I196" s="2" t="n"/>
      <c r="J196" s="2" t="n"/>
    </row>
    <row r="197">
      <c r="A197" s="2" t="n"/>
      <c r="B197" s="2" t="n"/>
      <c r="C197" s="2" t="n"/>
      <c r="D197" s="10" t="n"/>
      <c r="E197" s="2" t="n"/>
      <c r="F197" s="2" t="n"/>
      <c r="G197" s="2" t="n"/>
      <c r="H197" s="10" t="n"/>
      <c r="I197" s="2" t="n"/>
      <c r="J197" s="2" t="n"/>
    </row>
    <row r="198">
      <c r="A198" s="2" t="n"/>
      <c r="B198" s="2" t="n"/>
      <c r="C198" s="2" t="n"/>
      <c r="D198" s="10" t="n"/>
      <c r="E198" s="2" t="n"/>
      <c r="F198" s="2" t="n"/>
      <c r="G198" s="2" t="n"/>
      <c r="H198" s="10" t="n"/>
      <c r="I198" s="2" t="n"/>
      <c r="J198" s="2" t="n"/>
    </row>
    <row r="199">
      <c r="A199" s="2" t="n"/>
      <c r="B199" s="2" t="n"/>
      <c r="C199" s="2" t="n"/>
      <c r="D199" s="10" t="n"/>
      <c r="E199" s="2" t="n"/>
      <c r="F199" s="2" t="n"/>
      <c r="G199" s="2" t="n"/>
      <c r="H199" s="10" t="n"/>
      <c r="I199" s="2" t="n"/>
      <c r="J199" s="2" t="n"/>
    </row>
    <row r="200">
      <c r="A200" s="2" t="n"/>
      <c r="B200" s="2" t="n"/>
      <c r="C200" s="2" t="n"/>
      <c r="D200" s="10" t="n"/>
      <c r="E200" s="2" t="n"/>
      <c r="F200" s="2" t="n"/>
      <c r="G200" s="2" t="n"/>
      <c r="H200" s="10" t="n"/>
      <c r="I200" s="2" t="n"/>
      <c r="J200" s="2" t="n"/>
    </row>
    <row r="201">
      <c r="A201" s="2" t="n"/>
      <c r="B201" s="2" t="n"/>
      <c r="C201" s="2" t="n"/>
      <c r="D201" s="10" t="n"/>
      <c r="E201" s="2" t="n"/>
      <c r="F201" s="2" t="n"/>
      <c r="G201" s="2" t="n"/>
      <c r="H201" s="10" t="n"/>
      <c r="I201" s="2" t="n"/>
      <c r="J201" s="2" t="n"/>
    </row>
    <row r="202">
      <c r="A202" s="2" t="n"/>
      <c r="B202" s="2" t="n"/>
      <c r="C202" s="2" t="n"/>
      <c r="D202" s="10" t="n"/>
      <c r="E202" s="2" t="n"/>
      <c r="F202" s="2" t="n"/>
      <c r="G202" s="2" t="n"/>
      <c r="H202" s="10" t="n"/>
      <c r="I202" s="2" t="n"/>
      <c r="J202" s="2" t="n"/>
    </row>
    <row r="203">
      <c r="A203" s="2" t="n"/>
      <c r="B203" s="2" t="n"/>
      <c r="C203" s="2" t="n"/>
      <c r="D203" s="10" t="n"/>
      <c r="E203" s="2" t="n"/>
      <c r="F203" s="2" t="n"/>
      <c r="G203" s="2" t="n"/>
      <c r="H203" s="10" t="n"/>
      <c r="I203" s="2" t="n"/>
      <c r="J203" s="2" t="n"/>
    </row>
    <row r="204">
      <c r="A204" s="2" t="n"/>
      <c r="B204" s="2" t="n"/>
      <c r="C204" s="2" t="n"/>
      <c r="D204" s="10" t="n"/>
      <c r="E204" s="2" t="n"/>
      <c r="F204" s="2" t="n"/>
      <c r="G204" s="2" t="n"/>
      <c r="H204" s="10" t="n"/>
      <c r="I204" s="2" t="n"/>
      <c r="J204" s="2" t="n"/>
    </row>
    <row r="205">
      <c r="A205" s="2" t="n"/>
      <c r="B205" s="2" t="n"/>
      <c r="C205" s="2" t="n"/>
      <c r="D205" s="10" t="n"/>
      <c r="E205" s="2" t="n"/>
      <c r="F205" s="2" t="n"/>
      <c r="G205" s="2" t="n"/>
      <c r="H205" s="10" t="n"/>
      <c r="I205" s="2" t="n"/>
      <c r="J205" s="2" t="n"/>
    </row>
    <row r="206">
      <c r="A206" s="2" t="n"/>
      <c r="B206" s="2" t="n"/>
      <c r="C206" s="2" t="n"/>
      <c r="D206" s="10" t="n"/>
      <c r="E206" s="2" t="n"/>
      <c r="F206" s="2" t="n"/>
      <c r="G206" s="2" t="n"/>
      <c r="H206" s="10" t="n"/>
      <c r="I206" s="2" t="n"/>
      <c r="J206" s="2" t="n"/>
    </row>
    <row r="207">
      <c r="A207" s="2" t="n"/>
      <c r="B207" s="2" t="n"/>
      <c r="C207" s="2" t="n"/>
      <c r="D207" s="10" t="n"/>
      <c r="E207" s="2" t="n"/>
      <c r="F207" s="2" t="n"/>
      <c r="G207" s="2" t="n"/>
      <c r="H207" s="10" t="n"/>
      <c r="I207" s="2" t="n"/>
      <c r="J207" s="2" t="n"/>
    </row>
    <row r="208">
      <c r="A208" s="2" t="n"/>
      <c r="B208" s="2" t="n"/>
      <c r="C208" s="2" t="n"/>
      <c r="D208" s="10" t="n"/>
      <c r="E208" s="2" t="n"/>
      <c r="F208" s="2" t="n"/>
      <c r="G208" s="2" t="n"/>
      <c r="H208" s="10" t="n"/>
      <c r="I208" s="2" t="n"/>
      <c r="J208" s="2" t="n"/>
    </row>
    <row r="209">
      <c r="A209" s="2" t="n"/>
      <c r="B209" s="2" t="n"/>
      <c r="C209" s="2" t="n"/>
      <c r="D209" s="10" t="n"/>
      <c r="E209" s="2" t="n"/>
      <c r="F209" s="2" t="n"/>
      <c r="G209" s="2" t="n"/>
      <c r="H209" s="10" t="n"/>
      <c r="I209" s="2" t="n"/>
      <c r="J209" s="2" t="n"/>
    </row>
    <row r="210">
      <c r="A210" s="2" t="n"/>
      <c r="B210" s="2" t="n"/>
      <c r="C210" s="2" t="n"/>
      <c r="D210" s="10" t="n"/>
      <c r="E210" s="2" t="n"/>
      <c r="F210" s="2" t="n"/>
      <c r="G210" s="2" t="n"/>
      <c r="H210" s="10" t="n"/>
      <c r="I210" s="2" t="n"/>
      <c r="J210" s="2" t="n"/>
    </row>
    <row r="211">
      <c r="A211" s="2" t="n"/>
      <c r="B211" s="2" t="n"/>
      <c r="C211" s="2" t="n"/>
      <c r="D211" s="10" t="n"/>
      <c r="E211" s="2" t="n"/>
      <c r="F211" s="2" t="n"/>
      <c r="G211" s="2" t="n"/>
      <c r="H211" s="10" t="n"/>
      <c r="I211" s="2" t="n"/>
      <c r="J211" s="2" t="n"/>
    </row>
    <row r="212">
      <c r="A212" s="2" t="n"/>
      <c r="B212" s="2" t="n"/>
      <c r="C212" s="2" t="n"/>
      <c r="D212" s="10" t="n"/>
      <c r="E212" s="2" t="n"/>
      <c r="F212" s="2" t="n"/>
      <c r="G212" s="2" t="n"/>
      <c r="H212" s="10" t="n"/>
      <c r="I212" s="2" t="n"/>
      <c r="J212" s="2" t="n"/>
    </row>
    <row r="213">
      <c r="A213" s="2" t="n"/>
      <c r="B213" s="2" t="n"/>
      <c r="C213" s="2" t="n"/>
      <c r="D213" s="10" t="n"/>
      <c r="E213" s="2" t="n"/>
      <c r="F213" s="2" t="n"/>
      <c r="G213" s="2" t="n"/>
      <c r="H213" s="10" t="n"/>
      <c r="I213" s="2" t="n"/>
      <c r="J213" s="2" t="n"/>
    </row>
    <row r="214">
      <c r="A214" s="2" t="n"/>
      <c r="B214" s="2" t="n"/>
      <c r="C214" s="2" t="n"/>
      <c r="D214" s="10" t="n"/>
      <c r="E214" s="2" t="n"/>
      <c r="F214" s="2" t="n"/>
      <c r="G214" s="2" t="n"/>
      <c r="H214" s="10" t="n"/>
      <c r="I214" s="2" t="n"/>
      <c r="J214" s="2" t="n"/>
    </row>
    <row r="215">
      <c r="A215" s="2" t="n"/>
      <c r="B215" s="2" t="n"/>
      <c r="C215" s="2" t="n"/>
      <c r="D215" s="10" t="n"/>
      <c r="E215" s="2" t="n"/>
      <c r="F215" s="2" t="n"/>
      <c r="G215" s="2" t="n"/>
      <c r="H215" s="10" t="n"/>
      <c r="I215" s="2" t="n"/>
      <c r="J215" s="2" t="n"/>
    </row>
    <row r="216">
      <c r="A216" s="2" t="n"/>
      <c r="B216" s="2" t="n"/>
      <c r="C216" s="2" t="n"/>
      <c r="D216" s="10" t="n"/>
      <c r="E216" s="2" t="n"/>
      <c r="F216" s="2" t="n"/>
      <c r="G216" s="2" t="n"/>
      <c r="H216" s="10" t="n"/>
      <c r="I216" s="2" t="n"/>
      <c r="J216" s="2" t="n"/>
    </row>
    <row r="217">
      <c r="A217" s="2" t="n"/>
      <c r="B217" s="2" t="n"/>
      <c r="C217" s="2" t="n"/>
      <c r="D217" s="10" t="n"/>
      <c r="E217" s="2" t="n"/>
      <c r="F217" s="2" t="n"/>
      <c r="G217" s="2" t="n"/>
      <c r="H217" s="10" t="n"/>
      <c r="I217" s="2" t="n"/>
      <c r="J217" s="2" t="n"/>
    </row>
    <row r="218">
      <c r="A218" s="2" t="n"/>
      <c r="B218" s="2" t="n"/>
      <c r="C218" s="2" t="n"/>
      <c r="D218" s="10" t="n"/>
      <c r="E218" s="2" t="n"/>
      <c r="F218" s="2" t="n"/>
      <c r="G218" s="2" t="n"/>
      <c r="H218" s="10" t="n"/>
      <c r="I218" s="2" t="n"/>
      <c r="J218" s="2" t="n"/>
    </row>
    <row r="219">
      <c r="A219" s="2" t="n"/>
      <c r="B219" s="2" t="n"/>
      <c r="C219" s="2" t="n"/>
      <c r="D219" s="10" t="n"/>
      <c r="E219" s="2" t="n"/>
      <c r="F219" s="2" t="n"/>
      <c r="G219" s="2" t="n"/>
      <c r="H219" s="10" t="n"/>
      <c r="I219" s="2" t="n"/>
      <c r="J219" s="2" t="n"/>
    </row>
    <row r="220">
      <c r="A220" s="2" t="n"/>
      <c r="B220" s="2" t="n"/>
      <c r="C220" s="2" t="n"/>
      <c r="D220" s="10" t="n"/>
      <c r="E220" s="2" t="n"/>
      <c r="F220" s="2" t="n"/>
      <c r="G220" s="2" t="n"/>
      <c r="H220" s="10" t="n"/>
      <c r="I220" s="2" t="n"/>
      <c r="J220" s="2" t="n"/>
    </row>
    <row r="221">
      <c r="A221" s="2" t="n"/>
      <c r="B221" s="2" t="n"/>
      <c r="C221" s="2" t="n"/>
      <c r="D221" s="10" t="n"/>
      <c r="E221" s="2" t="n"/>
      <c r="F221" s="2" t="n"/>
      <c r="G221" s="2" t="n"/>
      <c r="H221" s="10" t="n"/>
      <c r="I221" s="2" t="n"/>
      <c r="J221" s="2" t="n"/>
    </row>
    <row r="222">
      <c r="A222" s="2" t="n"/>
      <c r="B222" s="2" t="n"/>
      <c r="C222" s="2" t="n"/>
      <c r="D222" s="10" t="n"/>
      <c r="E222" s="2" t="n"/>
      <c r="F222" s="2" t="n"/>
      <c r="G222" s="2" t="n"/>
      <c r="H222" s="10" t="n"/>
      <c r="I222" s="2" t="n"/>
      <c r="J222" s="2" t="n"/>
    </row>
    <row r="223">
      <c r="A223" s="2" t="n"/>
      <c r="B223" s="2" t="n"/>
      <c r="C223" s="2" t="n"/>
      <c r="D223" s="10" t="n"/>
      <c r="E223" s="2" t="n"/>
      <c r="F223" s="2" t="n"/>
      <c r="G223" s="2" t="n"/>
      <c r="H223" s="10" t="n"/>
      <c r="I223" s="2" t="n"/>
      <c r="J223" s="2" t="n"/>
    </row>
    <row r="224">
      <c r="A224" s="2" t="n"/>
      <c r="B224" s="2" t="n"/>
      <c r="C224" s="2" t="n"/>
      <c r="D224" s="10" t="n"/>
      <c r="E224" s="2" t="n"/>
      <c r="F224" s="2" t="n"/>
      <c r="G224" s="2" t="n"/>
      <c r="H224" s="10" t="n"/>
      <c r="I224" s="2" t="n"/>
      <c r="J224" s="2" t="n"/>
    </row>
    <row r="225">
      <c r="A225" s="2" t="n"/>
      <c r="B225" s="2" t="n"/>
      <c r="C225" s="2" t="n"/>
      <c r="D225" s="10" t="n"/>
      <c r="E225" s="2" t="n"/>
      <c r="F225" s="2" t="n"/>
      <c r="G225" s="2" t="n"/>
      <c r="H225" s="10" t="n"/>
      <c r="I225" s="2" t="n"/>
      <c r="J225" s="2" t="n"/>
    </row>
    <row r="226">
      <c r="A226" s="2" t="n"/>
      <c r="B226" s="2" t="n"/>
      <c r="C226" s="2" t="n"/>
      <c r="D226" s="10" t="n"/>
      <c r="E226" s="2" t="n"/>
      <c r="F226" s="2" t="n"/>
      <c r="G226" s="2" t="n"/>
      <c r="H226" s="10" t="n"/>
      <c r="I226" s="2" t="n"/>
      <c r="J226" s="2" t="n"/>
    </row>
    <row r="227">
      <c r="A227" s="2" t="n"/>
      <c r="B227" s="2" t="n"/>
      <c r="C227" s="2" t="n"/>
      <c r="D227" s="10" t="n"/>
      <c r="E227" s="2" t="n"/>
      <c r="F227" s="2" t="n"/>
      <c r="G227" s="2" t="n"/>
      <c r="H227" s="10" t="n"/>
      <c r="I227" s="2" t="n"/>
      <c r="J227" s="2" t="n"/>
    </row>
    <row r="228">
      <c r="A228" s="2" t="n"/>
      <c r="B228" s="2" t="n"/>
      <c r="C228" s="2" t="n"/>
      <c r="D228" s="10" t="n"/>
      <c r="E228" s="2" t="n"/>
      <c r="F228" s="2" t="n"/>
      <c r="G228" s="2" t="n"/>
      <c r="H228" s="10" t="n"/>
      <c r="I228" s="2" t="n"/>
      <c r="J228" s="2" t="n"/>
    </row>
    <row r="229">
      <c r="A229" s="2" t="n"/>
      <c r="B229" s="2" t="n"/>
      <c r="C229" s="2" t="n"/>
      <c r="D229" s="10" t="n"/>
      <c r="E229" s="2" t="n"/>
      <c r="F229" s="2" t="n"/>
      <c r="G229" s="2" t="n"/>
      <c r="H229" s="10" t="n"/>
      <c r="I229" s="2" t="n"/>
      <c r="J229" s="2" t="n"/>
    </row>
    <row r="230">
      <c r="A230" s="2" t="n"/>
      <c r="B230" s="2" t="n"/>
      <c r="C230" s="2" t="n"/>
      <c r="D230" s="10" t="n"/>
      <c r="E230" s="2" t="n"/>
      <c r="F230" s="2" t="n"/>
      <c r="G230" s="2" t="n"/>
      <c r="H230" s="10" t="n"/>
      <c r="I230" s="2" t="n"/>
      <c r="J230" s="2" t="n"/>
    </row>
    <row r="231">
      <c r="A231" s="2" t="n"/>
      <c r="B231" s="2" t="n"/>
      <c r="C231" s="2" t="n"/>
      <c r="D231" s="10" t="n"/>
      <c r="E231" s="2" t="n"/>
      <c r="F231" s="2" t="n"/>
      <c r="G231" s="2" t="n"/>
      <c r="H231" s="10" t="n"/>
      <c r="I231" s="2" t="n"/>
      <c r="J231" s="2" t="n"/>
    </row>
    <row r="232">
      <c r="A232" s="2" t="n"/>
      <c r="B232" s="2" t="n"/>
      <c r="C232" s="2" t="n"/>
      <c r="D232" s="10" t="n"/>
      <c r="E232" s="2" t="n"/>
      <c r="F232" s="2" t="n"/>
      <c r="G232" s="2" t="n"/>
      <c r="H232" s="10" t="n"/>
      <c r="I232" s="2" t="n"/>
      <c r="J232" s="2" t="n"/>
    </row>
    <row r="233">
      <c r="A233" s="2" t="n"/>
      <c r="B233" s="2" t="n"/>
      <c r="C233" s="2" t="n"/>
      <c r="D233" s="10" t="n"/>
      <c r="E233" s="2" t="n"/>
      <c r="F233" s="2" t="n"/>
      <c r="G233" s="2" t="n"/>
      <c r="H233" s="10" t="n"/>
      <c r="I233" s="2" t="n"/>
      <c r="J233" s="2" t="n"/>
    </row>
    <row r="234">
      <c r="A234" s="2" t="n"/>
      <c r="B234" s="2" t="n"/>
      <c r="C234" s="2" t="n"/>
      <c r="D234" s="10" t="n"/>
      <c r="E234" s="2" t="n"/>
      <c r="F234" s="2" t="n"/>
      <c r="G234" s="2" t="n"/>
      <c r="H234" s="10" t="n"/>
      <c r="I234" s="2" t="n"/>
      <c r="J234" s="2" t="n"/>
    </row>
    <row r="235">
      <c r="A235" s="2" t="n"/>
      <c r="B235" s="2" t="n"/>
      <c r="C235" s="2" t="n"/>
      <c r="D235" s="10" t="n"/>
      <c r="E235" s="2" t="n"/>
      <c r="F235" s="2" t="n"/>
      <c r="G235" s="2" t="n"/>
      <c r="H235" s="10" t="n"/>
      <c r="I235" s="2" t="n"/>
      <c r="J235" s="2" t="n"/>
    </row>
    <row r="236">
      <c r="A236" s="2" t="n"/>
      <c r="B236" s="2" t="n"/>
      <c r="C236" s="2" t="n"/>
      <c r="D236" s="10" t="n"/>
      <c r="E236" s="2" t="n"/>
      <c r="F236" s="2" t="n"/>
      <c r="G236" s="2" t="n"/>
      <c r="H236" s="10" t="n"/>
      <c r="I236" s="2" t="n"/>
      <c r="J236" s="2" t="n"/>
    </row>
    <row r="237">
      <c r="A237" s="2" t="n"/>
      <c r="B237" s="2" t="n"/>
      <c r="C237" s="2" t="n"/>
      <c r="D237" s="10" t="n"/>
      <c r="E237" s="2" t="n"/>
      <c r="F237" s="2" t="n"/>
      <c r="G237" s="2" t="n"/>
      <c r="H237" s="10" t="n"/>
      <c r="I237" s="2" t="n"/>
      <c r="J237" s="2" t="n"/>
    </row>
    <row r="238">
      <c r="A238" s="2" t="n"/>
      <c r="B238" s="2" t="n"/>
      <c r="C238" s="2" t="n"/>
      <c r="D238" s="10" t="n"/>
      <c r="E238" s="2" t="n"/>
      <c r="F238" s="2" t="n"/>
      <c r="G238" s="2" t="n"/>
      <c r="H238" s="10" t="n"/>
      <c r="I238" s="2" t="n"/>
      <c r="J238" s="2" t="n"/>
    </row>
    <row r="239">
      <c r="A239" s="2" t="n"/>
      <c r="B239" s="2" t="n"/>
      <c r="C239" s="2" t="n"/>
      <c r="D239" s="10" t="n"/>
      <c r="E239" s="2" t="n"/>
      <c r="F239" s="2" t="n"/>
      <c r="G239" s="2" t="n"/>
      <c r="H239" s="10" t="n"/>
      <c r="I239" s="2" t="n"/>
      <c r="J239" s="2" t="n"/>
    </row>
    <row r="240">
      <c r="A240" s="2" t="n"/>
      <c r="B240" s="2" t="n"/>
      <c r="C240" s="2" t="n"/>
      <c r="D240" s="10" t="n"/>
      <c r="E240" s="2" t="n"/>
      <c r="F240" s="2" t="n"/>
      <c r="G240" s="2" t="n"/>
      <c r="H240" s="10" t="n"/>
      <c r="I240" s="2" t="n"/>
      <c r="J240" s="2" t="n"/>
    </row>
    <row r="241">
      <c r="A241" s="2" t="n"/>
      <c r="B241" s="2" t="n"/>
      <c r="C241" s="2" t="n"/>
      <c r="D241" s="10" t="n"/>
      <c r="E241" s="2" t="n"/>
      <c r="F241" s="2" t="n"/>
      <c r="G241" s="2" t="n"/>
      <c r="H241" s="10" t="n"/>
      <c r="I241" s="2" t="n"/>
      <c r="J241" s="2" t="n"/>
    </row>
    <row r="242">
      <c r="A242" s="2" t="n"/>
      <c r="B242" s="2" t="n"/>
      <c r="C242" s="2" t="n"/>
      <c r="D242" s="10" t="n"/>
      <c r="E242" s="2" t="n"/>
      <c r="F242" s="2" t="n"/>
      <c r="G242" s="2" t="n"/>
      <c r="H242" s="10" t="n"/>
      <c r="I242" s="2" t="n"/>
      <c r="J242" s="2" t="n"/>
    </row>
    <row r="243">
      <c r="A243" s="2" t="n"/>
      <c r="B243" s="2" t="n"/>
      <c r="C243" s="2" t="n"/>
      <c r="D243" s="10" t="n"/>
      <c r="E243" s="2" t="n"/>
      <c r="F243" s="2" t="n"/>
      <c r="G243" s="2" t="n"/>
      <c r="H243" s="10" t="n"/>
      <c r="I243" s="2" t="n"/>
      <c r="J243" s="2" t="n"/>
    </row>
    <row r="244">
      <c r="A244" s="2" t="n"/>
      <c r="B244" s="2" t="n"/>
      <c r="C244" s="2" t="n"/>
      <c r="D244" s="10" t="n"/>
      <c r="E244" s="2" t="n"/>
      <c r="F244" s="2" t="n"/>
      <c r="G244" s="2" t="n"/>
      <c r="H244" s="10" t="n"/>
      <c r="I244" s="2" t="n"/>
      <c r="J244" s="2" t="n"/>
    </row>
    <row r="245">
      <c r="A245" s="2" t="n"/>
      <c r="B245" s="2" t="n"/>
      <c r="C245" s="2" t="n"/>
      <c r="D245" s="10" t="n"/>
      <c r="E245" s="2" t="n"/>
      <c r="F245" s="2" t="n"/>
      <c r="G245" s="2" t="n"/>
      <c r="H245" s="10" t="n"/>
      <c r="I245" s="2" t="n"/>
      <c r="J245" s="2" t="n"/>
    </row>
    <row r="246">
      <c r="A246" s="2" t="n"/>
      <c r="B246" s="2" t="n"/>
      <c r="C246" s="2" t="n"/>
      <c r="D246" s="10" t="n"/>
      <c r="E246" s="2" t="n"/>
      <c r="F246" s="2" t="n"/>
      <c r="G246" s="2" t="n"/>
      <c r="H246" s="10" t="n"/>
      <c r="I246" s="2" t="n"/>
      <c r="J246" s="2" t="n"/>
    </row>
    <row r="247">
      <c r="A247" s="2" t="n"/>
      <c r="B247" s="2" t="n"/>
      <c r="C247" s="2" t="n"/>
      <c r="D247" s="10" t="n"/>
      <c r="E247" s="2" t="n"/>
      <c r="F247" s="2" t="n"/>
      <c r="G247" s="2" t="n"/>
      <c r="H247" s="10" t="n"/>
      <c r="I247" s="2" t="n"/>
      <c r="J247" s="2" t="n"/>
    </row>
    <row r="248">
      <c r="A248" s="2" t="n"/>
      <c r="B248" s="2" t="n"/>
      <c r="C248" s="2" t="n"/>
      <c r="D248" s="10" t="n"/>
      <c r="E248" s="2" t="n"/>
      <c r="F248" s="2" t="n"/>
      <c r="G248" s="2" t="n"/>
      <c r="H248" s="10" t="n"/>
      <c r="I248" s="2" t="n"/>
      <c r="J248" s="2" t="n"/>
    </row>
    <row r="249">
      <c r="A249" s="2" t="n"/>
      <c r="B249" s="2" t="n"/>
      <c r="C249" s="2" t="n"/>
      <c r="D249" s="10" t="n"/>
      <c r="E249" s="2" t="n"/>
      <c r="F249" s="2" t="n"/>
      <c r="G249" s="2" t="n"/>
      <c r="H249" s="10" t="n"/>
      <c r="I249" s="2" t="n"/>
      <c r="J249" s="2" t="n"/>
    </row>
    <row r="250">
      <c r="A250" s="2" t="n"/>
      <c r="B250" s="2" t="n"/>
      <c r="C250" s="2" t="n"/>
      <c r="D250" s="10" t="n"/>
      <c r="E250" s="2" t="n"/>
      <c r="F250" s="2" t="n"/>
      <c r="G250" s="2" t="n"/>
      <c r="H250" s="10" t="n"/>
      <c r="I250" s="2" t="n"/>
      <c r="J250" s="2" t="n"/>
    </row>
  </sheetData>
  <conditionalFormatting sqref="H2:H250">
    <cfRule type="expression" priority="1" dxfId="0">
      <formula>AND(H2&lt;&gt;"",H2&lt;=TODAY()+30,H2&gt;=TODAY())</formula>
    </cfRule>
    <cfRule type="expression" priority="2" dxfId="1">
      <formula>AND(H2&lt;&gt;"",H2&lt;TODAY())</formula>
    </cfRule>
  </conditionalFormatting>
  <dataValidations count="3">
    <dataValidation sqref="B2:B250" showDropDown="0" showInputMessage="0" showErrorMessage="0" allowBlank="1" type="list">
      <formula1>"Legal,Tributario,Comercial,Tecnico,Contrato,Cotizacion,Factura,Certificado,Seguro,Otro"</formula1>
    </dataValidation>
    <dataValidation sqref="E2:E250" showDropDown="0" showInputMessage="0" showErrorMessage="0" allowBlank="1" type="list">
      <formula1>"Cliente,Cotizacion,Proyecto,Ingreso,Egreso,Activo,Empresa,Otro"</formula1>
    </dataValidation>
    <dataValidation sqref="I2:I250" showDropDown="0" showInputMessage="0" showErrorMessage="0" allowBlank="1" type="list">
      <formula1>"Vigente,Por vencer,Vencido,Archivado"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8" customWidth="1" min="4" max="4"/>
    <col width="38" customWidth="1" min="5" max="5"/>
    <col width="15" customWidth="1" min="6" max="6"/>
    <col width="21" customWidth="1" min="7" max="7"/>
    <col width="38" customWidth="1" min="8" max="8"/>
    <col width="38" customWidth="1" min="9" max="9"/>
    <col width="21" customWidth="1" min="10" max="10"/>
    <col width="23" customWidth="1" min="11" max="11"/>
    <col width="36" customWidth="1" min="12" max="12"/>
    <col width="38" customWidth="1" min="13" max="13"/>
    <col width="15" customWidth="1" min="14" max="14"/>
  </cols>
  <sheetData>
    <row r="1">
      <c r="A1" s="4" t="inlineStr">
        <is>
          <t>ID_KPI</t>
        </is>
      </c>
      <c r="B1" s="4" t="inlineStr">
        <is>
          <t>Mes</t>
        </is>
      </c>
      <c r="C1" s="4" t="inlineStr">
        <is>
          <t>Año</t>
        </is>
      </c>
      <c r="D1" s="4" t="inlineStr">
        <is>
          <t>Facturacion_Total</t>
        </is>
      </c>
      <c r="E1" s="4" t="inlineStr">
        <is>
          <t>Gastos_Totales</t>
        </is>
      </c>
      <c r="F1" s="4" t="inlineStr">
        <is>
          <t>Utilidad_Neta</t>
        </is>
      </c>
      <c r="G1" s="4" t="inlineStr">
        <is>
          <t>Margen_Neto</t>
        </is>
      </c>
      <c r="H1" s="4" t="inlineStr">
        <is>
          <t>Cotizaciones_Enviadas</t>
        </is>
      </c>
      <c r="I1" s="4" t="inlineStr">
        <is>
          <t>Cotizaciones_Aprobadas</t>
        </is>
      </c>
      <c r="J1" s="4" t="inlineStr">
        <is>
          <t>Tasa_Conversion</t>
        </is>
      </c>
      <c r="K1" s="4" t="inlineStr">
        <is>
          <t>Inversion_Recuperada</t>
        </is>
      </c>
      <c r="L1" s="4" t="inlineStr">
        <is>
          <t>Porcentaje_Recuperacion_Inversion</t>
        </is>
      </c>
      <c r="M1" s="4" t="inlineStr">
        <is>
          <t>Saldo_Caja</t>
        </is>
      </c>
      <c r="N1" s="4" t="inlineStr">
        <is>
          <t>Observaciones</t>
        </is>
      </c>
    </row>
    <row r="2">
      <c r="A2" s="2" t="inlineStr">
        <is>
          <t>KPI-01-2026</t>
        </is>
      </c>
      <c r="B2" s="2" t="n">
        <v>1</v>
      </c>
      <c r="C2" s="2" t="n">
        <v>2026</v>
      </c>
      <c r="D2" s="8">
        <f>SUMIFS(Ingresos!J:J,Ingresos!D:D,"&gt;="&amp;DATE(C2,B2,1),Ingresos!D:D,"&lt;"&amp;EDATE(DATE(C2,B2,1),1))</f>
        <v/>
      </c>
      <c r="E2" s="8">
        <f>SUMIFS(Egresos!H:H,Egresos!B:B,"&gt;="&amp;DATE(C2,B2,1),Egresos!B:B,"&lt;"&amp;EDATE(DATE(C2,B2,1),1))+SUMIFS(Gastos_Mensuales!H:H,Gastos_Mensuales!B:B,B2,Gastos_Mensuales!C:C,C2)+SUMIFS(Impuestos!I:I,Impuestos!B:B,B2,Impuestos!C:C,C2)</f>
        <v/>
      </c>
      <c r="F2" s="8">
        <f>D2-E2</f>
        <v/>
      </c>
      <c r="G2" s="11">
        <f>IFERROR(F2/D2,0)</f>
        <v/>
      </c>
      <c r="H2" s="2">
        <f>COUNTIFS(Cotizaciones!J:J,"Enviada",Cotizaciones!B:B,"&gt;="&amp;DATE(C2,B2,1),Cotizaciones!B:B,"&lt;"&amp;EDATE(DATE(C2,B2,1),1))</f>
        <v/>
      </c>
      <c r="I2" s="2">
        <f>COUNTIFS(Cotizaciones!J:J,"Aprobada",Cotizaciones!B:B,"&gt;="&amp;DATE(C2,B2,1),Cotizaciones!B:B,"&lt;"&amp;EDATE(DATE(C2,B2,1),1))</f>
        <v/>
      </c>
      <c r="J2" s="11">
        <f>IFERROR(I2/H2,0)</f>
        <v/>
      </c>
      <c r="K2" s="8">
        <f>MAX(0,SUM($F$2:F2))</f>
        <v/>
      </c>
      <c r="L2" s="11">
        <f>IFERROR(K2/Configuracion!$K$2,0)</f>
        <v/>
      </c>
      <c r="M2" s="8">
        <f>SUMIFS(Flujo_Caja!H:H,Flujo_Caja!B:B,B2,Flujo_Caja!C:C,C2)</f>
        <v/>
      </c>
      <c r="N2" s="2" t="inlineStr"/>
    </row>
    <row r="3">
      <c r="A3" s="2" t="inlineStr">
        <is>
          <t>KPI-02-2026</t>
        </is>
      </c>
      <c r="B3" s="2" t="n">
        <v>2</v>
      </c>
      <c r="C3" s="2" t="n">
        <v>2026</v>
      </c>
      <c r="D3" s="8">
        <f>SUMIFS(Ingresos!J:J,Ingresos!D:D,"&gt;="&amp;DATE(C3,B3,1),Ingresos!D:D,"&lt;"&amp;EDATE(DATE(C3,B3,1),1))</f>
        <v/>
      </c>
      <c r="E3" s="8">
        <f>SUMIFS(Egresos!H:H,Egresos!B:B,"&gt;="&amp;DATE(C3,B3,1),Egresos!B:B,"&lt;"&amp;EDATE(DATE(C3,B3,1),1))+SUMIFS(Gastos_Mensuales!H:H,Gastos_Mensuales!B:B,B3,Gastos_Mensuales!C:C,C3)+SUMIFS(Impuestos!I:I,Impuestos!B:B,B3,Impuestos!C:C,C3)</f>
        <v/>
      </c>
      <c r="F3" s="8">
        <f>D3-E3</f>
        <v/>
      </c>
      <c r="G3" s="11">
        <f>IFERROR(F3/D3,0)</f>
        <v/>
      </c>
      <c r="H3" s="2">
        <f>COUNTIFS(Cotizaciones!J:J,"Enviada",Cotizaciones!B:B,"&gt;="&amp;DATE(C3,B3,1),Cotizaciones!B:B,"&lt;"&amp;EDATE(DATE(C3,B3,1),1))</f>
        <v/>
      </c>
      <c r="I3" s="2">
        <f>COUNTIFS(Cotizaciones!J:J,"Aprobada",Cotizaciones!B:B,"&gt;="&amp;DATE(C3,B3,1),Cotizaciones!B:B,"&lt;"&amp;EDATE(DATE(C3,B3,1),1))</f>
        <v/>
      </c>
      <c r="J3" s="11">
        <f>IFERROR(I3/H3,0)</f>
        <v/>
      </c>
      <c r="K3" s="8">
        <f>MAX(0,SUM($F$2:F3))</f>
        <v/>
      </c>
      <c r="L3" s="11">
        <f>IFERROR(K3/Configuracion!$K$2,0)</f>
        <v/>
      </c>
      <c r="M3" s="8">
        <f>SUMIFS(Flujo_Caja!H:H,Flujo_Caja!B:B,B3,Flujo_Caja!C:C,C3)</f>
        <v/>
      </c>
      <c r="N3" s="2" t="inlineStr"/>
    </row>
    <row r="4">
      <c r="A4" s="2" t="inlineStr">
        <is>
          <t>KPI-03-2026</t>
        </is>
      </c>
      <c r="B4" s="2" t="n">
        <v>3</v>
      </c>
      <c r="C4" s="2" t="n">
        <v>2026</v>
      </c>
      <c r="D4" s="8">
        <f>SUMIFS(Ingresos!J:J,Ingresos!D:D,"&gt;="&amp;DATE(C4,B4,1),Ingresos!D:D,"&lt;"&amp;EDATE(DATE(C4,B4,1),1))</f>
        <v/>
      </c>
      <c r="E4" s="8">
        <f>SUMIFS(Egresos!H:H,Egresos!B:B,"&gt;="&amp;DATE(C4,B4,1),Egresos!B:B,"&lt;"&amp;EDATE(DATE(C4,B4,1),1))+SUMIFS(Gastos_Mensuales!H:H,Gastos_Mensuales!B:B,B4,Gastos_Mensuales!C:C,C4)+SUMIFS(Impuestos!I:I,Impuestos!B:B,B4,Impuestos!C:C,C4)</f>
        <v/>
      </c>
      <c r="F4" s="8">
        <f>D4-E4</f>
        <v/>
      </c>
      <c r="G4" s="11">
        <f>IFERROR(F4/D4,0)</f>
        <v/>
      </c>
      <c r="H4" s="2">
        <f>COUNTIFS(Cotizaciones!J:J,"Enviada",Cotizaciones!B:B,"&gt;="&amp;DATE(C4,B4,1),Cotizaciones!B:B,"&lt;"&amp;EDATE(DATE(C4,B4,1),1))</f>
        <v/>
      </c>
      <c r="I4" s="2">
        <f>COUNTIFS(Cotizaciones!J:J,"Aprobada",Cotizaciones!B:B,"&gt;="&amp;DATE(C4,B4,1),Cotizaciones!B:B,"&lt;"&amp;EDATE(DATE(C4,B4,1),1))</f>
        <v/>
      </c>
      <c r="J4" s="11">
        <f>IFERROR(I4/H4,0)</f>
        <v/>
      </c>
      <c r="K4" s="8">
        <f>MAX(0,SUM($F$2:F4))</f>
        <v/>
      </c>
      <c r="L4" s="11">
        <f>IFERROR(K4/Configuracion!$K$2,0)</f>
        <v/>
      </c>
      <c r="M4" s="8">
        <f>SUMIFS(Flujo_Caja!H:H,Flujo_Caja!B:B,B4,Flujo_Caja!C:C,C4)</f>
        <v/>
      </c>
      <c r="N4" s="2" t="inlineStr"/>
    </row>
    <row r="5">
      <c r="A5" s="2" t="inlineStr">
        <is>
          <t>KPI-04-2026</t>
        </is>
      </c>
      <c r="B5" s="2" t="n">
        <v>4</v>
      </c>
      <c r="C5" s="2" t="n">
        <v>2026</v>
      </c>
      <c r="D5" s="8">
        <f>SUMIFS(Ingresos!J:J,Ingresos!D:D,"&gt;="&amp;DATE(C5,B5,1),Ingresos!D:D,"&lt;"&amp;EDATE(DATE(C5,B5,1),1))</f>
        <v/>
      </c>
      <c r="E5" s="8">
        <f>SUMIFS(Egresos!H:H,Egresos!B:B,"&gt;="&amp;DATE(C5,B5,1),Egresos!B:B,"&lt;"&amp;EDATE(DATE(C5,B5,1),1))+SUMIFS(Gastos_Mensuales!H:H,Gastos_Mensuales!B:B,B5,Gastos_Mensuales!C:C,C5)+SUMIFS(Impuestos!I:I,Impuestos!B:B,B5,Impuestos!C:C,C5)</f>
        <v/>
      </c>
      <c r="F5" s="8">
        <f>D5-E5</f>
        <v/>
      </c>
      <c r="G5" s="11">
        <f>IFERROR(F5/D5,0)</f>
        <v/>
      </c>
      <c r="H5" s="2">
        <f>COUNTIFS(Cotizaciones!J:J,"Enviada",Cotizaciones!B:B,"&gt;="&amp;DATE(C5,B5,1),Cotizaciones!B:B,"&lt;"&amp;EDATE(DATE(C5,B5,1),1))</f>
        <v/>
      </c>
      <c r="I5" s="2">
        <f>COUNTIFS(Cotizaciones!J:J,"Aprobada",Cotizaciones!B:B,"&gt;="&amp;DATE(C5,B5,1),Cotizaciones!B:B,"&lt;"&amp;EDATE(DATE(C5,B5,1),1))</f>
        <v/>
      </c>
      <c r="J5" s="11">
        <f>IFERROR(I5/H5,0)</f>
        <v/>
      </c>
      <c r="K5" s="8">
        <f>MAX(0,SUM($F$2:F5))</f>
        <v/>
      </c>
      <c r="L5" s="11">
        <f>IFERROR(K5/Configuracion!$K$2,0)</f>
        <v/>
      </c>
      <c r="M5" s="8">
        <f>SUMIFS(Flujo_Caja!H:H,Flujo_Caja!B:B,B5,Flujo_Caja!C:C,C5)</f>
        <v/>
      </c>
      <c r="N5" s="2" t="inlineStr"/>
    </row>
    <row r="6">
      <c r="A6" s="2" t="inlineStr">
        <is>
          <t>KPI-05-2026</t>
        </is>
      </c>
      <c r="B6" s="2" t="n">
        <v>5</v>
      </c>
      <c r="C6" s="2" t="n">
        <v>2026</v>
      </c>
      <c r="D6" s="8">
        <f>SUMIFS(Ingresos!J:J,Ingresos!D:D,"&gt;="&amp;DATE(C6,B6,1),Ingresos!D:D,"&lt;"&amp;EDATE(DATE(C6,B6,1),1))</f>
        <v/>
      </c>
      <c r="E6" s="8">
        <f>SUMIFS(Egresos!H:H,Egresos!B:B,"&gt;="&amp;DATE(C6,B6,1),Egresos!B:B,"&lt;"&amp;EDATE(DATE(C6,B6,1),1))+SUMIFS(Gastos_Mensuales!H:H,Gastos_Mensuales!B:B,B6,Gastos_Mensuales!C:C,C6)+SUMIFS(Impuestos!I:I,Impuestos!B:B,B6,Impuestos!C:C,C6)</f>
        <v/>
      </c>
      <c r="F6" s="8">
        <f>D6-E6</f>
        <v/>
      </c>
      <c r="G6" s="11">
        <f>IFERROR(F6/D6,0)</f>
        <v/>
      </c>
      <c r="H6" s="2">
        <f>COUNTIFS(Cotizaciones!J:J,"Enviada",Cotizaciones!B:B,"&gt;="&amp;DATE(C6,B6,1),Cotizaciones!B:B,"&lt;"&amp;EDATE(DATE(C6,B6,1),1))</f>
        <v/>
      </c>
      <c r="I6" s="2">
        <f>COUNTIFS(Cotizaciones!J:J,"Aprobada",Cotizaciones!B:B,"&gt;="&amp;DATE(C6,B6,1),Cotizaciones!B:B,"&lt;"&amp;EDATE(DATE(C6,B6,1),1))</f>
        <v/>
      </c>
      <c r="J6" s="11">
        <f>IFERROR(I6/H6,0)</f>
        <v/>
      </c>
      <c r="K6" s="8">
        <f>MAX(0,SUM($F$2:F6))</f>
        <v/>
      </c>
      <c r="L6" s="11">
        <f>IFERROR(K6/Configuracion!$K$2,0)</f>
        <v/>
      </c>
      <c r="M6" s="8">
        <f>SUMIFS(Flujo_Caja!H:H,Flujo_Caja!B:B,B6,Flujo_Caja!C:C,C6)</f>
        <v/>
      </c>
      <c r="N6" s="2" t="inlineStr"/>
    </row>
    <row r="7">
      <c r="A7" s="2" t="inlineStr">
        <is>
          <t>KPI-06-2026</t>
        </is>
      </c>
      <c r="B7" s="2" t="n">
        <v>6</v>
      </c>
      <c r="C7" s="2" t="n">
        <v>2026</v>
      </c>
      <c r="D7" s="8">
        <f>SUMIFS(Ingresos!J:J,Ingresos!D:D,"&gt;="&amp;DATE(C7,B7,1),Ingresos!D:D,"&lt;"&amp;EDATE(DATE(C7,B7,1),1))</f>
        <v/>
      </c>
      <c r="E7" s="8">
        <f>SUMIFS(Egresos!H:H,Egresos!B:B,"&gt;="&amp;DATE(C7,B7,1),Egresos!B:B,"&lt;"&amp;EDATE(DATE(C7,B7,1),1))+SUMIFS(Gastos_Mensuales!H:H,Gastos_Mensuales!B:B,B7,Gastos_Mensuales!C:C,C7)+SUMIFS(Impuestos!I:I,Impuestos!B:B,B7,Impuestos!C:C,C7)</f>
        <v/>
      </c>
      <c r="F7" s="8">
        <f>D7-E7</f>
        <v/>
      </c>
      <c r="G7" s="11">
        <f>IFERROR(F7/D7,0)</f>
        <v/>
      </c>
      <c r="H7" s="2">
        <f>COUNTIFS(Cotizaciones!J:J,"Enviada",Cotizaciones!B:B,"&gt;="&amp;DATE(C7,B7,1),Cotizaciones!B:B,"&lt;"&amp;EDATE(DATE(C7,B7,1),1))</f>
        <v/>
      </c>
      <c r="I7" s="2">
        <f>COUNTIFS(Cotizaciones!J:J,"Aprobada",Cotizaciones!B:B,"&gt;="&amp;DATE(C7,B7,1),Cotizaciones!B:B,"&lt;"&amp;EDATE(DATE(C7,B7,1),1))</f>
        <v/>
      </c>
      <c r="J7" s="11">
        <f>IFERROR(I7/H7,0)</f>
        <v/>
      </c>
      <c r="K7" s="8">
        <f>MAX(0,SUM($F$2:F7))</f>
        <v/>
      </c>
      <c r="L7" s="11">
        <f>IFERROR(K7/Configuracion!$K$2,0)</f>
        <v/>
      </c>
      <c r="M7" s="8">
        <f>SUMIFS(Flujo_Caja!H:H,Flujo_Caja!B:B,B7,Flujo_Caja!C:C,C7)</f>
        <v/>
      </c>
      <c r="N7" s="2" t="inlineStr"/>
    </row>
    <row r="8">
      <c r="A8" s="2" t="inlineStr">
        <is>
          <t>KPI-07-2026</t>
        </is>
      </c>
      <c r="B8" s="2" t="n">
        <v>7</v>
      </c>
      <c r="C8" s="2" t="n">
        <v>2026</v>
      </c>
      <c r="D8" s="8">
        <f>SUMIFS(Ingresos!J:J,Ingresos!D:D,"&gt;="&amp;DATE(C8,B8,1),Ingresos!D:D,"&lt;"&amp;EDATE(DATE(C8,B8,1),1))</f>
        <v/>
      </c>
      <c r="E8" s="8">
        <f>SUMIFS(Egresos!H:H,Egresos!B:B,"&gt;="&amp;DATE(C8,B8,1),Egresos!B:B,"&lt;"&amp;EDATE(DATE(C8,B8,1),1))+SUMIFS(Gastos_Mensuales!H:H,Gastos_Mensuales!B:B,B8,Gastos_Mensuales!C:C,C8)+SUMIFS(Impuestos!I:I,Impuestos!B:B,B8,Impuestos!C:C,C8)</f>
        <v/>
      </c>
      <c r="F8" s="8">
        <f>D8-E8</f>
        <v/>
      </c>
      <c r="G8" s="11">
        <f>IFERROR(F8/D8,0)</f>
        <v/>
      </c>
      <c r="H8" s="2">
        <f>COUNTIFS(Cotizaciones!J:J,"Enviada",Cotizaciones!B:B,"&gt;="&amp;DATE(C8,B8,1),Cotizaciones!B:B,"&lt;"&amp;EDATE(DATE(C8,B8,1),1))</f>
        <v/>
      </c>
      <c r="I8" s="2">
        <f>COUNTIFS(Cotizaciones!J:J,"Aprobada",Cotizaciones!B:B,"&gt;="&amp;DATE(C8,B8,1),Cotizaciones!B:B,"&lt;"&amp;EDATE(DATE(C8,B8,1),1))</f>
        <v/>
      </c>
      <c r="J8" s="11">
        <f>IFERROR(I8/H8,0)</f>
        <v/>
      </c>
      <c r="K8" s="8">
        <f>MAX(0,SUM($F$2:F8))</f>
        <v/>
      </c>
      <c r="L8" s="11">
        <f>IFERROR(K8/Configuracion!$K$2,0)</f>
        <v/>
      </c>
      <c r="M8" s="8">
        <f>SUMIFS(Flujo_Caja!H:H,Flujo_Caja!B:B,B8,Flujo_Caja!C:C,C8)</f>
        <v/>
      </c>
      <c r="N8" s="2" t="inlineStr"/>
    </row>
    <row r="9">
      <c r="A9" s="2" t="inlineStr">
        <is>
          <t>KPI-08-2026</t>
        </is>
      </c>
      <c r="B9" s="2" t="n">
        <v>8</v>
      </c>
      <c r="C9" s="2" t="n">
        <v>2026</v>
      </c>
      <c r="D9" s="8">
        <f>SUMIFS(Ingresos!J:J,Ingresos!D:D,"&gt;="&amp;DATE(C9,B9,1),Ingresos!D:D,"&lt;"&amp;EDATE(DATE(C9,B9,1),1))</f>
        <v/>
      </c>
      <c r="E9" s="8">
        <f>SUMIFS(Egresos!H:H,Egresos!B:B,"&gt;="&amp;DATE(C9,B9,1),Egresos!B:B,"&lt;"&amp;EDATE(DATE(C9,B9,1),1))+SUMIFS(Gastos_Mensuales!H:H,Gastos_Mensuales!B:B,B9,Gastos_Mensuales!C:C,C9)+SUMIFS(Impuestos!I:I,Impuestos!B:B,B9,Impuestos!C:C,C9)</f>
        <v/>
      </c>
      <c r="F9" s="8">
        <f>D9-E9</f>
        <v/>
      </c>
      <c r="G9" s="11">
        <f>IFERROR(F9/D9,0)</f>
        <v/>
      </c>
      <c r="H9" s="2">
        <f>COUNTIFS(Cotizaciones!J:J,"Enviada",Cotizaciones!B:B,"&gt;="&amp;DATE(C9,B9,1),Cotizaciones!B:B,"&lt;"&amp;EDATE(DATE(C9,B9,1),1))</f>
        <v/>
      </c>
      <c r="I9" s="2">
        <f>COUNTIFS(Cotizaciones!J:J,"Aprobada",Cotizaciones!B:B,"&gt;="&amp;DATE(C9,B9,1),Cotizaciones!B:B,"&lt;"&amp;EDATE(DATE(C9,B9,1),1))</f>
        <v/>
      </c>
      <c r="J9" s="11">
        <f>IFERROR(I9/H9,0)</f>
        <v/>
      </c>
      <c r="K9" s="8">
        <f>MAX(0,SUM($F$2:F9))</f>
        <v/>
      </c>
      <c r="L9" s="11">
        <f>IFERROR(K9/Configuracion!$K$2,0)</f>
        <v/>
      </c>
      <c r="M9" s="8">
        <f>SUMIFS(Flujo_Caja!H:H,Flujo_Caja!B:B,B9,Flujo_Caja!C:C,C9)</f>
        <v/>
      </c>
      <c r="N9" s="2" t="inlineStr"/>
    </row>
    <row r="10">
      <c r="A10" s="2" t="inlineStr">
        <is>
          <t>KPI-09-2026</t>
        </is>
      </c>
      <c r="B10" s="2" t="n">
        <v>9</v>
      </c>
      <c r="C10" s="2" t="n">
        <v>2026</v>
      </c>
      <c r="D10" s="8">
        <f>SUMIFS(Ingresos!J:J,Ingresos!D:D,"&gt;="&amp;DATE(C10,B10,1),Ingresos!D:D,"&lt;"&amp;EDATE(DATE(C10,B10,1),1))</f>
        <v/>
      </c>
      <c r="E10" s="8">
        <f>SUMIFS(Egresos!H:H,Egresos!B:B,"&gt;="&amp;DATE(C10,B10,1),Egresos!B:B,"&lt;"&amp;EDATE(DATE(C10,B10,1),1))+SUMIFS(Gastos_Mensuales!H:H,Gastos_Mensuales!B:B,B10,Gastos_Mensuales!C:C,C10)+SUMIFS(Impuestos!I:I,Impuestos!B:B,B10,Impuestos!C:C,C10)</f>
        <v/>
      </c>
      <c r="F10" s="8">
        <f>D10-E10</f>
        <v/>
      </c>
      <c r="G10" s="11">
        <f>IFERROR(F10/D10,0)</f>
        <v/>
      </c>
      <c r="H10" s="2">
        <f>COUNTIFS(Cotizaciones!J:J,"Enviada",Cotizaciones!B:B,"&gt;="&amp;DATE(C10,B10,1),Cotizaciones!B:B,"&lt;"&amp;EDATE(DATE(C10,B10,1),1))</f>
        <v/>
      </c>
      <c r="I10" s="2">
        <f>COUNTIFS(Cotizaciones!J:J,"Aprobada",Cotizaciones!B:B,"&gt;="&amp;DATE(C10,B10,1),Cotizaciones!B:B,"&lt;"&amp;EDATE(DATE(C10,B10,1),1))</f>
        <v/>
      </c>
      <c r="J10" s="11">
        <f>IFERROR(I10/H10,0)</f>
        <v/>
      </c>
      <c r="K10" s="8">
        <f>MAX(0,SUM($F$2:F10))</f>
        <v/>
      </c>
      <c r="L10" s="11">
        <f>IFERROR(K10/Configuracion!$K$2,0)</f>
        <v/>
      </c>
      <c r="M10" s="8">
        <f>SUMIFS(Flujo_Caja!H:H,Flujo_Caja!B:B,B10,Flujo_Caja!C:C,C10)</f>
        <v/>
      </c>
      <c r="N10" s="2" t="inlineStr"/>
    </row>
    <row r="11">
      <c r="A11" s="2" t="inlineStr">
        <is>
          <t>KPI-10-2026</t>
        </is>
      </c>
      <c r="B11" s="2" t="n">
        <v>10</v>
      </c>
      <c r="C11" s="2" t="n">
        <v>2026</v>
      </c>
      <c r="D11" s="8">
        <f>SUMIFS(Ingresos!J:J,Ingresos!D:D,"&gt;="&amp;DATE(C11,B11,1),Ingresos!D:D,"&lt;"&amp;EDATE(DATE(C11,B11,1),1))</f>
        <v/>
      </c>
      <c r="E11" s="8">
        <f>SUMIFS(Egresos!H:H,Egresos!B:B,"&gt;="&amp;DATE(C11,B11,1),Egresos!B:B,"&lt;"&amp;EDATE(DATE(C11,B11,1),1))+SUMIFS(Gastos_Mensuales!H:H,Gastos_Mensuales!B:B,B11,Gastos_Mensuales!C:C,C11)+SUMIFS(Impuestos!I:I,Impuestos!B:B,B11,Impuestos!C:C,C11)</f>
        <v/>
      </c>
      <c r="F11" s="8">
        <f>D11-E11</f>
        <v/>
      </c>
      <c r="G11" s="11">
        <f>IFERROR(F11/D11,0)</f>
        <v/>
      </c>
      <c r="H11" s="2">
        <f>COUNTIFS(Cotizaciones!J:J,"Enviada",Cotizaciones!B:B,"&gt;="&amp;DATE(C11,B11,1),Cotizaciones!B:B,"&lt;"&amp;EDATE(DATE(C11,B11,1),1))</f>
        <v/>
      </c>
      <c r="I11" s="2">
        <f>COUNTIFS(Cotizaciones!J:J,"Aprobada",Cotizaciones!B:B,"&gt;="&amp;DATE(C11,B11,1),Cotizaciones!B:B,"&lt;"&amp;EDATE(DATE(C11,B11,1),1))</f>
        <v/>
      </c>
      <c r="J11" s="11">
        <f>IFERROR(I11/H11,0)</f>
        <v/>
      </c>
      <c r="K11" s="8">
        <f>MAX(0,SUM($F$2:F11))</f>
        <v/>
      </c>
      <c r="L11" s="11">
        <f>IFERROR(K11/Configuracion!$K$2,0)</f>
        <v/>
      </c>
      <c r="M11" s="8">
        <f>SUMIFS(Flujo_Caja!H:H,Flujo_Caja!B:B,B11,Flujo_Caja!C:C,C11)</f>
        <v/>
      </c>
      <c r="N11" s="2" t="inlineStr"/>
    </row>
    <row r="12">
      <c r="A12" s="2" t="inlineStr">
        <is>
          <t>KPI-11-2026</t>
        </is>
      </c>
      <c r="B12" s="2" t="n">
        <v>11</v>
      </c>
      <c r="C12" s="2" t="n">
        <v>2026</v>
      </c>
      <c r="D12" s="8">
        <f>SUMIFS(Ingresos!J:J,Ingresos!D:D,"&gt;="&amp;DATE(C12,B12,1),Ingresos!D:D,"&lt;"&amp;EDATE(DATE(C12,B12,1),1))</f>
        <v/>
      </c>
      <c r="E12" s="8">
        <f>SUMIFS(Egresos!H:H,Egresos!B:B,"&gt;="&amp;DATE(C12,B12,1),Egresos!B:B,"&lt;"&amp;EDATE(DATE(C12,B12,1),1))+SUMIFS(Gastos_Mensuales!H:H,Gastos_Mensuales!B:B,B12,Gastos_Mensuales!C:C,C12)+SUMIFS(Impuestos!I:I,Impuestos!B:B,B12,Impuestos!C:C,C12)</f>
        <v/>
      </c>
      <c r="F12" s="8">
        <f>D12-E12</f>
        <v/>
      </c>
      <c r="G12" s="11">
        <f>IFERROR(F12/D12,0)</f>
        <v/>
      </c>
      <c r="H12" s="2">
        <f>COUNTIFS(Cotizaciones!J:J,"Enviada",Cotizaciones!B:B,"&gt;="&amp;DATE(C12,B12,1),Cotizaciones!B:B,"&lt;"&amp;EDATE(DATE(C12,B12,1),1))</f>
        <v/>
      </c>
      <c r="I12" s="2">
        <f>COUNTIFS(Cotizaciones!J:J,"Aprobada",Cotizaciones!B:B,"&gt;="&amp;DATE(C12,B12,1),Cotizaciones!B:B,"&lt;"&amp;EDATE(DATE(C12,B12,1),1))</f>
        <v/>
      </c>
      <c r="J12" s="11">
        <f>IFERROR(I12/H12,0)</f>
        <v/>
      </c>
      <c r="K12" s="8">
        <f>MAX(0,SUM($F$2:F12))</f>
        <v/>
      </c>
      <c r="L12" s="11">
        <f>IFERROR(K12/Configuracion!$K$2,0)</f>
        <v/>
      </c>
      <c r="M12" s="8">
        <f>SUMIFS(Flujo_Caja!H:H,Flujo_Caja!B:B,B12,Flujo_Caja!C:C,C12)</f>
        <v/>
      </c>
      <c r="N12" s="2" t="inlineStr"/>
    </row>
    <row r="13">
      <c r="A13" s="2" t="inlineStr">
        <is>
          <t>KPI-12-2026</t>
        </is>
      </c>
      <c r="B13" s="2" t="n">
        <v>12</v>
      </c>
      <c r="C13" s="2" t="n">
        <v>2026</v>
      </c>
      <c r="D13" s="8">
        <f>SUMIFS(Ingresos!J:J,Ingresos!D:D,"&gt;="&amp;DATE(C13,B13,1),Ingresos!D:D,"&lt;"&amp;EDATE(DATE(C13,B13,1),1))</f>
        <v/>
      </c>
      <c r="E13" s="8">
        <f>SUMIFS(Egresos!H:H,Egresos!B:B,"&gt;="&amp;DATE(C13,B13,1),Egresos!B:B,"&lt;"&amp;EDATE(DATE(C13,B13,1),1))+SUMIFS(Gastos_Mensuales!H:H,Gastos_Mensuales!B:B,B13,Gastos_Mensuales!C:C,C13)+SUMIFS(Impuestos!I:I,Impuestos!B:B,B13,Impuestos!C:C,C13)</f>
        <v/>
      </c>
      <c r="F13" s="8">
        <f>D13-E13</f>
        <v/>
      </c>
      <c r="G13" s="11">
        <f>IFERROR(F13/D13,0)</f>
        <v/>
      </c>
      <c r="H13" s="2">
        <f>COUNTIFS(Cotizaciones!J:J,"Enviada",Cotizaciones!B:B,"&gt;="&amp;DATE(C13,B13,1),Cotizaciones!B:B,"&lt;"&amp;EDATE(DATE(C13,B13,1),1))</f>
        <v/>
      </c>
      <c r="I13" s="2">
        <f>COUNTIFS(Cotizaciones!J:J,"Aprobada",Cotizaciones!B:B,"&gt;="&amp;DATE(C13,B13,1),Cotizaciones!B:B,"&lt;"&amp;EDATE(DATE(C13,B13,1),1))</f>
        <v/>
      </c>
      <c r="J13" s="11">
        <f>IFERROR(I13/H13,0)</f>
        <v/>
      </c>
      <c r="K13" s="8">
        <f>MAX(0,SUM($F$2:F13))</f>
        <v/>
      </c>
      <c r="L13" s="11">
        <f>IFERROR(K13/Configuracion!$K$2,0)</f>
        <v/>
      </c>
      <c r="M13" s="8">
        <f>SUMIFS(Flujo_Caja!H:H,Flujo_Caja!B:B,B13,Flujo_Caja!C:C,C13)</f>
        <v/>
      </c>
      <c r="N13" s="2" t="inlineStr"/>
    </row>
    <row r="14">
      <c r="A14" s="2" t="n"/>
      <c r="B14" s="2" t="n"/>
      <c r="C14" s="2" t="n"/>
      <c r="D14" s="8">
        <f>SUMIFS(Ingresos!J:J,Ingresos!D:D,"&gt;="&amp;DATE(C14,B14,1),Ingresos!D:D,"&lt;"&amp;EDATE(DATE(C14,B14,1),1))</f>
        <v/>
      </c>
      <c r="E14" s="8">
        <f>SUMIFS(Egresos!H:H,Egresos!B:B,"&gt;="&amp;DATE(C14,B14,1),Egresos!B:B,"&lt;"&amp;EDATE(DATE(C14,B14,1),1))+SUMIFS(Gastos_Mensuales!H:H,Gastos_Mensuales!B:B,B14,Gastos_Mensuales!C:C,C14)+SUMIFS(Impuestos!I:I,Impuestos!B:B,B14,Impuestos!C:C,C14)</f>
        <v/>
      </c>
      <c r="F14" s="8">
        <f>D14-E14</f>
        <v/>
      </c>
      <c r="G14" s="11">
        <f>IFERROR(F14/D14,0)</f>
        <v/>
      </c>
      <c r="H14" s="2">
        <f>COUNTIFS(Cotizaciones!J:J,"Enviada",Cotizaciones!B:B,"&gt;="&amp;DATE(C14,B14,1),Cotizaciones!B:B,"&lt;"&amp;EDATE(DATE(C14,B14,1),1))</f>
        <v/>
      </c>
      <c r="I14" s="2">
        <f>COUNTIFS(Cotizaciones!J:J,"Aprobada",Cotizaciones!B:B,"&gt;="&amp;DATE(C14,B14,1),Cotizaciones!B:B,"&lt;"&amp;EDATE(DATE(C14,B14,1),1))</f>
        <v/>
      </c>
      <c r="J14" s="11">
        <f>IFERROR(I14/H14,0)</f>
        <v/>
      </c>
      <c r="K14" s="8">
        <f>MAX(0,SUM($F$2:F14))</f>
        <v/>
      </c>
      <c r="L14" s="11">
        <f>IFERROR(K14/Configuracion!$K$2,0)</f>
        <v/>
      </c>
      <c r="M14" s="8">
        <f>SUMIFS(Flujo_Caja!H:H,Flujo_Caja!B:B,B14,Flujo_Caja!C:C,C14)</f>
        <v/>
      </c>
      <c r="N14" s="2" t="n"/>
    </row>
    <row r="15">
      <c r="A15" s="2" t="n"/>
      <c r="B15" s="2" t="n"/>
      <c r="C15" s="2" t="n"/>
      <c r="D15" s="8">
        <f>SUMIFS(Ingresos!J:J,Ingresos!D:D,"&gt;="&amp;DATE(C15,B15,1),Ingresos!D:D,"&lt;"&amp;EDATE(DATE(C15,B15,1),1))</f>
        <v/>
      </c>
      <c r="E15" s="8">
        <f>SUMIFS(Egresos!H:H,Egresos!B:B,"&gt;="&amp;DATE(C15,B15,1),Egresos!B:B,"&lt;"&amp;EDATE(DATE(C15,B15,1),1))+SUMIFS(Gastos_Mensuales!H:H,Gastos_Mensuales!B:B,B15,Gastos_Mensuales!C:C,C15)+SUMIFS(Impuestos!I:I,Impuestos!B:B,B15,Impuestos!C:C,C15)</f>
        <v/>
      </c>
      <c r="F15" s="8">
        <f>D15-E15</f>
        <v/>
      </c>
      <c r="G15" s="11">
        <f>IFERROR(F15/D15,0)</f>
        <v/>
      </c>
      <c r="H15" s="2">
        <f>COUNTIFS(Cotizaciones!J:J,"Enviada",Cotizaciones!B:B,"&gt;="&amp;DATE(C15,B15,1),Cotizaciones!B:B,"&lt;"&amp;EDATE(DATE(C15,B15,1),1))</f>
        <v/>
      </c>
      <c r="I15" s="2">
        <f>COUNTIFS(Cotizaciones!J:J,"Aprobada",Cotizaciones!B:B,"&gt;="&amp;DATE(C15,B15,1),Cotizaciones!B:B,"&lt;"&amp;EDATE(DATE(C15,B15,1),1))</f>
        <v/>
      </c>
      <c r="J15" s="11">
        <f>IFERROR(I15/H15,0)</f>
        <v/>
      </c>
      <c r="K15" s="8">
        <f>MAX(0,SUM($F$2:F15))</f>
        <v/>
      </c>
      <c r="L15" s="11">
        <f>IFERROR(K15/Configuracion!$K$2,0)</f>
        <v/>
      </c>
      <c r="M15" s="8">
        <f>SUMIFS(Flujo_Caja!H:H,Flujo_Caja!B:B,B15,Flujo_Caja!C:C,C15)</f>
        <v/>
      </c>
      <c r="N15" s="2" t="n"/>
    </row>
    <row r="16">
      <c r="A16" s="2" t="n"/>
      <c r="B16" s="2" t="n"/>
      <c r="C16" s="2" t="n"/>
      <c r="D16" s="8">
        <f>SUMIFS(Ingresos!J:J,Ingresos!D:D,"&gt;="&amp;DATE(C16,B16,1),Ingresos!D:D,"&lt;"&amp;EDATE(DATE(C16,B16,1),1))</f>
        <v/>
      </c>
      <c r="E16" s="8">
        <f>SUMIFS(Egresos!H:H,Egresos!B:B,"&gt;="&amp;DATE(C16,B16,1),Egresos!B:B,"&lt;"&amp;EDATE(DATE(C16,B16,1),1))+SUMIFS(Gastos_Mensuales!H:H,Gastos_Mensuales!B:B,B16,Gastos_Mensuales!C:C,C16)+SUMIFS(Impuestos!I:I,Impuestos!B:B,B16,Impuestos!C:C,C16)</f>
        <v/>
      </c>
      <c r="F16" s="8">
        <f>D16-E16</f>
        <v/>
      </c>
      <c r="G16" s="11">
        <f>IFERROR(F16/D16,0)</f>
        <v/>
      </c>
      <c r="H16" s="2">
        <f>COUNTIFS(Cotizaciones!J:J,"Enviada",Cotizaciones!B:B,"&gt;="&amp;DATE(C16,B16,1),Cotizaciones!B:B,"&lt;"&amp;EDATE(DATE(C16,B16,1),1))</f>
        <v/>
      </c>
      <c r="I16" s="2">
        <f>COUNTIFS(Cotizaciones!J:J,"Aprobada",Cotizaciones!B:B,"&gt;="&amp;DATE(C16,B16,1),Cotizaciones!B:B,"&lt;"&amp;EDATE(DATE(C16,B16,1),1))</f>
        <v/>
      </c>
      <c r="J16" s="11">
        <f>IFERROR(I16/H16,0)</f>
        <v/>
      </c>
      <c r="K16" s="8">
        <f>MAX(0,SUM($F$2:F16))</f>
        <v/>
      </c>
      <c r="L16" s="11">
        <f>IFERROR(K16/Configuracion!$K$2,0)</f>
        <v/>
      </c>
      <c r="M16" s="8">
        <f>SUMIFS(Flujo_Caja!H:H,Flujo_Caja!B:B,B16,Flujo_Caja!C:C,C16)</f>
        <v/>
      </c>
      <c r="N16" s="2" t="n"/>
    </row>
    <row r="17">
      <c r="A17" s="2" t="n"/>
      <c r="B17" s="2" t="n"/>
      <c r="C17" s="2" t="n"/>
      <c r="D17" s="8">
        <f>SUMIFS(Ingresos!J:J,Ingresos!D:D,"&gt;="&amp;DATE(C17,B17,1),Ingresos!D:D,"&lt;"&amp;EDATE(DATE(C17,B17,1),1))</f>
        <v/>
      </c>
      <c r="E17" s="8">
        <f>SUMIFS(Egresos!H:H,Egresos!B:B,"&gt;="&amp;DATE(C17,B17,1),Egresos!B:B,"&lt;"&amp;EDATE(DATE(C17,B17,1),1))+SUMIFS(Gastos_Mensuales!H:H,Gastos_Mensuales!B:B,B17,Gastos_Mensuales!C:C,C17)+SUMIFS(Impuestos!I:I,Impuestos!B:B,B17,Impuestos!C:C,C17)</f>
        <v/>
      </c>
      <c r="F17" s="8">
        <f>D17-E17</f>
        <v/>
      </c>
      <c r="G17" s="11">
        <f>IFERROR(F17/D17,0)</f>
        <v/>
      </c>
      <c r="H17" s="2">
        <f>COUNTIFS(Cotizaciones!J:J,"Enviada",Cotizaciones!B:B,"&gt;="&amp;DATE(C17,B17,1),Cotizaciones!B:B,"&lt;"&amp;EDATE(DATE(C17,B17,1),1))</f>
        <v/>
      </c>
      <c r="I17" s="2">
        <f>COUNTIFS(Cotizaciones!J:J,"Aprobada",Cotizaciones!B:B,"&gt;="&amp;DATE(C17,B17,1),Cotizaciones!B:B,"&lt;"&amp;EDATE(DATE(C17,B17,1),1))</f>
        <v/>
      </c>
      <c r="J17" s="11">
        <f>IFERROR(I17/H17,0)</f>
        <v/>
      </c>
      <c r="K17" s="8">
        <f>MAX(0,SUM($F$2:F17))</f>
        <v/>
      </c>
      <c r="L17" s="11">
        <f>IFERROR(K17/Configuracion!$K$2,0)</f>
        <v/>
      </c>
      <c r="M17" s="8">
        <f>SUMIFS(Flujo_Caja!H:H,Flujo_Caja!B:B,B17,Flujo_Caja!C:C,C17)</f>
        <v/>
      </c>
      <c r="N17" s="2" t="n"/>
    </row>
    <row r="18">
      <c r="A18" s="2" t="n"/>
      <c r="B18" s="2" t="n"/>
      <c r="C18" s="2" t="n"/>
      <c r="D18" s="8">
        <f>SUMIFS(Ingresos!J:J,Ingresos!D:D,"&gt;="&amp;DATE(C18,B18,1),Ingresos!D:D,"&lt;"&amp;EDATE(DATE(C18,B18,1),1))</f>
        <v/>
      </c>
      <c r="E18" s="8">
        <f>SUMIFS(Egresos!H:H,Egresos!B:B,"&gt;="&amp;DATE(C18,B18,1),Egresos!B:B,"&lt;"&amp;EDATE(DATE(C18,B18,1),1))+SUMIFS(Gastos_Mensuales!H:H,Gastos_Mensuales!B:B,B18,Gastos_Mensuales!C:C,C18)+SUMIFS(Impuestos!I:I,Impuestos!B:B,B18,Impuestos!C:C,C18)</f>
        <v/>
      </c>
      <c r="F18" s="8">
        <f>D18-E18</f>
        <v/>
      </c>
      <c r="G18" s="11">
        <f>IFERROR(F18/D18,0)</f>
        <v/>
      </c>
      <c r="H18" s="2">
        <f>COUNTIFS(Cotizaciones!J:J,"Enviada",Cotizaciones!B:B,"&gt;="&amp;DATE(C18,B18,1),Cotizaciones!B:B,"&lt;"&amp;EDATE(DATE(C18,B18,1),1))</f>
        <v/>
      </c>
      <c r="I18" s="2">
        <f>COUNTIFS(Cotizaciones!J:J,"Aprobada",Cotizaciones!B:B,"&gt;="&amp;DATE(C18,B18,1),Cotizaciones!B:B,"&lt;"&amp;EDATE(DATE(C18,B18,1),1))</f>
        <v/>
      </c>
      <c r="J18" s="11">
        <f>IFERROR(I18/H18,0)</f>
        <v/>
      </c>
      <c r="K18" s="8">
        <f>MAX(0,SUM($F$2:F18))</f>
        <v/>
      </c>
      <c r="L18" s="11">
        <f>IFERROR(K18/Configuracion!$K$2,0)</f>
        <v/>
      </c>
      <c r="M18" s="8">
        <f>SUMIFS(Flujo_Caja!H:H,Flujo_Caja!B:B,B18,Flujo_Caja!C:C,C18)</f>
        <v/>
      </c>
      <c r="N18" s="2" t="n"/>
    </row>
    <row r="19">
      <c r="A19" s="2" t="n"/>
      <c r="B19" s="2" t="n"/>
      <c r="C19" s="2" t="n"/>
      <c r="D19" s="8">
        <f>SUMIFS(Ingresos!J:J,Ingresos!D:D,"&gt;="&amp;DATE(C19,B19,1),Ingresos!D:D,"&lt;"&amp;EDATE(DATE(C19,B19,1),1))</f>
        <v/>
      </c>
      <c r="E19" s="8">
        <f>SUMIFS(Egresos!H:H,Egresos!B:B,"&gt;="&amp;DATE(C19,B19,1),Egresos!B:B,"&lt;"&amp;EDATE(DATE(C19,B19,1),1))+SUMIFS(Gastos_Mensuales!H:H,Gastos_Mensuales!B:B,B19,Gastos_Mensuales!C:C,C19)+SUMIFS(Impuestos!I:I,Impuestos!B:B,B19,Impuestos!C:C,C19)</f>
        <v/>
      </c>
      <c r="F19" s="8">
        <f>D19-E19</f>
        <v/>
      </c>
      <c r="G19" s="11">
        <f>IFERROR(F19/D19,0)</f>
        <v/>
      </c>
      <c r="H19" s="2">
        <f>COUNTIFS(Cotizaciones!J:J,"Enviada",Cotizaciones!B:B,"&gt;="&amp;DATE(C19,B19,1),Cotizaciones!B:B,"&lt;"&amp;EDATE(DATE(C19,B19,1),1))</f>
        <v/>
      </c>
      <c r="I19" s="2">
        <f>COUNTIFS(Cotizaciones!J:J,"Aprobada",Cotizaciones!B:B,"&gt;="&amp;DATE(C19,B19,1),Cotizaciones!B:B,"&lt;"&amp;EDATE(DATE(C19,B19,1),1))</f>
        <v/>
      </c>
      <c r="J19" s="11">
        <f>IFERROR(I19/H19,0)</f>
        <v/>
      </c>
      <c r="K19" s="8">
        <f>MAX(0,SUM($F$2:F19))</f>
        <v/>
      </c>
      <c r="L19" s="11">
        <f>IFERROR(K19/Configuracion!$K$2,0)</f>
        <v/>
      </c>
      <c r="M19" s="8">
        <f>SUMIFS(Flujo_Caja!H:H,Flujo_Caja!B:B,B19,Flujo_Caja!C:C,C19)</f>
        <v/>
      </c>
      <c r="N19" s="2" t="n"/>
    </row>
    <row r="20">
      <c r="A20" s="2" t="n"/>
      <c r="B20" s="2" t="n"/>
      <c r="C20" s="2" t="n"/>
      <c r="D20" s="8">
        <f>SUMIFS(Ingresos!J:J,Ingresos!D:D,"&gt;="&amp;DATE(C20,B20,1),Ingresos!D:D,"&lt;"&amp;EDATE(DATE(C20,B20,1),1))</f>
        <v/>
      </c>
      <c r="E20" s="8">
        <f>SUMIFS(Egresos!H:H,Egresos!B:B,"&gt;="&amp;DATE(C20,B20,1),Egresos!B:B,"&lt;"&amp;EDATE(DATE(C20,B20,1),1))+SUMIFS(Gastos_Mensuales!H:H,Gastos_Mensuales!B:B,B20,Gastos_Mensuales!C:C,C20)+SUMIFS(Impuestos!I:I,Impuestos!B:B,B20,Impuestos!C:C,C20)</f>
        <v/>
      </c>
      <c r="F20" s="8">
        <f>D20-E20</f>
        <v/>
      </c>
      <c r="G20" s="11">
        <f>IFERROR(F20/D20,0)</f>
        <v/>
      </c>
      <c r="H20" s="2">
        <f>COUNTIFS(Cotizaciones!J:J,"Enviada",Cotizaciones!B:B,"&gt;="&amp;DATE(C20,B20,1),Cotizaciones!B:B,"&lt;"&amp;EDATE(DATE(C20,B20,1),1))</f>
        <v/>
      </c>
      <c r="I20" s="2">
        <f>COUNTIFS(Cotizaciones!J:J,"Aprobada",Cotizaciones!B:B,"&gt;="&amp;DATE(C20,B20,1),Cotizaciones!B:B,"&lt;"&amp;EDATE(DATE(C20,B20,1),1))</f>
        <v/>
      </c>
      <c r="J20" s="11">
        <f>IFERROR(I20/H20,0)</f>
        <v/>
      </c>
      <c r="K20" s="8">
        <f>MAX(0,SUM($F$2:F20))</f>
        <v/>
      </c>
      <c r="L20" s="11">
        <f>IFERROR(K20/Configuracion!$K$2,0)</f>
        <v/>
      </c>
      <c r="M20" s="8">
        <f>SUMIFS(Flujo_Caja!H:H,Flujo_Caja!B:B,B20,Flujo_Caja!C:C,C20)</f>
        <v/>
      </c>
      <c r="N20" s="2" t="n"/>
    </row>
    <row r="21">
      <c r="A21" s="2" t="n"/>
      <c r="B21" s="2" t="n"/>
      <c r="C21" s="2" t="n"/>
      <c r="D21" s="8">
        <f>SUMIFS(Ingresos!J:J,Ingresos!D:D,"&gt;="&amp;DATE(C21,B21,1),Ingresos!D:D,"&lt;"&amp;EDATE(DATE(C21,B21,1),1))</f>
        <v/>
      </c>
      <c r="E21" s="8">
        <f>SUMIFS(Egresos!H:H,Egresos!B:B,"&gt;="&amp;DATE(C21,B21,1),Egresos!B:B,"&lt;"&amp;EDATE(DATE(C21,B21,1),1))+SUMIFS(Gastos_Mensuales!H:H,Gastos_Mensuales!B:B,B21,Gastos_Mensuales!C:C,C21)+SUMIFS(Impuestos!I:I,Impuestos!B:B,B21,Impuestos!C:C,C21)</f>
        <v/>
      </c>
      <c r="F21" s="8">
        <f>D21-E21</f>
        <v/>
      </c>
      <c r="G21" s="11">
        <f>IFERROR(F21/D21,0)</f>
        <v/>
      </c>
      <c r="H21" s="2">
        <f>COUNTIFS(Cotizaciones!J:J,"Enviada",Cotizaciones!B:B,"&gt;="&amp;DATE(C21,B21,1),Cotizaciones!B:B,"&lt;"&amp;EDATE(DATE(C21,B21,1),1))</f>
        <v/>
      </c>
      <c r="I21" s="2">
        <f>COUNTIFS(Cotizaciones!J:J,"Aprobada",Cotizaciones!B:B,"&gt;="&amp;DATE(C21,B21,1),Cotizaciones!B:B,"&lt;"&amp;EDATE(DATE(C21,B21,1),1))</f>
        <v/>
      </c>
      <c r="J21" s="11">
        <f>IFERROR(I21/H21,0)</f>
        <v/>
      </c>
      <c r="K21" s="8">
        <f>MAX(0,SUM($F$2:F21))</f>
        <v/>
      </c>
      <c r="L21" s="11">
        <f>IFERROR(K21/Configuracion!$K$2,0)</f>
        <v/>
      </c>
      <c r="M21" s="8">
        <f>SUMIFS(Flujo_Caja!H:H,Flujo_Caja!B:B,B21,Flujo_Caja!C:C,C21)</f>
        <v/>
      </c>
      <c r="N21" s="2" t="n"/>
    </row>
    <row r="22">
      <c r="A22" s="2" t="n"/>
      <c r="B22" s="2" t="n"/>
      <c r="C22" s="2" t="n"/>
      <c r="D22" s="8">
        <f>SUMIFS(Ingresos!J:J,Ingresos!D:D,"&gt;="&amp;DATE(C22,B22,1),Ingresos!D:D,"&lt;"&amp;EDATE(DATE(C22,B22,1),1))</f>
        <v/>
      </c>
      <c r="E22" s="8">
        <f>SUMIFS(Egresos!H:H,Egresos!B:B,"&gt;="&amp;DATE(C22,B22,1),Egresos!B:B,"&lt;"&amp;EDATE(DATE(C22,B22,1),1))+SUMIFS(Gastos_Mensuales!H:H,Gastos_Mensuales!B:B,B22,Gastos_Mensuales!C:C,C22)+SUMIFS(Impuestos!I:I,Impuestos!B:B,B22,Impuestos!C:C,C22)</f>
        <v/>
      </c>
      <c r="F22" s="8">
        <f>D22-E22</f>
        <v/>
      </c>
      <c r="G22" s="11">
        <f>IFERROR(F22/D22,0)</f>
        <v/>
      </c>
      <c r="H22" s="2">
        <f>COUNTIFS(Cotizaciones!J:J,"Enviada",Cotizaciones!B:B,"&gt;="&amp;DATE(C22,B22,1),Cotizaciones!B:B,"&lt;"&amp;EDATE(DATE(C22,B22,1),1))</f>
        <v/>
      </c>
      <c r="I22" s="2">
        <f>COUNTIFS(Cotizaciones!J:J,"Aprobada",Cotizaciones!B:B,"&gt;="&amp;DATE(C22,B22,1),Cotizaciones!B:B,"&lt;"&amp;EDATE(DATE(C22,B22,1),1))</f>
        <v/>
      </c>
      <c r="J22" s="11">
        <f>IFERROR(I22/H22,0)</f>
        <v/>
      </c>
      <c r="K22" s="8">
        <f>MAX(0,SUM($F$2:F22))</f>
        <v/>
      </c>
      <c r="L22" s="11">
        <f>IFERROR(K22/Configuracion!$K$2,0)</f>
        <v/>
      </c>
      <c r="M22" s="8">
        <f>SUMIFS(Flujo_Caja!H:H,Flujo_Caja!B:B,B22,Flujo_Caja!C:C,C22)</f>
        <v/>
      </c>
      <c r="N22" s="2" t="n"/>
    </row>
    <row r="23">
      <c r="A23" s="2" t="n"/>
      <c r="B23" s="2" t="n"/>
      <c r="C23" s="2" t="n"/>
      <c r="D23" s="8">
        <f>SUMIFS(Ingresos!J:J,Ingresos!D:D,"&gt;="&amp;DATE(C23,B23,1),Ingresos!D:D,"&lt;"&amp;EDATE(DATE(C23,B23,1),1))</f>
        <v/>
      </c>
      <c r="E23" s="8">
        <f>SUMIFS(Egresos!H:H,Egresos!B:B,"&gt;="&amp;DATE(C23,B23,1),Egresos!B:B,"&lt;"&amp;EDATE(DATE(C23,B23,1),1))+SUMIFS(Gastos_Mensuales!H:H,Gastos_Mensuales!B:B,B23,Gastos_Mensuales!C:C,C23)+SUMIFS(Impuestos!I:I,Impuestos!B:B,B23,Impuestos!C:C,C23)</f>
        <v/>
      </c>
      <c r="F23" s="8">
        <f>D23-E23</f>
        <v/>
      </c>
      <c r="G23" s="11">
        <f>IFERROR(F23/D23,0)</f>
        <v/>
      </c>
      <c r="H23" s="2">
        <f>COUNTIFS(Cotizaciones!J:J,"Enviada",Cotizaciones!B:B,"&gt;="&amp;DATE(C23,B23,1),Cotizaciones!B:B,"&lt;"&amp;EDATE(DATE(C23,B23,1),1))</f>
        <v/>
      </c>
      <c r="I23" s="2">
        <f>COUNTIFS(Cotizaciones!J:J,"Aprobada",Cotizaciones!B:B,"&gt;="&amp;DATE(C23,B23,1),Cotizaciones!B:B,"&lt;"&amp;EDATE(DATE(C23,B23,1),1))</f>
        <v/>
      </c>
      <c r="J23" s="11">
        <f>IFERROR(I23/H23,0)</f>
        <v/>
      </c>
      <c r="K23" s="8">
        <f>MAX(0,SUM($F$2:F23))</f>
        <v/>
      </c>
      <c r="L23" s="11">
        <f>IFERROR(K23/Configuracion!$K$2,0)</f>
        <v/>
      </c>
      <c r="M23" s="8">
        <f>SUMIFS(Flujo_Caja!H:H,Flujo_Caja!B:B,B23,Flujo_Caja!C:C,C23)</f>
        <v/>
      </c>
      <c r="N23" s="2" t="n"/>
    </row>
    <row r="24">
      <c r="A24" s="2" t="n"/>
      <c r="B24" s="2" t="n"/>
      <c r="C24" s="2" t="n"/>
      <c r="D24" s="8">
        <f>SUMIFS(Ingresos!J:J,Ingresos!D:D,"&gt;="&amp;DATE(C24,B24,1),Ingresos!D:D,"&lt;"&amp;EDATE(DATE(C24,B24,1),1))</f>
        <v/>
      </c>
      <c r="E24" s="8">
        <f>SUMIFS(Egresos!H:H,Egresos!B:B,"&gt;="&amp;DATE(C24,B24,1),Egresos!B:B,"&lt;"&amp;EDATE(DATE(C24,B24,1),1))+SUMIFS(Gastos_Mensuales!H:H,Gastos_Mensuales!B:B,B24,Gastos_Mensuales!C:C,C24)+SUMIFS(Impuestos!I:I,Impuestos!B:B,B24,Impuestos!C:C,C24)</f>
        <v/>
      </c>
      <c r="F24" s="8">
        <f>D24-E24</f>
        <v/>
      </c>
      <c r="G24" s="11">
        <f>IFERROR(F24/D24,0)</f>
        <v/>
      </c>
      <c r="H24" s="2">
        <f>COUNTIFS(Cotizaciones!J:J,"Enviada",Cotizaciones!B:B,"&gt;="&amp;DATE(C24,B24,1),Cotizaciones!B:B,"&lt;"&amp;EDATE(DATE(C24,B24,1),1))</f>
        <v/>
      </c>
      <c r="I24" s="2">
        <f>COUNTIFS(Cotizaciones!J:J,"Aprobada",Cotizaciones!B:B,"&gt;="&amp;DATE(C24,B24,1),Cotizaciones!B:B,"&lt;"&amp;EDATE(DATE(C24,B24,1),1))</f>
        <v/>
      </c>
      <c r="J24" s="11">
        <f>IFERROR(I24/H24,0)</f>
        <v/>
      </c>
      <c r="K24" s="8">
        <f>MAX(0,SUM($F$2:F24))</f>
        <v/>
      </c>
      <c r="L24" s="11">
        <f>IFERROR(K24/Configuracion!$K$2,0)</f>
        <v/>
      </c>
      <c r="M24" s="8">
        <f>SUMIFS(Flujo_Caja!H:H,Flujo_Caja!B:B,B24,Flujo_Caja!C:C,C24)</f>
        <v/>
      </c>
      <c r="N24" s="2" t="n"/>
    </row>
    <row r="25">
      <c r="A25" s="2" t="n"/>
      <c r="B25" s="2" t="n"/>
      <c r="C25" s="2" t="n"/>
      <c r="D25" s="8">
        <f>SUMIFS(Ingresos!J:J,Ingresos!D:D,"&gt;="&amp;DATE(C25,B25,1),Ingresos!D:D,"&lt;"&amp;EDATE(DATE(C25,B25,1),1))</f>
        <v/>
      </c>
      <c r="E25" s="8">
        <f>SUMIFS(Egresos!H:H,Egresos!B:B,"&gt;="&amp;DATE(C25,B25,1),Egresos!B:B,"&lt;"&amp;EDATE(DATE(C25,B25,1),1))+SUMIFS(Gastos_Mensuales!H:H,Gastos_Mensuales!B:B,B25,Gastos_Mensuales!C:C,C25)+SUMIFS(Impuestos!I:I,Impuestos!B:B,B25,Impuestos!C:C,C25)</f>
        <v/>
      </c>
      <c r="F25" s="8">
        <f>D25-E25</f>
        <v/>
      </c>
      <c r="G25" s="11">
        <f>IFERROR(F25/D25,0)</f>
        <v/>
      </c>
      <c r="H25" s="2">
        <f>COUNTIFS(Cotizaciones!J:J,"Enviada",Cotizaciones!B:B,"&gt;="&amp;DATE(C25,B25,1),Cotizaciones!B:B,"&lt;"&amp;EDATE(DATE(C25,B25,1),1))</f>
        <v/>
      </c>
      <c r="I25" s="2">
        <f>COUNTIFS(Cotizaciones!J:J,"Aprobada",Cotizaciones!B:B,"&gt;="&amp;DATE(C25,B25,1),Cotizaciones!B:B,"&lt;"&amp;EDATE(DATE(C25,B25,1),1))</f>
        <v/>
      </c>
      <c r="J25" s="11">
        <f>IFERROR(I25/H25,0)</f>
        <v/>
      </c>
      <c r="K25" s="8">
        <f>MAX(0,SUM($F$2:F25))</f>
        <v/>
      </c>
      <c r="L25" s="11">
        <f>IFERROR(K25/Configuracion!$K$2,0)</f>
        <v/>
      </c>
      <c r="M25" s="8">
        <f>SUMIFS(Flujo_Caja!H:H,Flujo_Caja!B:B,B25,Flujo_Caja!C:C,C25)</f>
        <v/>
      </c>
      <c r="N25" s="2" t="n"/>
    </row>
    <row r="26">
      <c r="A26" s="2" t="n"/>
      <c r="B26" s="2" t="n"/>
      <c r="C26" s="2" t="n"/>
      <c r="D26" s="8">
        <f>SUMIFS(Ingresos!J:J,Ingresos!D:D,"&gt;="&amp;DATE(C26,B26,1),Ingresos!D:D,"&lt;"&amp;EDATE(DATE(C26,B26,1),1))</f>
        <v/>
      </c>
      <c r="E26" s="8">
        <f>SUMIFS(Egresos!H:H,Egresos!B:B,"&gt;="&amp;DATE(C26,B26,1),Egresos!B:B,"&lt;"&amp;EDATE(DATE(C26,B26,1),1))+SUMIFS(Gastos_Mensuales!H:H,Gastos_Mensuales!B:B,B26,Gastos_Mensuales!C:C,C26)+SUMIFS(Impuestos!I:I,Impuestos!B:B,B26,Impuestos!C:C,C26)</f>
        <v/>
      </c>
      <c r="F26" s="8">
        <f>D26-E26</f>
        <v/>
      </c>
      <c r="G26" s="11">
        <f>IFERROR(F26/D26,0)</f>
        <v/>
      </c>
      <c r="H26" s="2">
        <f>COUNTIFS(Cotizaciones!J:J,"Enviada",Cotizaciones!B:B,"&gt;="&amp;DATE(C26,B26,1),Cotizaciones!B:B,"&lt;"&amp;EDATE(DATE(C26,B26,1),1))</f>
        <v/>
      </c>
      <c r="I26" s="2">
        <f>COUNTIFS(Cotizaciones!J:J,"Aprobada",Cotizaciones!B:B,"&gt;="&amp;DATE(C26,B26,1),Cotizaciones!B:B,"&lt;"&amp;EDATE(DATE(C26,B26,1),1))</f>
        <v/>
      </c>
      <c r="J26" s="11">
        <f>IFERROR(I26/H26,0)</f>
        <v/>
      </c>
      <c r="K26" s="8">
        <f>MAX(0,SUM($F$2:F26))</f>
        <v/>
      </c>
      <c r="L26" s="11">
        <f>IFERROR(K26/Configuracion!$K$2,0)</f>
        <v/>
      </c>
      <c r="M26" s="8">
        <f>SUMIFS(Flujo_Caja!H:H,Flujo_Caja!B:B,B26,Flujo_Caja!C:C,C26)</f>
        <v/>
      </c>
      <c r="N26" s="2" t="n"/>
    </row>
    <row r="27">
      <c r="A27" s="2" t="n"/>
      <c r="B27" s="2" t="n"/>
      <c r="C27" s="2" t="n"/>
      <c r="D27" s="8">
        <f>SUMIFS(Ingresos!J:J,Ingresos!D:D,"&gt;="&amp;DATE(C27,B27,1),Ingresos!D:D,"&lt;"&amp;EDATE(DATE(C27,B27,1),1))</f>
        <v/>
      </c>
      <c r="E27" s="8">
        <f>SUMIFS(Egresos!H:H,Egresos!B:B,"&gt;="&amp;DATE(C27,B27,1),Egresos!B:B,"&lt;"&amp;EDATE(DATE(C27,B27,1),1))+SUMIFS(Gastos_Mensuales!H:H,Gastos_Mensuales!B:B,B27,Gastos_Mensuales!C:C,C27)+SUMIFS(Impuestos!I:I,Impuestos!B:B,B27,Impuestos!C:C,C27)</f>
        <v/>
      </c>
      <c r="F27" s="8">
        <f>D27-E27</f>
        <v/>
      </c>
      <c r="G27" s="11">
        <f>IFERROR(F27/D27,0)</f>
        <v/>
      </c>
      <c r="H27" s="2">
        <f>COUNTIFS(Cotizaciones!J:J,"Enviada",Cotizaciones!B:B,"&gt;="&amp;DATE(C27,B27,1),Cotizaciones!B:B,"&lt;"&amp;EDATE(DATE(C27,B27,1),1))</f>
        <v/>
      </c>
      <c r="I27" s="2">
        <f>COUNTIFS(Cotizaciones!J:J,"Aprobada",Cotizaciones!B:B,"&gt;="&amp;DATE(C27,B27,1),Cotizaciones!B:B,"&lt;"&amp;EDATE(DATE(C27,B27,1),1))</f>
        <v/>
      </c>
      <c r="J27" s="11">
        <f>IFERROR(I27/H27,0)</f>
        <v/>
      </c>
      <c r="K27" s="8">
        <f>MAX(0,SUM($F$2:F27))</f>
        <v/>
      </c>
      <c r="L27" s="11">
        <f>IFERROR(K27/Configuracion!$K$2,0)</f>
        <v/>
      </c>
      <c r="M27" s="8">
        <f>SUMIFS(Flujo_Caja!H:H,Flujo_Caja!B:B,B27,Flujo_Caja!C:C,C27)</f>
        <v/>
      </c>
      <c r="N27" s="2" t="n"/>
    </row>
    <row r="28">
      <c r="A28" s="2" t="n"/>
      <c r="B28" s="2" t="n"/>
      <c r="C28" s="2" t="n"/>
      <c r="D28" s="8">
        <f>SUMIFS(Ingresos!J:J,Ingresos!D:D,"&gt;="&amp;DATE(C28,B28,1),Ingresos!D:D,"&lt;"&amp;EDATE(DATE(C28,B28,1),1))</f>
        <v/>
      </c>
      <c r="E28" s="8">
        <f>SUMIFS(Egresos!H:H,Egresos!B:B,"&gt;="&amp;DATE(C28,B28,1),Egresos!B:B,"&lt;"&amp;EDATE(DATE(C28,B28,1),1))+SUMIFS(Gastos_Mensuales!H:H,Gastos_Mensuales!B:B,B28,Gastos_Mensuales!C:C,C28)+SUMIFS(Impuestos!I:I,Impuestos!B:B,B28,Impuestos!C:C,C28)</f>
        <v/>
      </c>
      <c r="F28" s="8">
        <f>D28-E28</f>
        <v/>
      </c>
      <c r="G28" s="11">
        <f>IFERROR(F28/D28,0)</f>
        <v/>
      </c>
      <c r="H28" s="2">
        <f>COUNTIFS(Cotizaciones!J:J,"Enviada",Cotizaciones!B:B,"&gt;="&amp;DATE(C28,B28,1),Cotizaciones!B:B,"&lt;"&amp;EDATE(DATE(C28,B28,1),1))</f>
        <v/>
      </c>
      <c r="I28" s="2">
        <f>COUNTIFS(Cotizaciones!J:J,"Aprobada",Cotizaciones!B:B,"&gt;="&amp;DATE(C28,B28,1),Cotizaciones!B:B,"&lt;"&amp;EDATE(DATE(C28,B28,1),1))</f>
        <v/>
      </c>
      <c r="J28" s="11">
        <f>IFERROR(I28/H28,0)</f>
        <v/>
      </c>
      <c r="K28" s="8">
        <f>MAX(0,SUM($F$2:F28))</f>
        <v/>
      </c>
      <c r="L28" s="11">
        <f>IFERROR(K28/Configuracion!$K$2,0)</f>
        <v/>
      </c>
      <c r="M28" s="8">
        <f>SUMIFS(Flujo_Caja!H:H,Flujo_Caja!B:B,B28,Flujo_Caja!C:C,C28)</f>
        <v/>
      </c>
      <c r="N28" s="2" t="n"/>
    </row>
    <row r="29">
      <c r="A29" s="2" t="n"/>
      <c r="B29" s="2" t="n"/>
      <c r="C29" s="2" t="n"/>
      <c r="D29" s="8">
        <f>SUMIFS(Ingresos!J:J,Ingresos!D:D,"&gt;="&amp;DATE(C29,B29,1),Ingresos!D:D,"&lt;"&amp;EDATE(DATE(C29,B29,1),1))</f>
        <v/>
      </c>
      <c r="E29" s="8">
        <f>SUMIFS(Egresos!H:H,Egresos!B:B,"&gt;="&amp;DATE(C29,B29,1),Egresos!B:B,"&lt;"&amp;EDATE(DATE(C29,B29,1),1))+SUMIFS(Gastos_Mensuales!H:H,Gastos_Mensuales!B:B,B29,Gastos_Mensuales!C:C,C29)+SUMIFS(Impuestos!I:I,Impuestos!B:B,B29,Impuestos!C:C,C29)</f>
        <v/>
      </c>
      <c r="F29" s="8">
        <f>D29-E29</f>
        <v/>
      </c>
      <c r="G29" s="11">
        <f>IFERROR(F29/D29,0)</f>
        <v/>
      </c>
      <c r="H29" s="2">
        <f>COUNTIFS(Cotizaciones!J:J,"Enviada",Cotizaciones!B:B,"&gt;="&amp;DATE(C29,B29,1),Cotizaciones!B:B,"&lt;"&amp;EDATE(DATE(C29,B29,1),1))</f>
        <v/>
      </c>
      <c r="I29" s="2">
        <f>COUNTIFS(Cotizaciones!J:J,"Aprobada",Cotizaciones!B:B,"&gt;="&amp;DATE(C29,B29,1),Cotizaciones!B:B,"&lt;"&amp;EDATE(DATE(C29,B29,1),1))</f>
        <v/>
      </c>
      <c r="J29" s="11">
        <f>IFERROR(I29/H29,0)</f>
        <v/>
      </c>
      <c r="K29" s="8">
        <f>MAX(0,SUM($F$2:F29))</f>
        <v/>
      </c>
      <c r="L29" s="11">
        <f>IFERROR(K29/Configuracion!$K$2,0)</f>
        <v/>
      </c>
      <c r="M29" s="8">
        <f>SUMIFS(Flujo_Caja!H:H,Flujo_Caja!B:B,B29,Flujo_Caja!C:C,C29)</f>
        <v/>
      </c>
      <c r="N29" s="2" t="n"/>
    </row>
    <row r="30">
      <c r="A30" s="2" t="n"/>
      <c r="B30" s="2" t="n"/>
      <c r="C30" s="2" t="n"/>
      <c r="D30" s="8">
        <f>SUMIFS(Ingresos!J:J,Ingresos!D:D,"&gt;="&amp;DATE(C30,B30,1),Ingresos!D:D,"&lt;"&amp;EDATE(DATE(C30,B30,1),1))</f>
        <v/>
      </c>
      <c r="E30" s="8">
        <f>SUMIFS(Egresos!H:H,Egresos!B:B,"&gt;="&amp;DATE(C30,B30,1),Egresos!B:B,"&lt;"&amp;EDATE(DATE(C30,B30,1),1))+SUMIFS(Gastos_Mensuales!H:H,Gastos_Mensuales!B:B,B30,Gastos_Mensuales!C:C,C30)+SUMIFS(Impuestos!I:I,Impuestos!B:B,B30,Impuestos!C:C,C30)</f>
        <v/>
      </c>
      <c r="F30" s="8">
        <f>D30-E30</f>
        <v/>
      </c>
      <c r="G30" s="11">
        <f>IFERROR(F30/D30,0)</f>
        <v/>
      </c>
      <c r="H30" s="2">
        <f>COUNTIFS(Cotizaciones!J:J,"Enviada",Cotizaciones!B:B,"&gt;="&amp;DATE(C30,B30,1),Cotizaciones!B:B,"&lt;"&amp;EDATE(DATE(C30,B30,1),1))</f>
        <v/>
      </c>
      <c r="I30" s="2">
        <f>COUNTIFS(Cotizaciones!J:J,"Aprobada",Cotizaciones!B:B,"&gt;="&amp;DATE(C30,B30,1),Cotizaciones!B:B,"&lt;"&amp;EDATE(DATE(C30,B30,1),1))</f>
        <v/>
      </c>
      <c r="J30" s="11">
        <f>IFERROR(I30/H30,0)</f>
        <v/>
      </c>
      <c r="K30" s="8">
        <f>MAX(0,SUM($F$2:F30))</f>
        <v/>
      </c>
      <c r="L30" s="11">
        <f>IFERROR(K30/Configuracion!$K$2,0)</f>
        <v/>
      </c>
      <c r="M30" s="8">
        <f>SUMIFS(Flujo_Caja!H:H,Flujo_Caja!B:B,B30,Flujo_Caja!C:C,C30)</f>
        <v/>
      </c>
      <c r="N30" s="2" t="n"/>
    </row>
    <row r="31">
      <c r="A31" s="2" t="n"/>
      <c r="B31" s="2" t="n"/>
      <c r="C31" s="2" t="n"/>
      <c r="D31" s="8">
        <f>SUMIFS(Ingresos!J:J,Ingresos!D:D,"&gt;="&amp;DATE(C31,B31,1),Ingresos!D:D,"&lt;"&amp;EDATE(DATE(C31,B31,1),1))</f>
        <v/>
      </c>
      <c r="E31" s="8">
        <f>SUMIFS(Egresos!H:H,Egresos!B:B,"&gt;="&amp;DATE(C31,B31,1),Egresos!B:B,"&lt;"&amp;EDATE(DATE(C31,B31,1),1))+SUMIFS(Gastos_Mensuales!H:H,Gastos_Mensuales!B:B,B31,Gastos_Mensuales!C:C,C31)+SUMIFS(Impuestos!I:I,Impuestos!B:B,B31,Impuestos!C:C,C31)</f>
        <v/>
      </c>
      <c r="F31" s="8">
        <f>D31-E31</f>
        <v/>
      </c>
      <c r="G31" s="11">
        <f>IFERROR(F31/D31,0)</f>
        <v/>
      </c>
      <c r="H31" s="2">
        <f>COUNTIFS(Cotizaciones!J:J,"Enviada",Cotizaciones!B:B,"&gt;="&amp;DATE(C31,B31,1),Cotizaciones!B:B,"&lt;"&amp;EDATE(DATE(C31,B31,1),1))</f>
        <v/>
      </c>
      <c r="I31" s="2">
        <f>COUNTIFS(Cotizaciones!J:J,"Aprobada",Cotizaciones!B:B,"&gt;="&amp;DATE(C31,B31,1),Cotizaciones!B:B,"&lt;"&amp;EDATE(DATE(C31,B31,1),1))</f>
        <v/>
      </c>
      <c r="J31" s="11">
        <f>IFERROR(I31/H31,0)</f>
        <v/>
      </c>
      <c r="K31" s="8">
        <f>MAX(0,SUM($F$2:F31))</f>
        <v/>
      </c>
      <c r="L31" s="11">
        <f>IFERROR(K31/Configuracion!$K$2,0)</f>
        <v/>
      </c>
      <c r="M31" s="8">
        <f>SUMIFS(Flujo_Caja!H:H,Flujo_Caja!B:B,B31,Flujo_Caja!C:C,C31)</f>
        <v/>
      </c>
      <c r="N31" s="2" t="n"/>
    </row>
    <row r="32">
      <c r="A32" s="2" t="n"/>
      <c r="B32" s="2" t="n"/>
      <c r="C32" s="2" t="n"/>
      <c r="D32" s="8">
        <f>SUMIFS(Ingresos!J:J,Ingresos!D:D,"&gt;="&amp;DATE(C32,B32,1),Ingresos!D:D,"&lt;"&amp;EDATE(DATE(C32,B32,1),1))</f>
        <v/>
      </c>
      <c r="E32" s="8">
        <f>SUMIFS(Egresos!H:H,Egresos!B:B,"&gt;="&amp;DATE(C32,B32,1),Egresos!B:B,"&lt;"&amp;EDATE(DATE(C32,B32,1),1))+SUMIFS(Gastos_Mensuales!H:H,Gastos_Mensuales!B:B,B32,Gastos_Mensuales!C:C,C32)+SUMIFS(Impuestos!I:I,Impuestos!B:B,B32,Impuestos!C:C,C32)</f>
        <v/>
      </c>
      <c r="F32" s="8">
        <f>D32-E32</f>
        <v/>
      </c>
      <c r="G32" s="11">
        <f>IFERROR(F32/D32,0)</f>
        <v/>
      </c>
      <c r="H32" s="2">
        <f>COUNTIFS(Cotizaciones!J:J,"Enviada",Cotizaciones!B:B,"&gt;="&amp;DATE(C32,B32,1),Cotizaciones!B:B,"&lt;"&amp;EDATE(DATE(C32,B32,1),1))</f>
        <v/>
      </c>
      <c r="I32" s="2">
        <f>COUNTIFS(Cotizaciones!J:J,"Aprobada",Cotizaciones!B:B,"&gt;="&amp;DATE(C32,B32,1),Cotizaciones!B:B,"&lt;"&amp;EDATE(DATE(C32,B32,1),1))</f>
        <v/>
      </c>
      <c r="J32" s="11">
        <f>IFERROR(I32/H32,0)</f>
        <v/>
      </c>
      <c r="K32" s="8">
        <f>MAX(0,SUM($F$2:F32))</f>
        <v/>
      </c>
      <c r="L32" s="11">
        <f>IFERROR(K32/Configuracion!$K$2,0)</f>
        <v/>
      </c>
      <c r="M32" s="8">
        <f>SUMIFS(Flujo_Caja!H:H,Flujo_Caja!B:B,B32,Flujo_Caja!C:C,C32)</f>
        <v/>
      </c>
      <c r="N32" s="2" t="n"/>
    </row>
    <row r="33">
      <c r="A33" s="2" t="n"/>
      <c r="B33" s="2" t="n"/>
      <c r="C33" s="2" t="n"/>
      <c r="D33" s="8">
        <f>SUMIFS(Ingresos!J:J,Ingresos!D:D,"&gt;="&amp;DATE(C33,B33,1),Ingresos!D:D,"&lt;"&amp;EDATE(DATE(C33,B33,1),1))</f>
        <v/>
      </c>
      <c r="E33" s="8">
        <f>SUMIFS(Egresos!H:H,Egresos!B:B,"&gt;="&amp;DATE(C33,B33,1),Egresos!B:B,"&lt;"&amp;EDATE(DATE(C33,B33,1),1))+SUMIFS(Gastos_Mensuales!H:H,Gastos_Mensuales!B:B,B33,Gastos_Mensuales!C:C,C33)+SUMIFS(Impuestos!I:I,Impuestos!B:B,B33,Impuestos!C:C,C33)</f>
        <v/>
      </c>
      <c r="F33" s="8">
        <f>D33-E33</f>
        <v/>
      </c>
      <c r="G33" s="11">
        <f>IFERROR(F33/D33,0)</f>
        <v/>
      </c>
      <c r="H33" s="2">
        <f>COUNTIFS(Cotizaciones!J:J,"Enviada",Cotizaciones!B:B,"&gt;="&amp;DATE(C33,B33,1),Cotizaciones!B:B,"&lt;"&amp;EDATE(DATE(C33,B33,1),1))</f>
        <v/>
      </c>
      <c r="I33" s="2">
        <f>COUNTIFS(Cotizaciones!J:J,"Aprobada",Cotizaciones!B:B,"&gt;="&amp;DATE(C33,B33,1),Cotizaciones!B:B,"&lt;"&amp;EDATE(DATE(C33,B33,1),1))</f>
        <v/>
      </c>
      <c r="J33" s="11">
        <f>IFERROR(I33/H33,0)</f>
        <v/>
      </c>
      <c r="K33" s="8">
        <f>MAX(0,SUM($F$2:F33))</f>
        <v/>
      </c>
      <c r="L33" s="11">
        <f>IFERROR(K33/Configuracion!$K$2,0)</f>
        <v/>
      </c>
      <c r="M33" s="8">
        <f>SUMIFS(Flujo_Caja!H:H,Flujo_Caja!B:B,B33,Flujo_Caja!C:C,C33)</f>
        <v/>
      </c>
      <c r="N33" s="2" t="n"/>
    </row>
    <row r="34">
      <c r="A34" s="2" t="n"/>
      <c r="B34" s="2" t="n"/>
      <c r="C34" s="2" t="n"/>
      <c r="D34" s="8">
        <f>SUMIFS(Ingresos!J:J,Ingresos!D:D,"&gt;="&amp;DATE(C34,B34,1),Ingresos!D:D,"&lt;"&amp;EDATE(DATE(C34,B34,1),1))</f>
        <v/>
      </c>
      <c r="E34" s="8">
        <f>SUMIFS(Egresos!H:H,Egresos!B:B,"&gt;="&amp;DATE(C34,B34,1),Egresos!B:B,"&lt;"&amp;EDATE(DATE(C34,B34,1),1))+SUMIFS(Gastos_Mensuales!H:H,Gastos_Mensuales!B:B,B34,Gastos_Mensuales!C:C,C34)+SUMIFS(Impuestos!I:I,Impuestos!B:B,B34,Impuestos!C:C,C34)</f>
        <v/>
      </c>
      <c r="F34" s="8">
        <f>D34-E34</f>
        <v/>
      </c>
      <c r="G34" s="11">
        <f>IFERROR(F34/D34,0)</f>
        <v/>
      </c>
      <c r="H34" s="2">
        <f>COUNTIFS(Cotizaciones!J:J,"Enviada",Cotizaciones!B:B,"&gt;="&amp;DATE(C34,B34,1),Cotizaciones!B:B,"&lt;"&amp;EDATE(DATE(C34,B34,1),1))</f>
        <v/>
      </c>
      <c r="I34" s="2">
        <f>COUNTIFS(Cotizaciones!J:J,"Aprobada",Cotizaciones!B:B,"&gt;="&amp;DATE(C34,B34,1),Cotizaciones!B:B,"&lt;"&amp;EDATE(DATE(C34,B34,1),1))</f>
        <v/>
      </c>
      <c r="J34" s="11">
        <f>IFERROR(I34/H34,0)</f>
        <v/>
      </c>
      <c r="K34" s="8">
        <f>MAX(0,SUM($F$2:F34))</f>
        <v/>
      </c>
      <c r="L34" s="11">
        <f>IFERROR(K34/Configuracion!$K$2,0)</f>
        <v/>
      </c>
      <c r="M34" s="8">
        <f>SUMIFS(Flujo_Caja!H:H,Flujo_Caja!B:B,B34,Flujo_Caja!C:C,C34)</f>
        <v/>
      </c>
      <c r="N34" s="2" t="n"/>
    </row>
    <row r="35">
      <c r="A35" s="2" t="n"/>
      <c r="B35" s="2" t="n"/>
      <c r="C35" s="2" t="n"/>
      <c r="D35" s="8">
        <f>SUMIFS(Ingresos!J:J,Ingresos!D:D,"&gt;="&amp;DATE(C35,B35,1),Ingresos!D:D,"&lt;"&amp;EDATE(DATE(C35,B35,1),1))</f>
        <v/>
      </c>
      <c r="E35" s="8">
        <f>SUMIFS(Egresos!H:H,Egresos!B:B,"&gt;="&amp;DATE(C35,B35,1),Egresos!B:B,"&lt;"&amp;EDATE(DATE(C35,B35,1),1))+SUMIFS(Gastos_Mensuales!H:H,Gastos_Mensuales!B:B,B35,Gastos_Mensuales!C:C,C35)+SUMIFS(Impuestos!I:I,Impuestos!B:B,B35,Impuestos!C:C,C35)</f>
        <v/>
      </c>
      <c r="F35" s="8">
        <f>D35-E35</f>
        <v/>
      </c>
      <c r="G35" s="11">
        <f>IFERROR(F35/D35,0)</f>
        <v/>
      </c>
      <c r="H35" s="2">
        <f>COUNTIFS(Cotizaciones!J:J,"Enviada",Cotizaciones!B:B,"&gt;="&amp;DATE(C35,B35,1),Cotizaciones!B:B,"&lt;"&amp;EDATE(DATE(C35,B35,1),1))</f>
        <v/>
      </c>
      <c r="I35" s="2">
        <f>COUNTIFS(Cotizaciones!J:J,"Aprobada",Cotizaciones!B:B,"&gt;="&amp;DATE(C35,B35,1),Cotizaciones!B:B,"&lt;"&amp;EDATE(DATE(C35,B35,1),1))</f>
        <v/>
      </c>
      <c r="J35" s="11">
        <f>IFERROR(I35/H35,0)</f>
        <v/>
      </c>
      <c r="K35" s="8">
        <f>MAX(0,SUM($F$2:F35))</f>
        <v/>
      </c>
      <c r="L35" s="11">
        <f>IFERROR(K35/Configuracion!$K$2,0)</f>
        <v/>
      </c>
      <c r="M35" s="8">
        <f>SUMIFS(Flujo_Caja!H:H,Flujo_Caja!B:B,B35,Flujo_Caja!C:C,C35)</f>
        <v/>
      </c>
      <c r="N35" s="2" t="n"/>
    </row>
    <row r="36">
      <c r="A36" s="2" t="n"/>
      <c r="B36" s="2" t="n"/>
      <c r="C36" s="2" t="n"/>
      <c r="D36" s="8">
        <f>SUMIFS(Ingresos!J:J,Ingresos!D:D,"&gt;="&amp;DATE(C36,B36,1),Ingresos!D:D,"&lt;"&amp;EDATE(DATE(C36,B36,1),1))</f>
        <v/>
      </c>
      <c r="E36" s="8">
        <f>SUMIFS(Egresos!H:H,Egresos!B:B,"&gt;="&amp;DATE(C36,B36,1),Egresos!B:B,"&lt;"&amp;EDATE(DATE(C36,B36,1),1))+SUMIFS(Gastos_Mensuales!H:H,Gastos_Mensuales!B:B,B36,Gastos_Mensuales!C:C,C36)+SUMIFS(Impuestos!I:I,Impuestos!B:B,B36,Impuestos!C:C,C36)</f>
        <v/>
      </c>
      <c r="F36" s="8">
        <f>D36-E36</f>
        <v/>
      </c>
      <c r="G36" s="11">
        <f>IFERROR(F36/D36,0)</f>
        <v/>
      </c>
      <c r="H36" s="2">
        <f>COUNTIFS(Cotizaciones!J:J,"Enviada",Cotizaciones!B:B,"&gt;="&amp;DATE(C36,B36,1),Cotizaciones!B:B,"&lt;"&amp;EDATE(DATE(C36,B36,1),1))</f>
        <v/>
      </c>
      <c r="I36" s="2">
        <f>COUNTIFS(Cotizaciones!J:J,"Aprobada",Cotizaciones!B:B,"&gt;="&amp;DATE(C36,B36,1),Cotizaciones!B:B,"&lt;"&amp;EDATE(DATE(C36,B36,1),1))</f>
        <v/>
      </c>
      <c r="J36" s="11">
        <f>IFERROR(I36/H36,0)</f>
        <v/>
      </c>
      <c r="K36" s="8">
        <f>MAX(0,SUM($F$2:F36))</f>
        <v/>
      </c>
      <c r="L36" s="11">
        <f>IFERROR(K36/Configuracion!$K$2,0)</f>
        <v/>
      </c>
      <c r="M36" s="8">
        <f>SUMIFS(Flujo_Caja!H:H,Flujo_Caja!B:B,B36,Flujo_Caja!C:C,C36)</f>
        <v/>
      </c>
      <c r="N36" s="2" t="n"/>
    </row>
    <row r="37">
      <c r="A37" s="2" t="n"/>
      <c r="B37" s="2" t="n"/>
      <c r="C37" s="2" t="n"/>
      <c r="D37" s="8">
        <f>SUMIFS(Ingresos!J:J,Ingresos!D:D,"&gt;="&amp;DATE(C37,B37,1),Ingresos!D:D,"&lt;"&amp;EDATE(DATE(C37,B37,1),1))</f>
        <v/>
      </c>
      <c r="E37" s="8">
        <f>SUMIFS(Egresos!H:H,Egresos!B:B,"&gt;="&amp;DATE(C37,B37,1),Egresos!B:B,"&lt;"&amp;EDATE(DATE(C37,B37,1),1))+SUMIFS(Gastos_Mensuales!H:H,Gastos_Mensuales!B:B,B37,Gastos_Mensuales!C:C,C37)+SUMIFS(Impuestos!I:I,Impuestos!B:B,B37,Impuestos!C:C,C37)</f>
        <v/>
      </c>
      <c r="F37" s="8">
        <f>D37-E37</f>
        <v/>
      </c>
      <c r="G37" s="11">
        <f>IFERROR(F37/D37,0)</f>
        <v/>
      </c>
      <c r="H37" s="2">
        <f>COUNTIFS(Cotizaciones!J:J,"Enviada",Cotizaciones!B:B,"&gt;="&amp;DATE(C37,B37,1),Cotizaciones!B:B,"&lt;"&amp;EDATE(DATE(C37,B37,1),1))</f>
        <v/>
      </c>
      <c r="I37" s="2">
        <f>COUNTIFS(Cotizaciones!J:J,"Aprobada",Cotizaciones!B:B,"&gt;="&amp;DATE(C37,B37,1),Cotizaciones!B:B,"&lt;"&amp;EDATE(DATE(C37,B37,1),1))</f>
        <v/>
      </c>
      <c r="J37" s="11">
        <f>IFERROR(I37/H37,0)</f>
        <v/>
      </c>
      <c r="K37" s="8">
        <f>MAX(0,SUM($F$2:F37))</f>
        <v/>
      </c>
      <c r="L37" s="11">
        <f>IFERROR(K37/Configuracion!$K$2,0)</f>
        <v/>
      </c>
      <c r="M37" s="8">
        <f>SUMIFS(Flujo_Caja!H:H,Flujo_Caja!B:B,B37,Flujo_Caja!C:C,C37)</f>
        <v/>
      </c>
      <c r="N37" s="2" t="n"/>
    </row>
    <row r="38">
      <c r="A38" s="2" t="n"/>
      <c r="B38" s="2" t="n"/>
      <c r="C38" s="2" t="n"/>
      <c r="D38" s="8">
        <f>SUMIFS(Ingresos!J:J,Ingresos!D:D,"&gt;="&amp;DATE(C38,B38,1),Ingresos!D:D,"&lt;"&amp;EDATE(DATE(C38,B38,1),1))</f>
        <v/>
      </c>
      <c r="E38" s="8">
        <f>SUMIFS(Egresos!H:H,Egresos!B:B,"&gt;="&amp;DATE(C38,B38,1),Egresos!B:B,"&lt;"&amp;EDATE(DATE(C38,B38,1),1))+SUMIFS(Gastos_Mensuales!H:H,Gastos_Mensuales!B:B,B38,Gastos_Mensuales!C:C,C38)+SUMIFS(Impuestos!I:I,Impuestos!B:B,B38,Impuestos!C:C,C38)</f>
        <v/>
      </c>
      <c r="F38" s="8">
        <f>D38-E38</f>
        <v/>
      </c>
      <c r="G38" s="11">
        <f>IFERROR(F38/D38,0)</f>
        <v/>
      </c>
      <c r="H38" s="2">
        <f>COUNTIFS(Cotizaciones!J:J,"Enviada",Cotizaciones!B:B,"&gt;="&amp;DATE(C38,B38,1),Cotizaciones!B:B,"&lt;"&amp;EDATE(DATE(C38,B38,1),1))</f>
        <v/>
      </c>
      <c r="I38" s="2">
        <f>COUNTIFS(Cotizaciones!J:J,"Aprobada",Cotizaciones!B:B,"&gt;="&amp;DATE(C38,B38,1),Cotizaciones!B:B,"&lt;"&amp;EDATE(DATE(C38,B38,1),1))</f>
        <v/>
      </c>
      <c r="J38" s="11">
        <f>IFERROR(I38/H38,0)</f>
        <v/>
      </c>
      <c r="K38" s="8">
        <f>MAX(0,SUM($F$2:F38))</f>
        <v/>
      </c>
      <c r="L38" s="11">
        <f>IFERROR(K38/Configuracion!$K$2,0)</f>
        <v/>
      </c>
      <c r="M38" s="8">
        <f>SUMIFS(Flujo_Caja!H:H,Flujo_Caja!B:B,B38,Flujo_Caja!C:C,C38)</f>
        <v/>
      </c>
      <c r="N38" s="2" t="n"/>
    </row>
    <row r="39">
      <c r="A39" s="2" t="n"/>
      <c r="B39" s="2" t="n"/>
      <c r="C39" s="2" t="n"/>
      <c r="D39" s="8">
        <f>SUMIFS(Ingresos!J:J,Ingresos!D:D,"&gt;="&amp;DATE(C39,B39,1),Ingresos!D:D,"&lt;"&amp;EDATE(DATE(C39,B39,1),1))</f>
        <v/>
      </c>
      <c r="E39" s="8">
        <f>SUMIFS(Egresos!H:H,Egresos!B:B,"&gt;="&amp;DATE(C39,B39,1),Egresos!B:B,"&lt;"&amp;EDATE(DATE(C39,B39,1),1))+SUMIFS(Gastos_Mensuales!H:H,Gastos_Mensuales!B:B,B39,Gastos_Mensuales!C:C,C39)+SUMIFS(Impuestos!I:I,Impuestos!B:B,B39,Impuestos!C:C,C39)</f>
        <v/>
      </c>
      <c r="F39" s="8">
        <f>D39-E39</f>
        <v/>
      </c>
      <c r="G39" s="11">
        <f>IFERROR(F39/D39,0)</f>
        <v/>
      </c>
      <c r="H39" s="2">
        <f>COUNTIFS(Cotizaciones!J:J,"Enviada",Cotizaciones!B:B,"&gt;="&amp;DATE(C39,B39,1),Cotizaciones!B:B,"&lt;"&amp;EDATE(DATE(C39,B39,1),1))</f>
        <v/>
      </c>
      <c r="I39" s="2">
        <f>COUNTIFS(Cotizaciones!J:J,"Aprobada",Cotizaciones!B:B,"&gt;="&amp;DATE(C39,B39,1),Cotizaciones!B:B,"&lt;"&amp;EDATE(DATE(C39,B39,1),1))</f>
        <v/>
      </c>
      <c r="J39" s="11">
        <f>IFERROR(I39/H39,0)</f>
        <v/>
      </c>
      <c r="K39" s="8">
        <f>MAX(0,SUM($F$2:F39))</f>
        <v/>
      </c>
      <c r="L39" s="11">
        <f>IFERROR(K39/Configuracion!$K$2,0)</f>
        <v/>
      </c>
      <c r="M39" s="8">
        <f>SUMIFS(Flujo_Caja!H:H,Flujo_Caja!B:B,B39,Flujo_Caja!C:C,C39)</f>
        <v/>
      </c>
      <c r="N39" s="2" t="n"/>
    </row>
    <row r="40">
      <c r="A40" s="2" t="n"/>
      <c r="B40" s="2" t="n"/>
      <c r="C40" s="2" t="n"/>
      <c r="D40" s="8">
        <f>SUMIFS(Ingresos!J:J,Ingresos!D:D,"&gt;="&amp;DATE(C40,B40,1),Ingresos!D:D,"&lt;"&amp;EDATE(DATE(C40,B40,1),1))</f>
        <v/>
      </c>
      <c r="E40" s="8">
        <f>SUMIFS(Egresos!H:H,Egresos!B:B,"&gt;="&amp;DATE(C40,B40,1),Egresos!B:B,"&lt;"&amp;EDATE(DATE(C40,B40,1),1))+SUMIFS(Gastos_Mensuales!H:H,Gastos_Mensuales!B:B,B40,Gastos_Mensuales!C:C,C40)+SUMIFS(Impuestos!I:I,Impuestos!B:B,B40,Impuestos!C:C,C40)</f>
        <v/>
      </c>
      <c r="F40" s="8">
        <f>D40-E40</f>
        <v/>
      </c>
      <c r="G40" s="11">
        <f>IFERROR(F40/D40,0)</f>
        <v/>
      </c>
      <c r="H40" s="2">
        <f>COUNTIFS(Cotizaciones!J:J,"Enviada",Cotizaciones!B:B,"&gt;="&amp;DATE(C40,B40,1),Cotizaciones!B:B,"&lt;"&amp;EDATE(DATE(C40,B40,1),1))</f>
        <v/>
      </c>
      <c r="I40" s="2">
        <f>COUNTIFS(Cotizaciones!J:J,"Aprobada",Cotizaciones!B:B,"&gt;="&amp;DATE(C40,B40,1),Cotizaciones!B:B,"&lt;"&amp;EDATE(DATE(C40,B40,1),1))</f>
        <v/>
      </c>
      <c r="J40" s="11">
        <f>IFERROR(I40/H40,0)</f>
        <v/>
      </c>
      <c r="K40" s="8">
        <f>MAX(0,SUM($F$2:F40))</f>
        <v/>
      </c>
      <c r="L40" s="11">
        <f>IFERROR(K40/Configuracion!$K$2,0)</f>
        <v/>
      </c>
      <c r="M40" s="8">
        <f>SUMIFS(Flujo_Caja!H:H,Flujo_Caja!B:B,B40,Flujo_Caja!C:C,C40)</f>
        <v/>
      </c>
      <c r="N40" s="2" t="n"/>
    </row>
    <row r="41">
      <c r="A41" s="2" t="n"/>
      <c r="B41" s="2" t="n"/>
      <c r="C41" s="2" t="n"/>
      <c r="D41" s="8">
        <f>SUMIFS(Ingresos!J:J,Ingresos!D:D,"&gt;="&amp;DATE(C41,B41,1),Ingresos!D:D,"&lt;"&amp;EDATE(DATE(C41,B41,1),1))</f>
        <v/>
      </c>
      <c r="E41" s="8">
        <f>SUMIFS(Egresos!H:H,Egresos!B:B,"&gt;="&amp;DATE(C41,B41,1),Egresos!B:B,"&lt;"&amp;EDATE(DATE(C41,B41,1),1))+SUMIFS(Gastos_Mensuales!H:H,Gastos_Mensuales!B:B,B41,Gastos_Mensuales!C:C,C41)+SUMIFS(Impuestos!I:I,Impuestos!B:B,B41,Impuestos!C:C,C41)</f>
        <v/>
      </c>
      <c r="F41" s="8">
        <f>D41-E41</f>
        <v/>
      </c>
      <c r="G41" s="11">
        <f>IFERROR(F41/D41,0)</f>
        <v/>
      </c>
      <c r="H41" s="2">
        <f>COUNTIFS(Cotizaciones!J:J,"Enviada",Cotizaciones!B:B,"&gt;="&amp;DATE(C41,B41,1),Cotizaciones!B:B,"&lt;"&amp;EDATE(DATE(C41,B41,1),1))</f>
        <v/>
      </c>
      <c r="I41" s="2">
        <f>COUNTIFS(Cotizaciones!J:J,"Aprobada",Cotizaciones!B:B,"&gt;="&amp;DATE(C41,B41,1),Cotizaciones!B:B,"&lt;"&amp;EDATE(DATE(C41,B41,1),1))</f>
        <v/>
      </c>
      <c r="J41" s="11">
        <f>IFERROR(I41/H41,0)</f>
        <v/>
      </c>
      <c r="K41" s="8">
        <f>MAX(0,SUM($F$2:F41))</f>
        <v/>
      </c>
      <c r="L41" s="11">
        <f>IFERROR(K41/Configuracion!$K$2,0)</f>
        <v/>
      </c>
      <c r="M41" s="8">
        <f>SUMIFS(Flujo_Caja!H:H,Flujo_Caja!B:B,B41,Flujo_Caja!C:C,C41)</f>
        <v/>
      </c>
      <c r="N41" s="2" t="n"/>
    </row>
    <row r="42">
      <c r="A42" s="2" t="n"/>
      <c r="B42" s="2" t="n"/>
      <c r="C42" s="2" t="n"/>
      <c r="D42" s="8">
        <f>SUMIFS(Ingresos!J:J,Ingresos!D:D,"&gt;="&amp;DATE(C42,B42,1),Ingresos!D:D,"&lt;"&amp;EDATE(DATE(C42,B42,1),1))</f>
        <v/>
      </c>
      <c r="E42" s="8">
        <f>SUMIFS(Egresos!H:H,Egresos!B:B,"&gt;="&amp;DATE(C42,B42,1),Egresos!B:B,"&lt;"&amp;EDATE(DATE(C42,B42,1),1))+SUMIFS(Gastos_Mensuales!H:H,Gastos_Mensuales!B:B,B42,Gastos_Mensuales!C:C,C42)+SUMIFS(Impuestos!I:I,Impuestos!B:B,B42,Impuestos!C:C,C42)</f>
        <v/>
      </c>
      <c r="F42" s="8">
        <f>D42-E42</f>
        <v/>
      </c>
      <c r="G42" s="11">
        <f>IFERROR(F42/D42,0)</f>
        <v/>
      </c>
      <c r="H42" s="2">
        <f>COUNTIFS(Cotizaciones!J:J,"Enviada",Cotizaciones!B:B,"&gt;="&amp;DATE(C42,B42,1),Cotizaciones!B:B,"&lt;"&amp;EDATE(DATE(C42,B42,1),1))</f>
        <v/>
      </c>
      <c r="I42" s="2">
        <f>COUNTIFS(Cotizaciones!J:J,"Aprobada",Cotizaciones!B:B,"&gt;="&amp;DATE(C42,B42,1),Cotizaciones!B:B,"&lt;"&amp;EDATE(DATE(C42,B42,1),1))</f>
        <v/>
      </c>
      <c r="J42" s="11">
        <f>IFERROR(I42/H42,0)</f>
        <v/>
      </c>
      <c r="K42" s="8">
        <f>MAX(0,SUM($F$2:F42))</f>
        <v/>
      </c>
      <c r="L42" s="11">
        <f>IFERROR(K42/Configuracion!$K$2,0)</f>
        <v/>
      </c>
      <c r="M42" s="8">
        <f>SUMIFS(Flujo_Caja!H:H,Flujo_Caja!B:B,B42,Flujo_Caja!C:C,C42)</f>
        <v/>
      </c>
      <c r="N42" s="2" t="n"/>
    </row>
    <row r="43">
      <c r="A43" s="2" t="n"/>
      <c r="B43" s="2" t="n"/>
      <c r="C43" s="2" t="n"/>
      <c r="D43" s="8">
        <f>SUMIFS(Ingresos!J:J,Ingresos!D:D,"&gt;="&amp;DATE(C43,B43,1),Ingresos!D:D,"&lt;"&amp;EDATE(DATE(C43,B43,1),1))</f>
        <v/>
      </c>
      <c r="E43" s="8">
        <f>SUMIFS(Egresos!H:H,Egresos!B:B,"&gt;="&amp;DATE(C43,B43,1),Egresos!B:B,"&lt;"&amp;EDATE(DATE(C43,B43,1),1))+SUMIFS(Gastos_Mensuales!H:H,Gastos_Mensuales!B:B,B43,Gastos_Mensuales!C:C,C43)+SUMIFS(Impuestos!I:I,Impuestos!B:B,B43,Impuestos!C:C,C43)</f>
        <v/>
      </c>
      <c r="F43" s="8">
        <f>D43-E43</f>
        <v/>
      </c>
      <c r="G43" s="11">
        <f>IFERROR(F43/D43,0)</f>
        <v/>
      </c>
      <c r="H43" s="2">
        <f>COUNTIFS(Cotizaciones!J:J,"Enviada",Cotizaciones!B:B,"&gt;="&amp;DATE(C43,B43,1),Cotizaciones!B:B,"&lt;"&amp;EDATE(DATE(C43,B43,1),1))</f>
        <v/>
      </c>
      <c r="I43" s="2">
        <f>COUNTIFS(Cotizaciones!J:J,"Aprobada",Cotizaciones!B:B,"&gt;="&amp;DATE(C43,B43,1),Cotizaciones!B:B,"&lt;"&amp;EDATE(DATE(C43,B43,1),1))</f>
        <v/>
      </c>
      <c r="J43" s="11">
        <f>IFERROR(I43/H43,0)</f>
        <v/>
      </c>
      <c r="K43" s="8">
        <f>MAX(0,SUM($F$2:F43))</f>
        <v/>
      </c>
      <c r="L43" s="11">
        <f>IFERROR(K43/Configuracion!$K$2,0)</f>
        <v/>
      </c>
      <c r="M43" s="8">
        <f>SUMIFS(Flujo_Caja!H:H,Flujo_Caja!B:B,B43,Flujo_Caja!C:C,C43)</f>
        <v/>
      </c>
      <c r="N43" s="2" t="n"/>
    </row>
    <row r="44">
      <c r="A44" s="2" t="n"/>
      <c r="B44" s="2" t="n"/>
      <c r="C44" s="2" t="n"/>
      <c r="D44" s="8">
        <f>SUMIFS(Ingresos!J:J,Ingresos!D:D,"&gt;="&amp;DATE(C44,B44,1),Ingresos!D:D,"&lt;"&amp;EDATE(DATE(C44,B44,1),1))</f>
        <v/>
      </c>
      <c r="E44" s="8">
        <f>SUMIFS(Egresos!H:H,Egresos!B:B,"&gt;="&amp;DATE(C44,B44,1),Egresos!B:B,"&lt;"&amp;EDATE(DATE(C44,B44,1),1))+SUMIFS(Gastos_Mensuales!H:H,Gastos_Mensuales!B:B,B44,Gastos_Mensuales!C:C,C44)+SUMIFS(Impuestos!I:I,Impuestos!B:B,B44,Impuestos!C:C,C44)</f>
        <v/>
      </c>
      <c r="F44" s="8">
        <f>D44-E44</f>
        <v/>
      </c>
      <c r="G44" s="11">
        <f>IFERROR(F44/D44,0)</f>
        <v/>
      </c>
      <c r="H44" s="2">
        <f>COUNTIFS(Cotizaciones!J:J,"Enviada",Cotizaciones!B:B,"&gt;="&amp;DATE(C44,B44,1),Cotizaciones!B:B,"&lt;"&amp;EDATE(DATE(C44,B44,1),1))</f>
        <v/>
      </c>
      <c r="I44" s="2">
        <f>COUNTIFS(Cotizaciones!J:J,"Aprobada",Cotizaciones!B:B,"&gt;="&amp;DATE(C44,B44,1),Cotizaciones!B:B,"&lt;"&amp;EDATE(DATE(C44,B44,1),1))</f>
        <v/>
      </c>
      <c r="J44" s="11">
        <f>IFERROR(I44/H44,0)</f>
        <v/>
      </c>
      <c r="K44" s="8">
        <f>MAX(0,SUM($F$2:F44))</f>
        <v/>
      </c>
      <c r="L44" s="11">
        <f>IFERROR(K44/Configuracion!$K$2,0)</f>
        <v/>
      </c>
      <c r="M44" s="8">
        <f>SUMIFS(Flujo_Caja!H:H,Flujo_Caja!B:B,B44,Flujo_Caja!C:C,C44)</f>
        <v/>
      </c>
      <c r="N44" s="2" t="n"/>
    </row>
    <row r="45">
      <c r="A45" s="2" t="n"/>
      <c r="B45" s="2" t="n"/>
      <c r="C45" s="2" t="n"/>
      <c r="D45" s="8">
        <f>SUMIFS(Ingresos!J:J,Ingresos!D:D,"&gt;="&amp;DATE(C45,B45,1),Ingresos!D:D,"&lt;"&amp;EDATE(DATE(C45,B45,1),1))</f>
        <v/>
      </c>
      <c r="E45" s="8">
        <f>SUMIFS(Egresos!H:H,Egresos!B:B,"&gt;="&amp;DATE(C45,B45,1),Egresos!B:B,"&lt;"&amp;EDATE(DATE(C45,B45,1),1))+SUMIFS(Gastos_Mensuales!H:H,Gastos_Mensuales!B:B,B45,Gastos_Mensuales!C:C,C45)+SUMIFS(Impuestos!I:I,Impuestos!B:B,B45,Impuestos!C:C,C45)</f>
        <v/>
      </c>
      <c r="F45" s="8">
        <f>D45-E45</f>
        <v/>
      </c>
      <c r="G45" s="11">
        <f>IFERROR(F45/D45,0)</f>
        <v/>
      </c>
      <c r="H45" s="2">
        <f>COUNTIFS(Cotizaciones!J:J,"Enviada",Cotizaciones!B:B,"&gt;="&amp;DATE(C45,B45,1),Cotizaciones!B:B,"&lt;"&amp;EDATE(DATE(C45,B45,1),1))</f>
        <v/>
      </c>
      <c r="I45" s="2">
        <f>COUNTIFS(Cotizaciones!J:J,"Aprobada",Cotizaciones!B:B,"&gt;="&amp;DATE(C45,B45,1),Cotizaciones!B:B,"&lt;"&amp;EDATE(DATE(C45,B45,1),1))</f>
        <v/>
      </c>
      <c r="J45" s="11">
        <f>IFERROR(I45/H45,0)</f>
        <v/>
      </c>
      <c r="K45" s="8">
        <f>MAX(0,SUM($F$2:F45))</f>
        <v/>
      </c>
      <c r="L45" s="11">
        <f>IFERROR(K45/Configuracion!$K$2,0)</f>
        <v/>
      </c>
      <c r="M45" s="8">
        <f>SUMIFS(Flujo_Caja!H:H,Flujo_Caja!B:B,B45,Flujo_Caja!C:C,C45)</f>
        <v/>
      </c>
      <c r="N45" s="2" t="n"/>
    </row>
    <row r="46">
      <c r="A46" s="2" t="n"/>
      <c r="B46" s="2" t="n"/>
      <c r="C46" s="2" t="n"/>
      <c r="D46" s="8">
        <f>SUMIFS(Ingresos!J:J,Ingresos!D:D,"&gt;="&amp;DATE(C46,B46,1),Ingresos!D:D,"&lt;"&amp;EDATE(DATE(C46,B46,1),1))</f>
        <v/>
      </c>
      <c r="E46" s="8">
        <f>SUMIFS(Egresos!H:H,Egresos!B:B,"&gt;="&amp;DATE(C46,B46,1),Egresos!B:B,"&lt;"&amp;EDATE(DATE(C46,B46,1),1))+SUMIFS(Gastos_Mensuales!H:H,Gastos_Mensuales!B:B,B46,Gastos_Mensuales!C:C,C46)+SUMIFS(Impuestos!I:I,Impuestos!B:B,B46,Impuestos!C:C,C46)</f>
        <v/>
      </c>
      <c r="F46" s="8">
        <f>D46-E46</f>
        <v/>
      </c>
      <c r="G46" s="11">
        <f>IFERROR(F46/D46,0)</f>
        <v/>
      </c>
      <c r="H46" s="2">
        <f>COUNTIFS(Cotizaciones!J:J,"Enviada",Cotizaciones!B:B,"&gt;="&amp;DATE(C46,B46,1),Cotizaciones!B:B,"&lt;"&amp;EDATE(DATE(C46,B46,1),1))</f>
        <v/>
      </c>
      <c r="I46" s="2">
        <f>COUNTIFS(Cotizaciones!J:J,"Aprobada",Cotizaciones!B:B,"&gt;="&amp;DATE(C46,B46,1),Cotizaciones!B:B,"&lt;"&amp;EDATE(DATE(C46,B46,1),1))</f>
        <v/>
      </c>
      <c r="J46" s="11">
        <f>IFERROR(I46/H46,0)</f>
        <v/>
      </c>
      <c r="K46" s="8">
        <f>MAX(0,SUM($F$2:F46))</f>
        <v/>
      </c>
      <c r="L46" s="11">
        <f>IFERROR(K46/Configuracion!$K$2,0)</f>
        <v/>
      </c>
      <c r="M46" s="8">
        <f>SUMIFS(Flujo_Caja!H:H,Flujo_Caja!B:B,B46,Flujo_Caja!C:C,C46)</f>
        <v/>
      </c>
      <c r="N46" s="2" t="n"/>
    </row>
    <row r="47">
      <c r="A47" s="2" t="n"/>
      <c r="B47" s="2" t="n"/>
      <c r="C47" s="2" t="n"/>
      <c r="D47" s="8">
        <f>SUMIFS(Ingresos!J:J,Ingresos!D:D,"&gt;="&amp;DATE(C47,B47,1),Ingresos!D:D,"&lt;"&amp;EDATE(DATE(C47,B47,1),1))</f>
        <v/>
      </c>
      <c r="E47" s="8">
        <f>SUMIFS(Egresos!H:H,Egresos!B:B,"&gt;="&amp;DATE(C47,B47,1),Egresos!B:B,"&lt;"&amp;EDATE(DATE(C47,B47,1),1))+SUMIFS(Gastos_Mensuales!H:H,Gastos_Mensuales!B:B,B47,Gastos_Mensuales!C:C,C47)+SUMIFS(Impuestos!I:I,Impuestos!B:B,B47,Impuestos!C:C,C47)</f>
        <v/>
      </c>
      <c r="F47" s="8">
        <f>D47-E47</f>
        <v/>
      </c>
      <c r="G47" s="11">
        <f>IFERROR(F47/D47,0)</f>
        <v/>
      </c>
      <c r="H47" s="2">
        <f>COUNTIFS(Cotizaciones!J:J,"Enviada",Cotizaciones!B:B,"&gt;="&amp;DATE(C47,B47,1),Cotizaciones!B:B,"&lt;"&amp;EDATE(DATE(C47,B47,1),1))</f>
        <v/>
      </c>
      <c r="I47" s="2">
        <f>COUNTIFS(Cotizaciones!J:J,"Aprobada",Cotizaciones!B:B,"&gt;="&amp;DATE(C47,B47,1),Cotizaciones!B:B,"&lt;"&amp;EDATE(DATE(C47,B47,1),1))</f>
        <v/>
      </c>
      <c r="J47" s="11">
        <f>IFERROR(I47/H47,0)</f>
        <v/>
      </c>
      <c r="K47" s="8">
        <f>MAX(0,SUM($F$2:F47))</f>
        <v/>
      </c>
      <c r="L47" s="11">
        <f>IFERROR(K47/Configuracion!$K$2,0)</f>
        <v/>
      </c>
      <c r="M47" s="8">
        <f>SUMIFS(Flujo_Caja!H:H,Flujo_Caja!B:B,B47,Flujo_Caja!C:C,C47)</f>
        <v/>
      </c>
      <c r="N47" s="2" t="n"/>
    </row>
    <row r="48">
      <c r="A48" s="2" t="n"/>
      <c r="B48" s="2" t="n"/>
      <c r="C48" s="2" t="n"/>
      <c r="D48" s="8">
        <f>SUMIFS(Ingresos!J:J,Ingresos!D:D,"&gt;="&amp;DATE(C48,B48,1),Ingresos!D:D,"&lt;"&amp;EDATE(DATE(C48,B48,1),1))</f>
        <v/>
      </c>
      <c r="E48" s="8">
        <f>SUMIFS(Egresos!H:H,Egresos!B:B,"&gt;="&amp;DATE(C48,B48,1),Egresos!B:B,"&lt;"&amp;EDATE(DATE(C48,B48,1),1))+SUMIFS(Gastos_Mensuales!H:H,Gastos_Mensuales!B:B,B48,Gastos_Mensuales!C:C,C48)+SUMIFS(Impuestos!I:I,Impuestos!B:B,B48,Impuestos!C:C,C48)</f>
        <v/>
      </c>
      <c r="F48" s="8">
        <f>D48-E48</f>
        <v/>
      </c>
      <c r="G48" s="11">
        <f>IFERROR(F48/D48,0)</f>
        <v/>
      </c>
      <c r="H48" s="2">
        <f>COUNTIFS(Cotizaciones!J:J,"Enviada",Cotizaciones!B:B,"&gt;="&amp;DATE(C48,B48,1),Cotizaciones!B:B,"&lt;"&amp;EDATE(DATE(C48,B48,1),1))</f>
        <v/>
      </c>
      <c r="I48" s="2">
        <f>COUNTIFS(Cotizaciones!J:J,"Aprobada",Cotizaciones!B:B,"&gt;="&amp;DATE(C48,B48,1),Cotizaciones!B:B,"&lt;"&amp;EDATE(DATE(C48,B48,1),1))</f>
        <v/>
      </c>
      <c r="J48" s="11">
        <f>IFERROR(I48/H48,0)</f>
        <v/>
      </c>
      <c r="K48" s="8">
        <f>MAX(0,SUM($F$2:F48))</f>
        <v/>
      </c>
      <c r="L48" s="11">
        <f>IFERROR(K48/Configuracion!$K$2,0)</f>
        <v/>
      </c>
      <c r="M48" s="8">
        <f>SUMIFS(Flujo_Caja!H:H,Flujo_Caja!B:B,B48,Flujo_Caja!C:C,C48)</f>
        <v/>
      </c>
      <c r="N48" s="2" t="n"/>
    </row>
    <row r="49">
      <c r="A49" s="2" t="n"/>
      <c r="B49" s="2" t="n"/>
      <c r="C49" s="2" t="n"/>
      <c r="D49" s="8">
        <f>SUMIFS(Ingresos!J:J,Ingresos!D:D,"&gt;="&amp;DATE(C49,B49,1),Ingresos!D:D,"&lt;"&amp;EDATE(DATE(C49,B49,1),1))</f>
        <v/>
      </c>
      <c r="E49" s="8">
        <f>SUMIFS(Egresos!H:H,Egresos!B:B,"&gt;="&amp;DATE(C49,B49,1),Egresos!B:B,"&lt;"&amp;EDATE(DATE(C49,B49,1),1))+SUMIFS(Gastos_Mensuales!H:H,Gastos_Mensuales!B:B,B49,Gastos_Mensuales!C:C,C49)+SUMIFS(Impuestos!I:I,Impuestos!B:B,B49,Impuestos!C:C,C49)</f>
        <v/>
      </c>
      <c r="F49" s="8">
        <f>D49-E49</f>
        <v/>
      </c>
      <c r="G49" s="11">
        <f>IFERROR(F49/D49,0)</f>
        <v/>
      </c>
      <c r="H49" s="2">
        <f>COUNTIFS(Cotizaciones!J:J,"Enviada",Cotizaciones!B:B,"&gt;="&amp;DATE(C49,B49,1),Cotizaciones!B:B,"&lt;"&amp;EDATE(DATE(C49,B49,1),1))</f>
        <v/>
      </c>
      <c r="I49" s="2">
        <f>COUNTIFS(Cotizaciones!J:J,"Aprobada",Cotizaciones!B:B,"&gt;="&amp;DATE(C49,B49,1),Cotizaciones!B:B,"&lt;"&amp;EDATE(DATE(C49,B49,1),1))</f>
        <v/>
      </c>
      <c r="J49" s="11">
        <f>IFERROR(I49/H49,0)</f>
        <v/>
      </c>
      <c r="K49" s="8">
        <f>MAX(0,SUM($F$2:F49))</f>
        <v/>
      </c>
      <c r="L49" s="11">
        <f>IFERROR(K49/Configuracion!$K$2,0)</f>
        <v/>
      </c>
      <c r="M49" s="8">
        <f>SUMIFS(Flujo_Caja!H:H,Flujo_Caja!B:B,B49,Flujo_Caja!C:C,C49)</f>
        <v/>
      </c>
      <c r="N49" s="2" t="n"/>
    </row>
    <row r="50">
      <c r="A50" s="2" t="n"/>
      <c r="B50" s="2" t="n"/>
      <c r="C50" s="2" t="n"/>
      <c r="D50" s="8">
        <f>SUMIFS(Ingresos!J:J,Ingresos!D:D,"&gt;="&amp;DATE(C50,B50,1),Ingresos!D:D,"&lt;"&amp;EDATE(DATE(C50,B50,1),1))</f>
        <v/>
      </c>
      <c r="E50" s="8">
        <f>SUMIFS(Egresos!H:H,Egresos!B:B,"&gt;="&amp;DATE(C50,B50,1),Egresos!B:B,"&lt;"&amp;EDATE(DATE(C50,B50,1),1))+SUMIFS(Gastos_Mensuales!H:H,Gastos_Mensuales!B:B,B50,Gastos_Mensuales!C:C,C50)+SUMIFS(Impuestos!I:I,Impuestos!B:B,B50,Impuestos!C:C,C50)</f>
        <v/>
      </c>
      <c r="F50" s="8">
        <f>D50-E50</f>
        <v/>
      </c>
      <c r="G50" s="11">
        <f>IFERROR(F50/D50,0)</f>
        <v/>
      </c>
      <c r="H50" s="2">
        <f>COUNTIFS(Cotizaciones!J:J,"Enviada",Cotizaciones!B:B,"&gt;="&amp;DATE(C50,B50,1),Cotizaciones!B:B,"&lt;"&amp;EDATE(DATE(C50,B50,1),1))</f>
        <v/>
      </c>
      <c r="I50" s="2">
        <f>COUNTIFS(Cotizaciones!J:J,"Aprobada",Cotizaciones!B:B,"&gt;="&amp;DATE(C50,B50,1),Cotizaciones!B:B,"&lt;"&amp;EDATE(DATE(C50,B50,1),1))</f>
        <v/>
      </c>
      <c r="J50" s="11">
        <f>IFERROR(I50/H50,0)</f>
        <v/>
      </c>
      <c r="K50" s="8">
        <f>MAX(0,SUM($F$2:F50))</f>
        <v/>
      </c>
      <c r="L50" s="11">
        <f>IFERROR(K50/Configuracion!$K$2,0)</f>
        <v/>
      </c>
      <c r="M50" s="8">
        <f>SUMIFS(Flujo_Caja!H:H,Flujo_Caja!B:B,B50,Flujo_Caja!C:C,C50)</f>
        <v/>
      </c>
      <c r="N50" s="2" t="n"/>
    </row>
    <row r="51">
      <c r="A51" s="2" t="n"/>
      <c r="B51" s="2" t="n"/>
      <c r="C51" s="2" t="n"/>
      <c r="D51" s="8">
        <f>SUMIFS(Ingresos!J:J,Ingresos!D:D,"&gt;="&amp;DATE(C51,B51,1),Ingresos!D:D,"&lt;"&amp;EDATE(DATE(C51,B51,1),1))</f>
        <v/>
      </c>
      <c r="E51" s="8">
        <f>SUMIFS(Egresos!H:H,Egresos!B:B,"&gt;="&amp;DATE(C51,B51,1),Egresos!B:B,"&lt;"&amp;EDATE(DATE(C51,B51,1),1))+SUMIFS(Gastos_Mensuales!H:H,Gastos_Mensuales!B:B,B51,Gastos_Mensuales!C:C,C51)+SUMIFS(Impuestos!I:I,Impuestos!B:B,B51,Impuestos!C:C,C51)</f>
        <v/>
      </c>
      <c r="F51" s="8">
        <f>D51-E51</f>
        <v/>
      </c>
      <c r="G51" s="11">
        <f>IFERROR(F51/D51,0)</f>
        <v/>
      </c>
      <c r="H51" s="2">
        <f>COUNTIFS(Cotizaciones!J:J,"Enviada",Cotizaciones!B:B,"&gt;="&amp;DATE(C51,B51,1),Cotizaciones!B:B,"&lt;"&amp;EDATE(DATE(C51,B51,1),1))</f>
        <v/>
      </c>
      <c r="I51" s="2">
        <f>COUNTIFS(Cotizaciones!J:J,"Aprobada",Cotizaciones!B:B,"&gt;="&amp;DATE(C51,B51,1),Cotizaciones!B:B,"&lt;"&amp;EDATE(DATE(C51,B51,1),1))</f>
        <v/>
      </c>
      <c r="J51" s="11">
        <f>IFERROR(I51/H51,0)</f>
        <v/>
      </c>
      <c r="K51" s="8">
        <f>MAX(0,SUM($F$2:F51))</f>
        <v/>
      </c>
      <c r="L51" s="11">
        <f>IFERROR(K51/Configuracion!$K$2,0)</f>
        <v/>
      </c>
      <c r="M51" s="8">
        <f>SUMIFS(Flujo_Caja!H:H,Flujo_Caja!B:B,B51,Flujo_Caja!C:C,C51)</f>
        <v/>
      </c>
      <c r="N51" s="2" t="n"/>
    </row>
    <row r="52">
      <c r="A52" s="2" t="n"/>
      <c r="B52" s="2" t="n"/>
      <c r="C52" s="2" t="n"/>
      <c r="D52" s="8">
        <f>SUMIFS(Ingresos!J:J,Ingresos!D:D,"&gt;="&amp;DATE(C52,B52,1),Ingresos!D:D,"&lt;"&amp;EDATE(DATE(C52,B52,1),1))</f>
        <v/>
      </c>
      <c r="E52" s="8">
        <f>SUMIFS(Egresos!H:H,Egresos!B:B,"&gt;="&amp;DATE(C52,B52,1),Egresos!B:B,"&lt;"&amp;EDATE(DATE(C52,B52,1),1))+SUMIFS(Gastos_Mensuales!H:H,Gastos_Mensuales!B:B,B52,Gastos_Mensuales!C:C,C52)+SUMIFS(Impuestos!I:I,Impuestos!B:B,B52,Impuestos!C:C,C52)</f>
        <v/>
      </c>
      <c r="F52" s="8">
        <f>D52-E52</f>
        <v/>
      </c>
      <c r="G52" s="11">
        <f>IFERROR(F52/D52,0)</f>
        <v/>
      </c>
      <c r="H52" s="2">
        <f>COUNTIFS(Cotizaciones!J:J,"Enviada",Cotizaciones!B:B,"&gt;="&amp;DATE(C52,B52,1),Cotizaciones!B:B,"&lt;"&amp;EDATE(DATE(C52,B52,1),1))</f>
        <v/>
      </c>
      <c r="I52" s="2">
        <f>COUNTIFS(Cotizaciones!J:J,"Aprobada",Cotizaciones!B:B,"&gt;="&amp;DATE(C52,B52,1),Cotizaciones!B:B,"&lt;"&amp;EDATE(DATE(C52,B52,1),1))</f>
        <v/>
      </c>
      <c r="J52" s="11">
        <f>IFERROR(I52/H52,0)</f>
        <v/>
      </c>
      <c r="K52" s="8">
        <f>MAX(0,SUM($F$2:F52))</f>
        <v/>
      </c>
      <c r="L52" s="11">
        <f>IFERROR(K52/Configuracion!$K$2,0)</f>
        <v/>
      </c>
      <c r="M52" s="8">
        <f>SUMIFS(Flujo_Caja!H:H,Flujo_Caja!B:B,B52,Flujo_Caja!C:C,C52)</f>
        <v/>
      </c>
      <c r="N52" s="2" t="n"/>
    </row>
    <row r="53">
      <c r="A53" s="2" t="n"/>
      <c r="B53" s="2" t="n"/>
      <c r="C53" s="2" t="n"/>
      <c r="D53" s="8">
        <f>SUMIFS(Ingresos!J:J,Ingresos!D:D,"&gt;="&amp;DATE(C53,B53,1),Ingresos!D:D,"&lt;"&amp;EDATE(DATE(C53,B53,1),1))</f>
        <v/>
      </c>
      <c r="E53" s="8">
        <f>SUMIFS(Egresos!H:H,Egresos!B:B,"&gt;="&amp;DATE(C53,B53,1),Egresos!B:B,"&lt;"&amp;EDATE(DATE(C53,B53,1),1))+SUMIFS(Gastos_Mensuales!H:H,Gastos_Mensuales!B:B,B53,Gastos_Mensuales!C:C,C53)+SUMIFS(Impuestos!I:I,Impuestos!B:B,B53,Impuestos!C:C,C53)</f>
        <v/>
      </c>
      <c r="F53" s="8">
        <f>D53-E53</f>
        <v/>
      </c>
      <c r="G53" s="11">
        <f>IFERROR(F53/D53,0)</f>
        <v/>
      </c>
      <c r="H53" s="2">
        <f>COUNTIFS(Cotizaciones!J:J,"Enviada",Cotizaciones!B:B,"&gt;="&amp;DATE(C53,B53,1),Cotizaciones!B:B,"&lt;"&amp;EDATE(DATE(C53,B53,1),1))</f>
        <v/>
      </c>
      <c r="I53" s="2">
        <f>COUNTIFS(Cotizaciones!J:J,"Aprobada",Cotizaciones!B:B,"&gt;="&amp;DATE(C53,B53,1),Cotizaciones!B:B,"&lt;"&amp;EDATE(DATE(C53,B53,1),1))</f>
        <v/>
      </c>
      <c r="J53" s="11">
        <f>IFERROR(I53/H53,0)</f>
        <v/>
      </c>
      <c r="K53" s="8">
        <f>MAX(0,SUM($F$2:F53))</f>
        <v/>
      </c>
      <c r="L53" s="11">
        <f>IFERROR(K53/Configuracion!$K$2,0)</f>
        <v/>
      </c>
      <c r="M53" s="8">
        <f>SUMIFS(Flujo_Caja!H:H,Flujo_Caja!B:B,B53,Flujo_Caja!C:C,C53)</f>
        <v/>
      </c>
      <c r="N53" s="2" t="n"/>
    </row>
    <row r="54">
      <c r="A54" s="2" t="n"/>
      <c r="B54" s="2" t="n"/>
      <c r="C54" s="2" t="n"/>
      <c r="D54" s="8">
        <f>SUMIFS(Ingresos!J:J,Ingresos!D:D,"&gt;="&amp;DATE(C54,B54,1),Ingresos!D:D,"&lt;"&amp;EDATE(DATE(C54,B54,1),1))</f>
        <v/>
      </c>
      <c r="E54" s="8">
        <f>SUMIFS(Egresos!H:H,Egresos!B:B,"&gt;="&amp;DATE(C54,B54,1),Egresos!B:B,"&lt;"&amp;EDATE(DATE(C54,B54,1),1))+SUMIFS(Gastos_Mensuales!H:H,Gastos_Mensuales!B:B,B54,Gastos_Mensuales!C:C,C54)+SUMIFS(Impuestos!I:I,Impuestos!B:B,B54,Impuestos!C:C,C54)</f>
        <v/>
      </c>
      <c r="F54" s="8">
        <f>D54-E54</f>
        <v/>
      </c>
      <c r="G54" s="11">
        <f>IFERROR(F54/D54,0)</f>
        <v/>
      </c>
      <c r="H54" s="2">
        <f>COUNTIFS(Cotizaciones!J:J,"Enviada",Cotizaciones!B:B,"&gt;="&amp;DATE(C54,B54,1),Cotizaciones!B:B,"&lt;"&amp;EDATE(DATE(C54,B54,1),1))</f>
        <v/>
      </c>
      <c r="I54" s="2">
        <f>COUNTIFS(Cotizaciones!J:J,"Aprobada",Cotizaciones!B:B,"&gt;="&amp;DATE(C54,B54,1),Cotizaciones!B:B,"&lt;"&amp;EDATE(DATE(C54,B54,1),1))</f>
        <v/>
      </c>
      <c r="J54" s="11">
        <f>IFERROR(I54/H54,0)</f>
        <v/>
      </c>
      <c r="K54" s="8">
        <f>MAX(0,SUM($F$2:F54))</f>
        <v/>
      </c>
      <c r="L54" s="11">
        <f>IFERROR(K54/Configuracion!$K$2,0)</f>
        <v/>
      </c>
      <c r="M54" s="8">
        <f>SUMIFS(Flujo_Caja!H:H,Flujo_Caja!B:B,B54,Flujo_Caja!C:C,C54)</f>
        <v/>
      </c>
      <c r="N54" s="2" t="n"/>
    </row>
    <row r="55">
      <c r="A55" s="2" t="n"/>
      <c r="B55" s="2" t="n"/>
      <c r="C55" s="2" t="n"/>
      <c r="D55" s="8">
        <f>SUMIFS(Ingresos!J:J,Ingresos!D:D,"&gt;="&amp;DATE(C55,B55,1),Ingresos!D:D,"&lt;"&amp;EDATE(DATE(C55,B55,1),1))</f>
        <v/>
      </c>
      <c r="E55" s="8">
        <f>SUMIFS(Egresos!H:H,Egresos!B:B,"&gt;="&amp;DATE(C55,B55,1),Egresos!B:B,"&lt;"&amp;EDATE(DATE(C55,B55,1),1))+SUMIFS(Gastos_Mensuales!H:H,Gastos_Mensuales!B:B,B55,Gastos_Mensuales!C:C,C55)+SUMIFS(Impuestos!I:I,Impuestos!B:B,B55,Impuestos!C:C,C55)</f>
        <v/>
      </c>
      <c r="F55" s="8">
        <f>D55-E55</f>
        <v/>
      </c>
      <c r="G55" s="11">
        <f>IFERROR(F55/D55,0)</f>
        <v/>
      </c>
      <c r="H55" s="2">
        <f>COUNTIFS(Cotizaciones!J:J,"Enviada",Cotizaciones!B:B,"&gt;="&amp;DATE(C55,B55,1),Cotizaciones!B:B,"&lt;"&amp;EDATE(DATE(C55,B55,1),1))</f>
        <v/>
      </c>
      <c r="I55" s="2">
        <f>COUNTIFS(Cotizaciones!J:J,"Aprobada",Cotizaciones!B:B,"&gt;="&amp;DATE(C55,B55,1),Cotizaciones!B:B,"&lt;"&amp;EDATE(DATE(C55,B55,1),1))</f>
        <v/>
      </c>
      <c r="J55" s="11">
        <f>IFERROR(I55/H55,0)</f>
        <v/>
      </c>
      <c r="K55" s="8">
        <f>MAX(0,SUM($F$2:F55))</f>
        <v/>
      </c>
      <c r="L55" s="11">
        <f>IFERROR(K55/Configuracion!$K$2,0)</f>
        <v/>
      </c>
      <c r="M55" s="8">
        <f>SUMIFS(Flujo_Caja!H:H,Flujo_Caja!B:B,B55,Flujo_Caja!C:C,C55)</f>
        <v/>
      </c>
      <c r="N55" s="2" t="n"/>
    </row>
    <row r="56">
      <c r="A56" s="2" t="n"/>
      <c r="B56" s="2" t="n"/>
      <c r="C56" s="2" t="n"/>
      <c r="D56" s="8">
        <f>SUMIFS(Ingresos!J:J,Ingresos!D:D,"&gt;="&amp;DATE(C56,B56,1),Ingresos!D:D,"&lt;"&amp;EDATE(DATE(C56,B56,1),1))</f>
        <v/>
      </c>
      <c r="E56" s="8">
        <f>SUMIFS(Egresos!H:H,Egresos!B:B,"&gt;="&amp;DATE(C56,B56,1),Egresos!B:B,"&lt;"&amp;EDATE(DATE(C56,B56,1),1))+SUMIFS(Gastos_Mensuales!H:H,Gastos_Mensuales!B:B,B56,Gastos_Mensuales!C:C,C56)+SUMIFS(Impuestos!I:I,Impuestos!B:B,B56,Impuestos!C:C,C56)</f>
        <v/>
      </c>
      <c r="F56" s="8">
        <f>D56-E56</f>
        <v/>
      </c>
      <c r="G56" s="11">
        <f>IFERROR(F56/D56,0)</f>
        <v/>
      </c>
      <c r="H56" s="2">
        <f>COUNTIFS(Cotizaciones!J:J,"Enviada",Cotizaciones!B:B,"&gt;="&amp;DATE(C56,B56,1),Cotizaciones!B:B,"&lt;"&amp;EDATE(DATE(C56,B56,1),1))</f>
        <v/>
      </c>
      <c r="I56" s="2">
        <f>COUNTIFS(Cotizaciones!J:J,"Aprobada",Cotizaciones!B:B,"&gt;="&amp;DATE(C56,B56,1),Cotizaciones!B:B,"&lt;"&amp;EDATE(DATE(C56,B56,1),1))</f>
        <v/>
      </c>
      <c r="J56" s="11">
        <f>IFERROR(I56/H56,0)</f>
        <v/>
      </c>
      <c r="K56" s="8">
        <f>MAX(0,SUM($F$2:F56))</f>
        <v/>
      </c>
      <c r="L56" s="11">
        <f>IFERROR(K56/Configuracion!$K$2,0)</f>
        <v/>
      </c>
      <c r="M56" s="8">
        <f>SUMIFS(Flujo_Caja!H:H,Flujo_Caja!B:B,B56,Flujo_Caja!C:C,C56)</f>
        <v/>
      </c>
      <c r="N56" s="2" t="n"/>
    </row>
    <row r="57">
      <c r="A57" s="2" t="n"/>
      <c r="B57" s="2" t="n"/>
      <c r="C57" s="2" t="n"/>
      <c r="D57" s="8">
        <f>SUMIFS(Ingresos!J:J,Ingresos!D:D,"&gt;="&amp;DATE(C57,B57,1),Ingresos!D:D,"&lt;"&amp;EDATE(DATE(C57,B57,1),1))</f>
        <v/>
      </c>
      <c r="E57" s="8">
        <f>SUMIFS(Egresos!H:H,Egresos!B:B,"&gt;="&amp;DATE(C57,B57,1),Egresos!B:B,"&lt;"&amp;EDATE(DATE(C57,B57,1),1))+SUMIFS(Gastos_Mensuales!H:H,Gastos_Mensuales!B:B,B57,Gastos_Mensuales!C:C,C57)+SUMIFS(Impuestos!I:I,Impuestos!B:B,B57,Impuestos!C:C,C57)</f>
        <v/>
      </c>
      <c r="F57" s="8">
        <f>D57-E57</f>
        <v/>
      </c>
      <c r="G57" s="11">
        <f>IFERROR(F57/D57,0)</f>
        <v/>
      </c>
      <c r="H57" s="2">
        <f>COUNTIFS(Cotizaciones!J:J,"Enviada",Cotizaciones!B:B,"&gt;="&amp;DATE(C57,B57,1),Cotizaciones!B:B,"&lt;"&amp;EDATE(DATE(C57,B57,1),1))</f>
        <v/>
      </c>
      <c r="I57" s="2">
        <f>COUNTIFS(Cotizaciones!J:J,"Aprobada",Cotizaciones!B:B,"&gt;="&amp;DATE(C57,B57,1),Cotizaciones!B:B,"&lt;"&amp;EDATE(DATE(C57,B57,1),1))</f>
        <v/>
      </c>
      <c r="J57" s="11">
        <f>IFERROR(I57/H57,0)</f>
        <v/>
      </c>
      <c r="K57" s="8">
        <f>MAX(0,SUM($F$2:F57))</f>
        <v/>
      </c>
      <c r="L57" s="11">
        <f>IFERROR(K57/Configuracion!$K$2,0)</f>
        <v/>
      </c>
      <c r="M57" s="8">
        <f>SUMIFS(Flujo_Caja!H:H,Flujo_Caja!B:B,B57,Flujo_Caja!C:C,C57)</f>
        <v/>
      </c>
      <c r="N57" s="2" t="n"/>
    </row>
    <row r="58">
      <c r="A58" s="2" t="n"/>
      <c r="B58" s="2" t="n"/>
      <c r="C58" s="2" t="n"/>
      <c r="D58" s="8">
        <f>SUMIFS(Ingresos!J:J,Ingresos!D:D,"&gt;="&amp;DATE(C58,B58,1),Ingresos!D:D,"&lt;"&amp;EDATE(DATE(C58,B58,1),1))</f>
        <v/>
      </c>
      <c r="E58" s="8">
        <f>SUMIFS(Egresos!H:H,Egresos!B:B,"&gt;="&amp;DATE(C58,B58,1),Egresos!B:B,"&lt;"&amp;EDATE(DATE(C58,B58,1),1))+SUMIFS(Gastos_Mensuales!H:H,Gastos_Mensuales!B:B,B58,Gastos_Mensuales!C:C,C58)+SUMIFS(Impuestos!I:I,Impuestos!B:B,B58,Impuestos!C:C,C58)</f>
        <v/>
      </c>
      <c r="F58" s="8">
        <f>D58-E58</f>
        <v/>
      </c>
      <c r="G58" s="11">
        <f>IFERROR(F58/D58,0)</f>
        <v/>
      </c>
      <c r="H58" s="2">
        <f>COUNTIFS(Cotizaciones!J:J,"Enviada",Cotizaciones!B:B,"&gt;="&amp;DATE(C58,B58,1),Cotizaciones!B:B,"&lt;"&amp;EDATE(DATE(C58,B58,1),1))</f>
        <v/>
      </c>
      <c r="I58" s="2">
        <f>COUNTIFS(Cotizaciones!J:J,"Aprobada",Cotizaciones!B:B,"&gt;="&amp;DATE(C58,B58,1),Cotizaciones!B:B,"&lt;"&amp;EDATE(DATE(C58,B58,1),1))</f>
        <v/>
      </c>
      <c r="J58" s="11">
        <f>IFERROR(I58/H58,0)</f>
        <v/>
      </c>
      <c r="K58" s="8">
        <f>MAX(0,SUM($F$2:F58))</f>
        <v/>
      </c>
      <c r="L58" s="11">
        <f>IFERROR(K58/Configuracion!$K$2,0)</f>
        <v/>
      </c>
      <c r="M58" s="8">
        <f>SUMIFS(Flujo_Caja!H:H,Flujo_Caja!B:B,B58,Flujo_Caja!C:C,C58)</f>
        <v/>
      </c>
      <c r="N58" s="2" t="n"/>
    </row>
    <row r="59">
      <c r="A59" s="2" t="n"/>
      <c r="B59" s="2" t="n"/>
      <c r="C59" s="2" t="n"/>
      <c r="D59" s="8">
        <f>SUMIFS(Ingresos!J:J,Ingresos!D:D,"&gt;="&amp;DATE(C59,B59,1),Ingresos!D:D,"&lt;"&amp;EDATE(DATE(C59,B59,1),1))</f>
        <v/>
      </c>
      <c r="E59" s="8">
        <f>SUMIFS(Egresos!H:H,Egresos!B:B,"&gt;="&amp;DATE(C59,B59,1),Egresos!B:B,"&lt;"&amp;EDATE(DATE(C59,B59,1),1))+SUMIFS(Gastos_Mensuales!H:H,Gastos_Mensuales!B:B,B59,Gastos_Mensuales!C:C,C59)+SUMIFS(Impuestos!I:I,Impuestos!B:B,B59,Impuestos!C:C,C59)</f>
        <v/>
      </c>
      <c r="F59" s="8">
        <f>D59-E59</f>
        <v/>
      </c>
      <c r="G59" s="11">
        <f>IFERROR(F59/D59,0)</f>
        <v/>
      </c>
      <c r="H59" s="2">
        <f>COUNTIFS(Cotizaciones!J:J,"Enviada",Cotizaciones!B:B,"&gt;="&amp;DATE(C59,B59,1),Cotizaciones!B:B,"&lt;"&amp;EDATE(DATE(C59,B59,1),1))</f>
        <v/>
      </c>
      <c r="I59" s="2">
        <f>COUNTIFS(Cotizaciones!J:J,"Aprobada",Cotizaciones!B:B,"&gt;="&amp;DATE(C59,B59,1),Cotizaciones!B:B,"&lt;"&amp;EDATE(DATE(C59,B59,1),1))</f>
        <v/>
      </c>
      <c r="J59" s="11">
        <f>IFERROR(I59/H59,0)</f>
        <v/>
      </c>
      <c r="K59" s="8">
        <f>MAX(0,SUM($F$2:F59))</f>
        <v/>
      </c>
      <c r="L59" s="11">
        <f>IFERROR(K59/Configuracion!$K$2,0)</f>
        <v/>
      </c>
      <c r="M59" s="8">
        <f>SUMIFS(Flujo_Caja!H:H,Flujo_Caja!B:B,B59,Flujo_Caja!C:C,C59)</f>
        <v/>
      </c>
      <c r="N59" s="2" t="n"/>
    </row>
    <row r="60">
      <c r="A60" s="2" t="n"/>
      <c r="B60" s="2" t="n"/>
      <c r="C60" s="2" t="n"/>
      <c r="D60" s="8">
        <f>SUMIFS(Ingresos!J:J,Ingresos!D:D,"&gt;="&amp;DATE(C60,B60,1),Ingresos!D:D,"&lt;"&amp;EDATE(DATE(C60,B60,1),1))</f>
        <v/>
      </c>
      <c r="E60" s="8">
        <f>SUMIFS(Egresos!H:H,Egresos!B:B,"&gt;="&amp;DATE(C60,B60,1),Egresos!B:B,"&lt;"&amp;EDATE(DATE(C60,B60,1),1))+SUMIFS(Gastos_Mensuales!H:H,Gastos_Mensuales!B:B,B60,Gastos_Mensuales!C:C,C60)+SUMIFS(Impuestos!I:I,Impuestos!B:B,B60,Impuestos!C:C,C60)</f>
        <v/>
      </c>
      <c r="F60" s="8">
        <f>D60-E60</f>
        <v/>
      </c>
      <c r="G60" s="11">
        <f>IFERROR(F60/D60,0)</f>
        <v/>
      </c>
      <c r="H60" s="2">
        <f>COUNTIFS(Cotizaciones!J:J,"Enviada",Cotizaciones!B:B,"&gt;="&amp;DATE(C60,B60,1),Cotizaciones!B:B,"&lt;"&amp;EDATE(DATE(C60,B60,1),1))</f>
        <v/>
      </c>
      <c r="I60" s="2">
        <f>COUNTIFS(Cotizaciones!J:J,"Aprobada",Cotizaciones!B:B,"&gt;="&amp;DATE(C60,B60,1),Cotizaciones!B:B,"&lt;"&amp;EDATE(DATE(C60,B60,1),1))</f>
        <v/>
      </c>
      <c r="J60" s="11">
        <f>IFERROR(I60/H60,0)</f>
        <v/>
      </c>
      <c r="K60" s="8">
        <f>MAX(0,SUM($F$2:F60))</f>
        <v/>
      </c>
      <c r="L60" s="11">
        <f>IFERROR(K60/Configuracion!$K$2,0)</f>
        <v/>
      </c>
      <c r="M60" s="8">
        <f>SUMIFS(Flujo_Caja!H:H,Flujo_Caja!B:B,B60,Flujo_Caja!C:C,C60)</f>
        <v/>
      </c>
      <c r="N60" s="2" t="n"/>
    </row>
    <row r="61">
      <c r="A61" s="2" t="n"/>
      <c r="B61" s="2" t="n"/>
      <c r="C61" s="2" t="n"/>
      <c r="D61" s="8">
        <f>SUMIFS(Ingresos!J:J,Ingresos!D:D,"&gt;="&amp;DATE(C61,B61,1),Ingresos!D:D,"&lt;"&amp;EDATE(DATE(C61,B61,1),1))</f>
        <v/>
      </c>
      <c r="E61" s="8">
        <f>SUMIFS(Egresos!H:H,Egresos!B:B,"&gt;="&amp;DATE(C61,B61,1),Egresos!B:B,"&lt;"&amp;EDATE(DATE(C61,B61,1),1))+SUMIFS(Gastos_Mensuales!H:H,Gastos_Mensuales!B:B,B61,Gastos_Mensuales!C:C,C61)+SUMIFS(Impuestos!I:I,Impuestos!B:B,B61,Impuestos!C:C,C61)</f>
        <v/>
      </c>
      <c r="F61" s="8">
        <f>D61-E61</f>
        <v/>
      </c>
      <c r="G61" s="11">
        <f>IFERROR(F61/D61,0)</f>
        <v/>
      </c>
      <c r="H61" s="2">
        <f>COUNTIFS(Cotizaciones!J:J,"Enviada",Cotizaciones!B:B,"&gt;="&amp;DATE(C61,B61,1),Cotizaciones!B:B,"&lt;"&amp;EDATE(DATE(C61,B61,1),1))</f>
        <v/>
      </c>
      <c r="I61" s="2">
        <f>COUNTIFS(Cotizaciones!J:J,"Aprobada",Cotizaciones!B:B,"&gt;="&amp;DATE(C61,B61,1),Cotizaciones!B:B,"&lt;"&amp;EDATE(DATE(C61,B61,1),1))</f>
        <v/>
      </c>
      <c r="J61" s="11">
        <f>IFERROR(I61/H61,0)</f>
        <v/>
      </c>
      <c r="K61" s="8">
        <f>MAX(0,SUM($F$2:F61))</f>
        <v/>
      </c>
      <c r="L61" s="11">
        <f>IFERROR(K61/Configuracion!$K$2,0)</f>
        <v/>
      </c>
      <c r="M61" s="8">
        <f>SUMIFS(Flujo_Caja!H:H,Flujo_Caja!B:B,B61,Flujo_Caja!C:C,C61)</f>
        <v/>
      </c>
      <c r="N61" s="2" t="n"/>
    </row>
    <row r="62">
      <c r="A62" s="2" t="n"/>
      <c r="B62" s="2" t="n"/>
      <c r="C62" s="2" t="n"/>
      <c r="D62" s="8">
        <f>SUMIFS(Ingresos!J:J,Ingresos!D:D,"&gt;="&amp;DATE(C62,B62,1),Ingresos!D:D,"&lt;"&amp;EDATE(DATE(C62,B62,1),1))</f>
        <v/>
      </c>
      <c r="E62" s="8">
        <f>SUMIFS(Egresos!H:H,Egresos!B:B,"&gt;="&amp;DATE(C62,B62,1),Egresos!B:B,"&lt;"&amp;EDATE(DATE(C62,B62,1),1))+SUMIFS(Gastos_Mensuales!H:H,Gastos_Mensuales!B:B,B62,Gastos_Mensuales!C:C,C62)+SUMIFS(Impuestos!I:I,Impuestos!B:B,B62,Impuestos!C:C,C62)</f>
        <v/>
      </c>
      <c r="F62" s="8">
        <f>D62-E62</f>
        <v/>
      </c>
      <c r="G62" s="11">
        <f>IFERROR(F62/D62,0)</f>
        <v/>
      </c>
      <c r="H62" s="2">
        <f>COUNTIFS(Cotizaciones!J:J,"Enviada",Cotizaciones!B:B,"&gt;="&amp;DATE(C62,B62,1),Cotizaciones!B:B,"&lt;"&amp;EDATE(DATE(C62,B62,1),1))</f>
        <v/>
      </c>
      <c r="I62" s="2">
        <f>COUNTIFS(Cotizaciones!J:J,"Aprobada",Cotizaciones!B:B,"&gt;="&amp;DATE(C62,B62,1),Cotizaciones!B:B,"&lt;"&amp;EDATE(DATE(C62,B62,1),1))</f>
        <v/>
      </c>
      <c r="J62" s="11">
        <f>IFERROR(I62/H62,0)</f>
        <v/>
      </c>
      <c r="K62" s="8">
        <f>MAX(0,SUM($F$2:F62))</f>
        <v/>
      </c>
      <c r="L62" s="11">
        <f>IFERROR(K62/Configuracion!$K$2,0)</f>
        <v/>
      </c>
      <c r="M62" s="8">
        <f>SUMIFS(Flujo_Caja!H:H,Flujo_Caja!B:B,B62,Flujo_Caja!C:C,C62)</f>
        <v/>
      </c>
      <c r="N62" s="2" t="n"/>
    </row>
    <row r="63">
      <c r="A63" s="2" t="n"/>
      <c r="B63" s="2" t="n"/>
      <c r="C63" s="2" t="n"/>
      <c r="D63" s="8">
        <f>SUMIFS(Ingresos!J:J,Ingresos!D:D,"&gt;="&amp;DATE(C63,B63,1),Ingresos!D:D,"&lt;"&amp;EDATE(DATE(C63,B63,1),1))</f>
        <v/>
      </c>
      <c r="E63" s="8">
        <f>SUMIFS(Egresos!H:H,Egresos!B:B,"&gt;="&amp;DATE(C63,B63,1),Egresos!B:B,"&lt;"&amp;EDATE(DATE(C63,B63,1),1))+SUMIFS(Gastos_Mensuales!H:H,Gastos_Mensuales!B:B,B63,Gastos_Mensuales!C:C,C63)+SUMIFS(Impuestos!I:I,Impuestos!B:B,B63,Impuestos!C:C,C63)</f>
        <v/>
      </c>
      <c r="F63" s="8">
        <f>D63-E63</f>
        <v/>
      </c>
      <c r="G63" s="11">
        <f>IFERROR(F63/D63,0)</f>
        <v/>
      </c>
      <c r="H63" s="2">
        <f>COUNTIFS(Cotizaciones!J:J,"Enviada",Cotizaciones!B:B,"&gt;="&amp;DATE(C63,B63,1),Cotizaciones!B:B,"&lt;"&amp;EDATE(DATE(C63,B63,1),1))</f>
        <v/>
      </c>
      <c r="I63" s="2">
        <f>COUNTIFS(Cotizaciones!J:J,"Aprobada",Cotizaciones!B:B,"&gt;="&amp;DATE(C63,B63,1),Cotizaciones!B:B,"&lt;"&amp;EDATE(DATE(C63,B63,1),1))</f>
        <v/>
      </c>
      <c r="J63" s="11">
        <f>IFERROR(I63/H63,0)</f>
        <v/>
      </c>
      <c r="K63" s="8">
        <f>MAX(0,SUM($F$2:F63))</f>
        <v/>
      </c>
      <c r="L63" s="11">
        <f>IFERROR(K63/Configuracion!$K$2,0)</f>
        <v/>
      </c>
      <c r="M63" s="8">
        <f>SUMIFS(Flujo_Caja!H:H,Flujo_Caja!B:B,B63,Flujo_Caja!C:C,C63)</f>
        <v/>
      </c>
      <c r="N63" s="2" t="n"/>
    </row>
    <row r="64">
      <c r="A64" s="2" t="n"/>
      <c r="B64" s="2" t="n"/>
      <c r="C64" s="2" t="n"/>
      <c r="D64" s="8">
        <f>SUMIFS(Ingresos!J:J,Ingresos!D:D,"&gt;="&amp;DATE(C64,B64,1),Ingresos!D:D,"&lt;"&amp;EDATE(DATE(C64,B64,1),1))</f>
        <v/>
      </c>
      <c r="E64" s="8">
        <f>SUMIFS(Egresos!H:H,Egresos!B:B,"&gt;="&amp;DATE(C64,B64,1),Egresos!B:B,"&lt;"&amp;EDATE(DATE(C64,B64,1),1))+SUMIFS(Gastos_Mensuales!H:H,Gastos_Mensuales!B:B,B64,Gastos_Mensuales!C:C,C64)+SUMIFS(Impuestos!I:I,Impuestos!B:B,B64,Impuestos!C:C,C64)</f>
        <v/>
      </c>
      <c r="F64" s="8">
        <f>D64-E64</f>
        <v/>
      </c>
      <c r="G64" s="11">
        <f>IFERROR(F64/D64,0)</f>
        <v/>
      </c>
      <c r="H64" s="2">
        <f>COUNTIFS(Cotizaciones!J:J,"Enviada",Cotizaciones!B:B,"&gt;="&amp;DATE(C64,B64,1),Cotizaciones!B:B,"&lt;"&amp;EDATE(DATE(C64,B64,1),1))</f>
        <v/>
      </c>
      <c r="I64" s="2">
        <f>COUNTIFS(Cotizaciones!J:J,"Aprobada",Cotizaciones!B:B,"&gt;="&amp;DATE(C64,B64,1),Cotizaciones!B:B,"&lt;"&amp;EDATE(DATE(C64,B64,1),1))</f>
        <v/>
      </c>
      <c r="J64" s="11">
        <f>IFERROR(I64/H64,0)</f>
        <v/>
      </c>
      <c r="K64" s="8">
        <f>MAX(0,SUM($F$2:F64))</f>
        <v/>
      </c>
      <c r="L64" s="11">
        <f>IFERROR(K64/Configuracion!$K$2,0)</f>
        <v/>
      </c>
      <c r="M64" s="8">
        <f>SUMIFS(Flujo_Caja!H:H,Flujo_Caja!B:B,B64,Flujo_Caja!C:C,C64)</f>
        <v/>
      </c>
      <c r="N64" s="2" t="n"/>
    </row>
    <row r="65">
      <c r="A65" s="2" t="n"/>
      <c r="B65" s="2" t="n"/>
      <c r="C65" s="2" t="n"/>
      <c r="D65" s="8">
        <f>SUMIFS(Ingresos!J:J,Ingresos!D:D,"&gt;="&amp;DATE(C65,B65,1),Ingresos!D:D,"&lt;"&amp;EDATE(DATE(C65,B65,1),1))</f>
        <v/>
      </c>
      <c r="E65" s="8">
        <f>SUMIFS(Egresos!H:H,Egresos!B:B,"&gt;="&amp;DATE(C65,B65,1),Egresos!B:B,"&lt;"&amp;EDATE(DATE(C65,B65,1),1))+SUMIFS(Gastos_Mensuales!H:H,Gastos_Mensuales!B:B,B65,Gastos_Mensuales!C:C,C65)+SUMIFS(Impuestos!I:I,Impuestos!B:B,B65,Impuestos!C:C,C65)</f>
        <v/>
      </c>
      <c r="F65" s="8">
        <f>D65-E65</f>
        <v/>
      </c>
      <c r="G65" s="11">
        <f>IFERROR(F65/D65,0)</f>
        <v/>
      </c>
      <c r="H65" s="2">
        <f>COUNTIFS(Cotizaciones!J:J,"Enviada",Cotizaciones!B:B,"&gt;="&amp;DATE(C65,B65,1),Cotizaciones!B:B,"&lt;"&amp;EDATE(DATE(C65,B65,1),1))</f>
        <v/>
      </c>
      <c r="I65" s="2">
        <f>COUNTIFS(Cotizaciones!J:J,"Aprobada",Cotizaciones!B:B,"&gt;="&amp;DATE(C65,B65,1),Cotizaciones!B:B,"&lt;"&amp;EDATE(DATE(C65,B65,1),1))</f>
        <v/>
      </c>
      <c r="J65" s="11">
        <f>IFERROR(I65/H65,0)</f>
        <v/>
      </c>
      <c r="K65" s="8">
        <f>MAX(0,SUM($F$2:F65))</f>
        <v/>
      </c>
      <c r="L65" s="11">
        <f>IFERROR(K65/Configuracion!$K$2,0)</f>
        <v/>
      </c>
      <c r="M65" s="8">
        <f>SUMIFS(Flujo_Caja!H:H,Flujo_Caja!B:B,B65,Flujo_Caja!C:C,C65)</f>
        <v/>
      </c>
      <c r="N65" s="2" t="n"/>
    </row>
    <row r="66">
      <c r="A66" s="2" t="n"/>
      <c r="B66" s="2" t="n"/>
      <c r="C66" s="2" t="n"/>
      <c r="D66" s="8">
        <f>SUMIFS(Ingresos!J:J,Ingresos!D:D,"&gt;="&amp;DATE(C66,B66,1),Ingresos!D:D,"&lt;"&amp;EDATE(DATE(C66,B66,1),1))</f>
        <v/>
      </c>
      <c r="E66" s="8">
        <f>SUMIFS(Egresos!H:H,Egresos!B:B,"&gt;="&amp;DATE(C66,B66,1),Egresos!B:B,"&lt;"&amp;EDATE(DATE(C66,B66,1),1))+SUMIFS(Gastos_Mensuales!H:H,Gastos_Mensuales!B:B,B66,Gastos_Mensuales!C:C,C66)+SUMIFS(Impuestos!I:I,Impuestos!B:B,B66,Impuestos!C:C,C66)</f>
        <v/>
      </c>
      <c r="F66" s="8">
        <f>D66-E66</f>
        <v/>
      </c>
      <c r="G66" s="11">
        <f>IFERROR(F66/D66,0)</f>
        <v/>
      </c>
      <c r="H66" s="2">
        <f>COUNTIFS(Cotizaciones!J:J,"Enviada",Cotizaciones!B:B,"&gt;="&amp;DATE(C66,B66,1),Cotizaciones!B:B,"&lt;"&amp;EDATE(DATE(C66,B66,1),1))</f>
        <v/>
      </c>
      <c r="I66" s="2">
        <f>COUNTIFS(Cotizaciones!J:J,"Aprobada",Cotizaciones!B:B,"&gt;="&amp;DATE(C66,B66,1),Cotizaciones!B:B,"&lt;"&amp;EDATE(DATE(C66,B66,1),1))</f>
        <v/>
      </c>
      <c r="J66" s="11">
        <f>IFERROR(I66/H66,0)</f>
        <v/>
      </c>
      <c r="K66" s="8">
        <f>MAX(0,SUM($F$2:F66))</f>
        <v/>
      </c>
      <c r="L66" s="11">
        <f>IFERROR(K66/Configuracion!$K$2,0)</f>
        <v/>
      </c>
      <c r="M66" s="8">
        <f>SUMIFS(Flujo_Caja!H:H,Flujo_Caja!B:B,B66,Flujo_Caja!C:C,C66)</f>
        <v/>
      </c>
      <c r="N66" s="2" t="n"/>
    </row>
    <row r="67">
      <c r="A67" s="2" t="n"/>
      <c r="B67" s="2" t="n"/>
      <c r="C67" s="2" t="n"/>
      <c r="D67" s="8">
        <f>SUMIFS(Ingresos!J:J,Ingresos!D:D,"&gt;="&amp;DATE(C67,B67,1),Ingresos!D:D,"&lt;"&amp;EDATE(DATE(C67,B67,1),1))</f>
        <v/>
      </c>
      <c r="E67" s="8">
        <f>SUMIFS(Egresos!H:H,Egresos!B:B,"&gt;="&amp;DATE(C67,B67,1),Egresos!B:B,"&lt;"&amp;EDATE(DATE(C67,B67,1),1))+SUMIFS(Gastos_Mensuales!H:H,Gastos_Mensuales!B:B,B67,Gastos_Mensuales!C:C,C67)+SUMIFS(Impuestos!I:I,Impuestos!B:B,B67,Impuestos!C:C,C67)</f>
        <v/>
      </c>
      <c r="F67" s="8">
        <f>D67-E67</f>
        <v/>
      </c>
      <c r="G67" s="11">
        <f>IFERROR(F67/D67,0)</f>
        <v/>
      </c>
      <c r="H67" s="2">
        <f>COUNTIFS(Cotizaciones!J:J,"Enviada",Cotizaciones!B:B,"&gt;="&amp;DATE(C67,B67,1),Cotizaciones!B:B,"&lt;"&amp;EDATE(DATE(C67,B67,1),1))</f>
        <v/>
      </c>
      <c r="I67" s="2">
        <f>COUNTIFS(Cotizaciones!J:J,"Aprobada",Cotizaciones!B:B,"&gt;="&amp;DATE(C67,B67,1),Cotizaciones!B:B,"&lt;"&amp;EDATE(DATE(C67,B67,1),1))</f>
        <v/>
      </c>
      <c r="J67" s="11">
        <f>IFERROR(I67/H67,0)</f>
        <v/>
      </c>
      <c r="K67" s="8">
        <f>MAX(0,SUM($F$2:F67))</f>
        <v/>
      </c>
      <c r="L67" s="11">
        <f>IFERROR(K67/Configuracion!$K$2,0)</f>
        <v/>
      </c>
      <c r="M67" s="8">
        <f>SUMIFS(Flujo_Caja!H:H,Flujo_Caja!B:B,B67,Flujo_Caja!C:C,C67)</f>
        <v/>
      </c>
      <c r="N67" s="2" t="n"/>
    </row>
    <row r="68">
      <c r="A68" s="2" t="n"/>
      <c r="B68" s="2" t="n"/>
      <c r="C68" s="2" t="n"/>
      <c r="D68" s="8">
        <f>SUMIFS(Ingresos!J:J,Ingresos!D:D,"&gt;="&amp;DATE(C68,B68,1),Ingresos!D:D,"&lt;"&amp;EDATE(DATE(C68,B68,1),1))</f>
        <v/>
      </c>
      <c r="E68" s="8">
        <f>SUMIFS(Egresos!H:H,Egresos!B:B,"&gt;="&amp;DATE(C68,B68,1),Egresos!B:B,"&lt;"&amp;EDATE(DATE(C68,B68,1),1))+SUMIFS(Gastos_Mensuales!H:H,Gastos_Mensuales!B:B,B68,Gastos_Mensuales!C:C,C68)+SUMIFS(Impuestos!I:I,Impuestos!B:B,B68,Impuestos!C:C,C68)</f>
        <v/>
      </c>
      <c r="F68" s="8">
        <f>D68-E68</f>
        <v/>
      </c>
      <c r="G68" s="11">
        <f>IFERROR(F68/D68,0)</f>
        <v/>
      </c>
      <c r="H68" s="2">
        <f>COUNTIFS(Cotizaciones!J:J,"Enviada",Cotizaciones!B:B,"&gt;="&amp;DATE(C68,B68,1),Cotizaciones!B:B,"&lt;"&amp;EDATE(DATE(C68,B68,1),1))</f>
        <v/>
      </c>
      <c r="I68" s="2">
        <f>COUNTIFS(Cotizaciones!J:J,"Aprobada",Cotizaciones!B:B,"&gt;="&amp;DATE(C68,B68,1),Cotizaciones!B:B,"&lt;"&amp;EDATE(DATE(C68,B68,1),1))</f>
        <v/>
      </c>
      <c r="J68" s="11">
        <f>IFERROR(I68/H68,0)</f>
        <v/>
      </c>
      <c r="K68" s="8">
        <f>MAX(0,SUM($F$2:F68))</f>
        <v/>
      </c>
      <c r="L68" s="11">
        <f>IFERROR(K68/Configuracion!$K$2,0)</f>
        <v/>
      </c>
      <c r="M68" s="8">
        <f>SUMIFS(Flujo_Caja!H:H,Flujo_Caja!B:B,B68,Flujo_Caja!C:C,C68)</f>
        <v/>
      </c>
      <c r="N68" s="2" t="n"/>
    </row>
    <row r="69">
      <c r="A69" s="2" t="n"/>
      <c r="B69" s="2" t="n"/>
      <c r="C69" s="2" t="n"/>
      <c r="D69" s="8">
        <f>SUMIFS(Ingresos!J:J,Ingresos!D:D,"&gt;="&amp;DATE(C69,B69,1),Ingresos!D:D,"&lt;"&amp;EDATE(DATE(C69,B69,1),1))</f>
        <v/>
      </c>
      <c r="E69" s="8">
        <f>SUMIFS(Egresos!H:H,Egresos!B:B,"&gt;="&amp;DATE(C69,B69,1),Egresos!B:B,"&lt;"&amp;EDATE(DATE(C69,B69,1),1))+SUMIFS(Gastos_Mensuales!H:H,Gastos_Mensuales!B:B,B69,Gastos_Mensuales!C:C,C69)+SUMIFS(Impuestos!I:I,Impuestos!B:B,B69,Impuestos!C:C,C69)</f>
        <v/>
      </c>
      <c r="F69" s="8">
        <f>D69-E69</f>
        <v/>
      </c>
      <c r="G69" s="11">
        <f>IFERROR(F69/D69,0)</f>
        <v/>
      </c>
      <c r="H69" s="2">
        <f>COUNTIFS(Cotizaciones!J:J,"Enviada",Cotizaciones!B:B,"&gt;="&amp;DATE(C69,B69,1),Cotizaciones!B:B,"&lt;"&amp;EDATE(DATE(C69,B69,1),1))</f>
        <v/>
      </c>
      <c r="I69" s="2">
        <f>COUNTIFS(Cotizaciones!J:J,"Aprobada",Cotizaciones!B:B,"&gt;="&amp;DATE(C69,B69,1),Cotizaciones!B:B,"&lt;"&amp;EDATE(DATE(C69,B69,1),1))</f>
        <v/>
      </c>
      <c r="J69" s="11">
        <f>IFERROR(I69/H69,0)</f>
        <v/>
      </c>
      <c r="K69" s="8">
        <f>MAX(0,SUM($F$2:F69))</f>
        <v/>
      </c>
      <c r="L69" s="11">
        <f>IFERROR(K69/Configuracion!$K$2,0)</f>
        <v/>
      </c>
      <c r="M69" s="8">
        <f>SUMIFS(Flujo_Caja!H:H,Flujo_Caja!B:B,B69,Flujo_Caja!C:C,C69)</f>
        <v/>
      </c>
      <c r="N69" s="2" t="n"/>
    </row>
    <row r="70">
      <c r="A70" s="2" t="n"/>
      <c r="B70" s="2" t="n"/>
      <c r="C70" s="2" t="n"/>
      <c r="D70" s="8">
        <f>SUMIFS(Ingresos!J:J,Ingresos!D:D,"&gt;="&amp;DATE(C70,B70,1),Ingresos!D:D,"&lt;"&amp;EDATE(DATE(C70,B70,1),1))</f>
        <v/>
      </c>
      <c r="E70" s="8">
        <f>SUMIFS(Egresos!H:H,Egresos!B:B,"&gt;="&amp;DATE(C70,B70,1),Egresos!B:B,"&lt;"&amp;EDATE(DATE(C70,B70,1),1))+SUMIFS(Gastos_Mensuales!H:H,Gastos_Mensuales!B:B,B70,Gastos_Mensuales!C:C,C70)+SUMIFS(Impuestos!I:I,Impuestos!B:B,B70,Impuestos!C:C,C70)</f>
        <v/>
      </c>
      <c r="F70" s="8">
        <f>D70-E70</f>
        <v/>
      </c>
      <c r="G70" s="11">
        <f>IFERROR(F70/D70,0)</f>
        <v/>
      </c>
      <c r="H70" s="2">
        <f>COUNTIFS(Cotizaciones!J:J,"Enviada",Cotizaciones!B:B,"&gt;="&amp;DATE(C70,B70,1),Cotizaciones!B:B,"&lt;"&amp;EDATE(DATE(C70,B70,1),1))</f>
        <v/>
      </c>
      <c r="I70" s="2">
        <f>COUNTIFS(Cotizaciones!J:J,"Aprobada",Cotizaciones!B:B,"&gt;="&amp;DATE(C70,B70,1),Cotizaciones!B:B,"&lt;"&amp;EDATE(DATE(C70,B70,1),1))</f>
        <v/>
      </c>
      <c r="J70" s="11">
        <f>IFERROR(I70/H70,0)</f>
        <v/>
      </c>
      <c r="K70" s="8">
        <f>MAX(0,SUM($F$2:F70))</f>
        <v/>
      </c>
      <c r="L70" s="11">
        <f>IFERROR(K70/Configuracion!$K$2,0)</f>
        <v/>
      </c>
      <c r="M70" s="8">
        <f>SUMIFS(Flujo_Caja!H:H,Flujo_Caja!B:B,B70,Flujo_Caja!C:C,C70)</f>
        <v/>
      </c>
      <c r="N70" s="2" t="n"/>
    </row>
    <row r="71">
      <c r="A71" s="2" t="n"/>
      <c r="B71" s="2" t="n"/>
      <c r="C71" s="2" t="n"/>
      <c r="D71" s="8">
        <f>SUMIFS(Ingresos!J:J,Ingresos!D:D,"&gt;="&amp;DATE(C71,B71,1),Ingresos!D:D,"&lt;"&amp;EDATE(DATE(C71,B71,1),1))</f>
        <v/>
      </c>
      <c r="E71" s="8">
        <f>SUMIFS(Egresos!H:H,Egresos!B:B,"&gt;="&amp;DATE(C71,B71,1),Egresos!B:B,"&lt;"&amp;EDATE(DATE(C71,B71,1),1))+SUMIFS(Gastos_Mensuales!H:H,Gastos_Mensuales!B:B,B71,Gastos_Mensuales!C:C,C71)+SUMIFS(Impuestos!I:I,Impuestos!B:B,B71,Impuestos!C:C,C71)</f>
        <v/>
      </c>
      <c r="F71" s="8">
        <f>D71-E71</f>
        <v/>
      </c>
      <c r="G71" s="11">
        <f>IFERROR(F71/D71,0)</f>
        <v/>
      </c>
      <c r="H71" s="2">
        <f>COUNTIFS(Cotizaciones!J:J,"Enviada",Cotizaciones!B:B,"&gt;="&amp;DATE(C71,B71,1),Cotizaciones!B:B,"&lt;"&amp;EDATE(DATE(C71,B71,1),1))</f>
        <v/>
      </c>
      <c r="I71" s="2">
        <f>COUNTIFS(Cotizaciones!J:J,"Aprobada",Cotizaciones!B:B,"&gt;="&amp;DATE(C71,B71,1),Cotizaciones!B:B,"&lt;"&amp;EDATE(DATE(C71,B71,1),1))</f>
        <v/>
      </c>
      <c r="J71" s="11">
        <f>IFERROR(I71/H71,0)</f>
        <v/>
      </c>
      <c r="K71" s="8">
        <f>MAX(0,SUM($F$2:F71))</f>
        <v/>
      </c>
      <c r="L71" s="11">
        <f>IFERROR(K71/Configuracion!$K$2,0)</f>
        <v/>
      </c>
      <c r="M71" s="8">
        <f>SUMIFS(Flujo_Caja!H:H,Flujo_Caja!B:B,B71,Flujo_Caja!C:C,C71)</f>
        <v/>
      </c>
      <c r="N71" s="2" t="n"/>
    </row>
    <row r="72">
      <c r="A72" s="2" t="n"/>
      <c r="B72" s="2" t="n"/>
      <c r="C72" s="2" t="n"/>
      <c r="D72" s="8">
        <f>SUMIFS(Ingresos!J:J,Ingresos!D:D,"&gt;="&amp;DATE(C72,B72,1),Ingresos!D:D,"&lt;"&amp;EDATE(DATE(C72,B72,1),1))</f>
        <v/>
      </c>
      <c r="E72" s="8">
        <f>SUMIFS(Egresos!H:H,Egresos!B:B,"&gt;="&amp;DATE(C72,B72,1),Egresos!B:B,"&lt;"&amp;EDATE(DATE(C72,B72,1),1))+SUMIFS(Gastos_Mensuales!H:H,Gastos_Mensuales!B:B,B72,Gastos_Mensuales!C:C,C72)+SUMIFS(Impuestos!I:I,Impuestos!B:B,B72,Impuestos!C:C,C72)</f>
        <v/>
      </c>
      <c r="F72" s="8">
        <f>D72-E72</f>
        <v/>
      </c>
      <c r="G72" s="11">
        <f>IFERROR(F72/D72,0)</f>
        <v/>
      </c>
      <c r="H72" s="2">
        <f>COUNTIFS(Cotizaciones!J:J,"Enviada",Cotizaciones!B:B,"&gt;="&amp;DATE(C72,B72,1),Cotizaciones!B:B,"&lt;"&amp;EDATE(DATE(C72,B72,1),1))</f>
        <v/>
      </c>
      <c r="I72" s="2">
        <f>COUNTIFS(Cotizaciones!J:J,"Aprobada",Cotizaciones!B:B,"&gt;="&amp;DATE(C72,B72,1),Cotizaciones!B:B,"&lt;"&amp;EDATE(DATE(C72,B72,1),1))</f>
        <v/>
      </c>
      <c r="J72" s="11">
        <f>IFERROR(I72/H72,0)</f>
        <v/>
      </c>
      <c r="K72" s="8">
        <f>MAX(0,SUM($F$2:F72))</f>
        <v/>
      </c>
      <c r="L72" s="11">
        <f>IFERROR(K72/Configuracion!$K$2,0)</f>
        <v/>
      </c>
      <c r="M72" s="8">
        <f>SUMIFS(Flujo_Caja!H:H,Flujo_Caja!B:B,B72,Flujo_Caja!C:C,C72)</f>
        <v/>
      </c>
      <c r="N72" s="2" t="n"/>
    </row>
    <row r="73">
      <c r="A73" s="2" t="n"/>
      <c r="B73" s="2" t="n"/>
      <c r="C73" s="2" t="n"/>
      <c r="D73" s="8">
        <f>SUMIFS(Ingresos!J:J,Ingresos!D:D,"&gt;="&amp;DATE(C73,B73,1),Ingresos!D:D,"&lt;"&amp;EDATE(DATE(C73,B73,1),1))</f>
        <v/>
      </c>
      <c r="E73" s="8">
        <f>SUMIFS(Egresos!H:H,Egresos!B:B,"&gt;="&amp;DATE(C73,B73,1),Egresos!B:B,"&lt;"&amp;EDATE(DATE(C73,B73,1),1))+SUMIFS(Gastos_Mensuales!H:H,Gastos_Mensuales!B:B,B73,Gastos_Mensuales!C:C,C73)+SUMIFS(Impuestos!I:I,Impuestos!B:B,B73,Impuestos!C:C,C73)</f>
        <v/>
      </c>
      <c r="F73" s="8">
        <f>D73-E73</f>
        <v/>
      </c>
      <c r="G73" s="11">
        <f>IFERROR(F73/D73,0)</f>
        <v/>
      </c>
      <c r="H73" s="2">
        <f>COUNTIFS(Cotizaciones!J:J,"Enviada",Cotizaciones!B:B,"&gt;="&amp;DATE(C73,B73,1),Cotizaciones!B:B,"&lt;"&amp;EDATE(DATE(C73,B73,1),1))</f>
        <v/>
      </c>
      <c r="I73" s="2">
        <f>COUNTIFS(Cotizaciones!J:J,"Aprobada",Cotizaciones!B:B,"&gt;="&amp;DATE(C73,B73,1),Cotizaciones!B:B,"&lt;"&amp;EDATE(DATE(C73,B73,1),1))</f>
        <v/>
      </c>
      <c r="J73" s="11">
        <f>IFERROR(I73/H73,0)</f>
        <v/>
      </c>
      <c r="K73" s="8">
        <f>MAX(0,SUM($F$2:F73))</f>
        <v/>
      </c>
      <c r="L73" s="11">
        <f>IFERROR(K73/Configuracion!$K$2,0)</f>
        <v/>
      </c>
      <c r="M73" s="8">
        <f>SUMIFS(Flujo_Caja!H:H,Flujo_Caja!B:B,B73,Flujo_Caja!C:C,C73)</f>
        <v/>
      </c>
      <c r="N73" s="2" t="n"/>
    </row>
    <row r="74">
      <c r="A74" s="2" t="n"/>
      <c r="B74" s="2" t="n"/>
      <c r="C74" s="2" t="n"/>
      <c r="D74" s="8">
        <f>SUMIFS(Ingresos!J:J,Ingresos!D:D,"&gt;="&amp;DATE(C74,B74,1),Ingresos!D:D,"&lt;"&amp;EDATE(DATE(C74,B74,1),1))</f>
        <v/>
      </c>
      <c r="E74" s="8">
        <f>SUMIFS(Egresos!H:H,Egresos!B:B,"&gt;="&amp;DATE(C74,B74,1),Egresos!B:B,"&lt;"&amp;EDATE(DATE(C74,B74,1),1))+SUMIFS(Gastos_Mensuales!H:H,Gastos_Mensuales!B:B,B74,Gastos_Mensuales!C:C,C74)+SUMIFS(Impuestos!I:I,Impuestos!B:B,B74,Impuestos!C:C,C74)</f>
        <v/>
      </c>
      <c r="F74" s="8">
        <f>D74-E74</f>
        <v/>
      </c>
      <c r="G74" s="11">
        <f>IFERROR(F74/D74,0)</f>
        <v/>
      </c>
      <c r="H74" s="2">
        <f>COUNTIFS(Cotizaciones!J:J,"Enviada",Cotizaciones!B:B,"&gt;="&amp;DATE(C74,B74,1),Cotizaciones!B:B,"&lt;"&amp;EDATE(DATE(C74,B74,1),1))</f>
        <v/>
      </c>
      <c r="I74" s="2">
        <f>COUNTIFS(Cotizaciones!J:J,"Aprobada",Cotizaciones!B:B,"&gt;="&amp;DATE(C74,B74,1),Cotizaciones!B:B,"&lt;"&amp;EDATE(DATE(C74,B74,1),1))</f>
        <v/>
      </c>
      <c r="J74" s="11">
        <f>IFERROR(I74/H74,0)</f>
        <v/>
      </c>
      <c r="K74" s="8">
        <f>MAX(0,SUM($F$2:F74))</f>
        <v/>
      </c>
      <c r="L74" s="11">
        <f>IFERROR(K74/Configuracion!$K$2,0)</f>
        <v/>
      </c>
      <c r="M74" s="8">
        <f>SUMIFS(Flujo_Caja!H:H,Flujo_Caja!B:B,B74,Flujo_Caja!C:C,C74)</f>
        <v/>
      </c>
      <c r="N74" s="2" t="n"/>
    </row>
    <row r="75">
      <c r="A75" s="2" t="n"/>
      <c r="B75" s="2" t="n"/>
      <c r="C75" s="2" t="n"/>
      <c r="D75" s="8">
        <f>SUMIFS(Ingresos!J:J,Ingresos!D:D,"&gt;="&amp;DATE(C75,B75,1),Ingresos!D:D,"&lt;"&amp;EDATE(DATE(C75,B75,1),1))</f>
        <v/>
      </c>
      <c r="E75" s="8">
        <f>SUMIFS(Egresos!H:H,Egresos!B:B,"&gt;="&amp;DATE(C75,B75,1),Egresos!B:B,"&lt;"&amp;EDATE(DATE(C75,B75,1),1))+SUMIFS(Gastos_Mensuales!H:H,Gastos_Mensuales!B:B,B75,Gastos_Mensuales!C:C,C75)+SUMIFS(Impuestos!I:I,Impuestos!B:B,B75,Impuestos!C:C,C75)</f>
        <v/>
      </c>
      <c r="F75" s="8">
        <f>D75-E75</f>
        <v/>
      </c>
      <c r="G75" s="11">
        <f>IFERROR(F75/D75,0)</f>
        <v/>
      </c>
      <c r="H75" s="2">
        <f>COUNTIFS(Cotizaciones!J:J,"Enviada",Cotizaciones!B:B,"&gt;="&amp;DATE(C75,B75,1),Cotizaciones!B:B,"&lt;"&amp;EDATE(DATE(C75,B75,1),1))</f>
        <v/>
      </c>
      <c r="I75" s="2">
        <f>COUNTIFS(Cotizaciones!J:J,"Aprobada",Cotizaciones!B:B,"&gt;="&amp;DATE(C75,B75,1),Cotizaciones!B:B,"&lt;"&amp;EDATE(DATE(C75,B75,1),1))</f>
        <v/>
      </c>
      <c r="J75" s="11">
        <f>IFERROR(I75/H75,0)</f>
        <v/>
      </c>
      <c r="K75" s="8">
        <f>MAX(0,SUM($F$2:F75))</f>
        <v/>
      </c>
      <c r="L75" s="11">
        <f>IFERROR(K75/Configuracion!$K$2,0)</f>
        <v/>
      </c>
      <c r="M75" s="8">
        <f>SUMIFS(Flujo_Caja!H:H,Flujo_Caja!B:B,B75,Flujo_Caja!C:C,C75)</f>
        <v/>
      </c>
      <c r="N75" s="2" t="n"/>
    </row>
    <row r="76">
      <c r="A76" s="2" t="n"/>
      <c r="B76" s="2" t="n"/>
      <c r="C76" s="2" t="n"/>
      <c r="D76" s="8">
        <f>SUMIFS(Ingresos!J:J,Ingresos!D:D,"&gt;="&amp;DATE(C76,B76,1),Ingresos!D:D,"&lt;"&amp;EDATE(DATE(C76,B76,1),1))</f>
        <v/>
      </c>
      <c r="E76" s="8">
        <f>SUMIFS(Egresos!H:H,Egresos!B:B,"&gt;="&amp;DATE(C76,B76,1),Egresos!B:B,"&lt;"&amp;EDATE(DATE(C76,B76,1),1))+SUMIFS(Gastos_Mensuales!H:H,Gastos_Mensuales!B:B,B76,Gastos_Mensuales!C:C,C76)+SUMIFS(Impuestos!I:I,Impuestos!B:B,B76,Impuestos!C:C,C76)</f>
        <v/>
      </c>
      <c r="F76" s="8">
        <f>D76-E76</f>
        <v/>
      </c>
      <c r="G76" s="11">
        <f>IFERROR(F76/D76,0)</f>
        <v/>
      </c>
      <c r="H76" s="2">
        <f>COUNTIFS(Cotizaciones!J:J,"Enviada",Cotizaciones!B:B,"&gt;="&amp;DATE(C76,B76,1),Cotizaciones!B:B,"&lt;"&amp;EDATE(DATE(C76,B76,1),1))</f>
        <v/>
      </c>
      <c r="I76" s="2">
        <f>COUNTIFS(Cotizaciones!J:J,"Aprobada",Cotizaciones!B:B,"&gt;="&amp;DATE(C76,B76,1),Cotizaciones!B:B,"&lt;"&amp;EDATE(DATE(C76,B76,1),1))</f>
        <v/>
      </c>
      <c r="J76" s="11">
        <f>IFERROR(I76/H76,0)</f>
        <v/>
      </c>
      <c r="K76" s="8">
        <f>MAX(0,SUM($F$2:F76))</f>
        <v/>
      </c>
      <c r="L76" s="11">
        <f>IFERROR(K76/Configuracion!$K$2,0)</f>
        <v/>
      </c>
      <c r="M76" s="8">
        <f>SUMIFS(Flujo_Caja!H:H,Flujo_Caja!B:B,B76,Flujo_Caja!C:C,C76)</f>
        <v/>
      </c>
      <c r="N76" s="2" t="n"/>
    </row>
    <row r="77">
      <c r="A77" s="2" t="n"/>
      <c r="B77" s="2" t="n"/>
      <c r="C77" s="2" t="n"/>
      <c r="D77" s="8">
        <f>SUMIFS(Ingresos!J:J,Ingresos!D:D,"&gt;="&amp;DATE(C77,B77,1),Ingresos!D:D,"&lt;"&amp;EDATE(DATE(C77,B77,1),1))</f>
        <v/>
      </c>
      <c r="E77" s="8">
        <f>SUMIFS(Egresos!H:H,Egresos!B:B,"&gt;="&amp;DATE(C77,B77,1),Egresos!B:B,"&lt;"&amp;EDATE(DATE(C77,B77,1),1))+SUMIFS(Gastos_Mensuales!H:H,Gastos_Mensuales!B:B,B77,Gastos_Mensuales!C:C,C77)+SUMIFS(Impuestos!I:I,Impuestos!B:B,B77,Impuestos!C:C,C77)</f>
        <v/>
      </c>
      <c r="F77" s="8">
        <f>D77-E77</f>
        <v/>
      </c>
      <c r="G77" s="11">
        <f>IFERROR(F77/D77,0)</f>
        <v/>
      </c>
      <c r="H77" s="2">
        <f>COUNTIFS(Cotizaciones!J:J,"Enviada",Cotizaciones!B:B,"&gt;="&amp;DATE(C77,B77,1),Cotizaciones!B:B,"&lt;"&amp;EDATE(DATE(C77,B77,1),1))</f>
        <v/>
      </c>
      <c r="I77" s="2">
        <f>COUNTIFS(Cotizaciones!J:J,"Aprobada",Cotizaciones!B:B,"&gt;="&amp;DATE(C77,B77,1),Cotizaciones!B:B,"&lt;"&amp;EDATE(DATE(C77,B77,1),1))</f>
        <v/>
      </c>
      <c r="J77" s="11">
        <f>IFERROR(I77/H77,0)</f>
        <v/>
      </c>
      <c r="K77" s="8">
        <f>MAX(0,SUM($F$2:F77))</f>
        <v/>
      </c>
      <c r="L77" s="11">
        <f>IFERROR(K77/Configuracion!$K$2,0)</f>
        <v/>
      </c>
      <c r="M77" s="8">
        <f>SUMIFS(Flujo_Caja!H:H,Flujo_Caja!B:B,B77,Flujo_Caja!C:C,C77)</f>
        <v/>
      </c>
      <c r="N77" s="2" t="n"/>
    </row>
    <row r="78">
      <c r="A78" s="2" t="n"/>
      <c r="B78" s="2" t="n"/>
      <c r="C78" s="2" t="n"/>
      <c r="D78" s="8">
        <f>SUMIFS(Ingresos!J:J,Ingresos!D:D,"&gt;="&amp;DATE(C78,B78,1),Ingresos!D:D,"&lt;"&amp;EDATE(DATE(C78,B78,1),1))</f>
        <v/>
      </c>
      <c r="E78" s="8">
        <f>SUMIFS(Egresos!H:H,Egresos!B:B,"&gt;="&amp;DATE(C78,B78,1),Egresos!B:B,"&lt;"&amp;EDATE(DATE(C78,B78,1),1))+SUMIFS(Gastos_Mensuales!H:H,Gastos_Mensuales!B:B,B78,Gastos_Mensuales!C:C,C78)+SUMIFS(Impuestos!I:I,Impuestos!B:B,B78,Impuestos!C:C,C78)</f>
        <v/>
      </c>
      <c r="F78" s="8">
        <f>D78-E78</f>
        <v/>
      </c>
      <c r="G78" s="11">
        <f>IFERROR(F78/D78,0)</f>
        <v/>
      </c>
      <c r="H78" s="2">
        <f>COUNTIFS(Cotizaciones!J:J,"Enviada",Cotizaciones!B:B,"&gt;="&amp;DATE(C78,B78,1),Cotizaciones!B:B,"&lt;"&amp;EDATE(DATE(C78,B78,1),1))</f>
        <v/>
      </c>
      <c r="I78" s="2">
        <f>COUNTIFS(Cotizaciones!J:J,"Aprobada",Cotizaciones!B:B,"&gt;="&amp;DATE(C78,B78,1),Cotizaciones!B:B,"&lt;"&amp;EDATE(DATE(C78,B78,1),1))</f>
        <v/>
      </c>
      <c r="J78" s="11">
        <f>IFERROR(I78/H78,0)</f>
        <v/>
      </c>
      <c r="K78" s="8">
        <f>MAX(0,SUM($F$2:F78))</f>
        <v/>
      </c>
      <c r="L78" s="11">
        <f>IFERROR(K78/Configuracion!$K$2,0)</f>
        <v/>
      </c>
      <c r="M78" s="8">
        <f>SUMIFS(Flujo_Caja!H:H,Flujo_Caja!B:B,B78,Flujo_Caja!C:C,C78)</f>
        <v/>
      </c>
      <c r="N78" s="2" t="n"/>
    </row>
    <row r="79">
      <c r="A79" s="2" t="n"/>
      <c r="B79" s="2" t="n"/>
      <c r="C79" s="2" t="n"/>
      <c r="D79" s="8">
        <f>SUMIFS(Ingresos!J:J,Ingresos!D:D,"&gt;="&amp;DATE(C79,B79,1),Ingresos!D:D,"&lt;"&amp;EDATE(DATE(C79,B79,1),1))</f>
        <v/>
      </c>
      <c r="E79" s="8">
        <f>SUMIFS(Egresos!H:H,Egresos!B:B,"&gt;="&amp;DATE(C79,B79,1),Egresos!B:B,"&lt;"&amp;EDATE(DATE(C79,B79,1),1))+SUMIFS(Gastos_Mensuales!H:H,Gastos_Mensuales!B:B,B79,Gastos_Mensuales!C:C,C79)+SUMIFS(Impuestos!I:I,Impuestos!B:B,B79,Impuestos!C:C,C79)</f>
        <v/>
      </c>
      <c r="F79" s="8">
        <f>D79-E79</f>
        <v/>
      </c>
      <c r="G79" s="11">
        <f>IFERROR(F79/D79,0)</f>
        <v/>
      </c>
      <c r="H79" s="2">
        <f>COUNTIFS(Cotizaciones!J:J,"Enviada",Cotizaciones!B:B,"&gt;="&amp;DATE(C79,B79,1),Cotizaciones!B:B,"&lt;"&amp;EDATE(DATE(C79,B79,1),1))</f>
        <v/>
      </c>
      <c r="I79" s="2">
        <f>COUNTIFS(Cotizaciones!J:J,"Aprobada",Cotizaciones!B:B,"&gt;="&amp;DATE(C79,B79,1),Cotizaciones!B:B,"&lt;"&amp;EDATE(DATE(C79,B79,1),1))</f>
        <v/>
      </c>
      <c r="J79" s="11">
        <f>IFERROR(I79/H79,0)</f>
        <v/>
      </c>
      <c r="K79" s="8">
        <f>MAX(0,SUM($F$2:F79))</f>
        <v/>
      </c>
      <c r="L79" s="11">
        <f>IFERROR(K79/Configuracion!$K$2,0)</f>
        <v/>
      </c>
      <c r="M79" s="8">
        <f>SUMIFS(Flujo_Caja!H:H,Flujo_Caja!B:B,B79,Flujo_Caja!C:C,C79)</f>
        <v/>
      </c>
      <c r="N79" s="2" t="n"/>
    </row>
    <row r="80">
      <c r="A80" s="2" t="n"/>
      <c r="B80" s="2" t="n"/>
      <c r="C80" s="2" t="n"/>
      <c r="D80" s="8">
        <f>SUMIFS(Ingresos!J:J,Ingresos!D:D,"&gt;="&amp;DATE(C80,B80,1),Ingresos!D:D,"&lt;"&amp;EDATE(DATE(C80,B80,1),1))</f>
        <v/>
      </c>
      <c r="E80" s="8">
        <f>SUMIFS(Egresos!H:H,Egresos!B:B,"&gt;="&amp;DATE(C80,B80,1),Egresos!B:B,"&lt;"&amp;EDATE(DATE(C80,B80,1),1))+SUMIFS(Gastos_Mensuales!H:H,Gastos_Mensuales!B:B,B80,Gastos_Mensuales!C:C,C80)+SUMIFS(Impuestos!I:I,Impuestos!B:B,B80,Impuestos!C:C,C80)</f>
        <v/>
      </c>
      <c r="F80" s="8">
        <f>D80-E80</f>
        <v/>
      </c>
      <c r="G80" s="11">
        <f>IFERROR(F80/D80,0)</f>
        <v/>
      </c>
      <c r="H80" s="2">
        <f>COUNTIFS(Cotizaciones!J:J,"Enviada",Cotizaciones!B:B,"&gt;="&amp;DATE(C80,B80,1),Cotizaciones!B:B,"&lt;"&amp;EDATE(DATE(C80,B80,1),1))</f>
        <v/>
      </c>
      <c r="I80" s="2">
        <f>COUNTIFS(Cotizaciones!J:J,"Aprobada",Cotizaciones!B:B,"&gt;="&amp;DATE(C80,B80,1),Cotizaciones!B:B,"&lt;"&amp;EDATE(DATE(C80,B80,1),1))</f>
        <v/>
      </c>
      <c r="J80" s="11">
        <f>IFERROR(I80/H80,0)</f>
        <v/>
      </c>
      <c r="K80" s="8">
        <f>MAX(0,SUM($F$2:F80))</f>
        <v/>
      </c>
      <c r="L80" s="11">
        <f>IFERROR(K80/Configuracion!$K$2,0)</f>
        <v/>
      </c>
      <c r="M80" s="8">
        <f>SUMIFS(Flujo_Caja!H:H,Flujo_Caja!B:B,B80,Flujo_Caja!C:C,C80)</f>
        <v/>
      </c>
      <c r="N80" s="2" t="n"/>
    </row>
    <row r="81">
      <c r="A81" s="2" t="n"/>
      <c r="B81" s="2" t="n"/>
      <c r="C81" s="2" t="n"/>
      <c r="D81" s="8">
        <f>SUMIFS(Ingresos!J:J,Ingresos!D:D,"&gt;="&amp;DATE(C81,B81,1),Ingresos!D:D,"&lt;"&amp;EDATE(DATE(C81,B81,1),1))</f>
        <v/>
      </c>
      <c r="E81" s="8">
        <f>SUMIFS(Egresos!H:H,Egresos!B:B,"&gt;="&amp;DATE(C81,B81,1),Egresos!B:B,"&lt;"&amp;EDATE(DATE(C81,B81,1),1))+SUMIFS(Gastos_Mensuales!H:H,Gastos_Mensuales!B:B,B81,Gastos_Mensuales!C:C,C81)+SUMIFS(Impuestos!I:I,Impuestos!B:B,B81,Impuestos!C:C,C81)</f>
        <v/>
      </c>
      <c r="F81" s="8">
        <f>D81-E81</f>
        <v/>
      </c>
      <c r="G81" s="11">
        <f>IFERROR(F81/D81,0)</f>
        <v/>
      </c>
      <c r="H81" s="2">
        <f>COUNTIFS(Cotizaciones!J:J,"Enviada",Cotizaciones!B:B,"&gt;="&amp;DATE(C81,B81,1),Cotizaciones!B:B,"&lt;"&amp;EDATE(DATE(C81,B81,1),1))</f>
        <v/>
      </c>
      <c r="I81" s="2">
        <f>COUNTIFS(Cotizaciones!J:J,"Aprobada",Cotizaciones!B:B,"&gt;="&amp;DATE(C81,B81,1),Cotizaciones!B:B,"&lt;"&amp;EDATE(DATE(C81,B81,1),1))</f>
        <v/>
      </c>
      <c r="J81" s="11">
        <f>IFERROR(I81/H81,0)</f>
        <v/>
      </c>
      <c r="K81" s="8">
        <f>MAX(0,SUM($F$2:F81))</f>
        <v/>
      </c>
      <c r="L81" s="11">
        <f>IFERROR(K81/Configuracion!$K$2,0)</f>
        <v/>
      </c>
      <c r="M81" s="8">
        <f>SUMIFS(Flujo_Caja!H:H,Flujo_Caja!B:B,B81,Flujo_Caja!C:C,C81)</f>
        <v/>
      </c>
      <c r="N81" s="2" t="n"/>
    </row>
    <row r="82">
      <c r="A82" s="2" t="n"/>
      <c r="B82" s="2" t="n"/>
      <c r="C82" s="2" t="n"/>
      <c r="D82" s="8">
        <f>SUMIFS(Ingresos!J:J,Ingresos!D:D,"&gt;="&amp;DATE(C82,B82,1),Ingresos!D:D,"&lt;"&amp;EDATE(DATE(C82,B82,1),1))</f>
        <v/>
      </c>
      <c r="E82" s="8">
        <f>SUMIFS(Egresos!H:H,Egresos!B:B,"&gt;="&amp;DATE(C82,B82,1),Egresos!B:B,"&lt;"&amp;EDATE(DATE(C82,B82,1),1))+SUMIFS(Gastos_Mensuales!H:H,Gastos_Mensuales!B:B,B82,Gastos_Mensuales!C:C,C82)+SUMIFS(Impuestos!I:I,Impuestos!B:B,B82,Impuestos!C:C,C82)</f>
        <v/>
      </c>
      <c r="F82" s="8">
        <f>D82-E82</f>
        <v/>
      </c>
      <c r="G82" s="11">
        <f>IFERROR(F82/D82,0)</f>
        <v/>
      </c>
      <c r="H82" s="2">
        <f>COUNTIFS(Cotizaciones!J:J,"Enviada",Cotizaciones!B:B,"&gt;="&amp;DATE(C82,B82,1),Cotizaciones!B:B,"&lt;"&amp;EDATE(DATE(C82,B82,1),1))</f>
        <v/>
      </c>
      <c r="I82" s="2">
        <f>COUNTIFS(Cotizaciones!J:J,"Aprobada",Cotizaciones!B:B,"&gt;="&amp;DATE(C82,B82,1),Cotizaciones!B:B,"&lt;"&amp;EDATE(DATE(C82,B82,1),1))</f>
        <v/>
      </c>
      <c r="J82" s="11">
        <f>IFERROR(I82/H82,0)</f>
        <v/>
      </c>
      <c r="K82" s="8">
        <f>MAX(0,SUM($F$2:F82))</f>
        <v/>
      </c>
      <c r="L82" s="11">
        <f>IFERROR(K82/Configuracion!$K$2,0)</f>
        <v/>
      </c>
      <c r="M82" s="8">
        <f>SUMIFS(Flujo_Caja!H:H,Flujo_Caja!B:B,B82,Flujo_Caja!C:C,C82)</f>
        <v/>
      </c>
      <c r="N82" s="2" t="n"/>
    </row>
    <row r="83">
      <c r="A83" s="2" t="n"/>
      <c r="B83" s="2" t="n"/>
      <c r="C83" s="2" t="n"/>
      <c r="D83" s="8">
        <f>SUMIFS(Ingresos!J:J,Ingresos!D:D,"&gt;="&amp;DATE(C83,B83,1),Ingresos!D:D,"&lt;"&amp;EDATE(DATE(C83,B83,1),1))</f>
        <v/>
      </c>
      <c r="E83" s="8">
        <f>SUMIFS(Egresos!H:H,Egresos!B:B,"&gt;="&amp;DATE(C83,B83,1),Egresos!B:B,"&lt;"&amp;EDATE(DATE(C83,B83,1),1))+SUMIFS(Gastos_Mensuales!H:H,Gastos_Mensuales!B:B,B83,Gastos_Mensuales!C:C,C83)+SUMIFS(Impuestos!I:I,Impuestos!B:B,B83,Impuestos!C:C,C83)</f>
        <v/>
      </c>
      <c r="F83" s="8">
        <f>D83-E83</f>
        <v/>
      </c>
      <c r="G83" s="11">
        <f>IFERROR(F83/D83,0)</f>
        <v/>
      </c>
      <c r="H83" s="2">
        <f>COUNTIFS(Cotizaciones!J:J,"Enviada",Cotizaciones!B:B,"&gt;="&amp;DATE(C83,B83,1),Cotizaciones!B:B,"&lt;"&amp;EDATE(DATE(C83,B83,1),1))</f>
        <v/>
      </c>
      <c r="I83" s="2">
        <f>COUNTIFS(Cotizaciones!J:J,"Aprobada",Cotizaciones!B:B,"&gt;="&amp;DATE(C83,B83,1),Cotizaciones!B:B,"&lt;"&amp;EDATE(DATE(C83,B83,1),1))</f>
        <v/>
      </c>
      <c r="J83" s="11">
        <f>IFERROR(I83/H83,0)</f>
        <v/>
      </c>
      <c r="K83" s="8">
        <f>MAX(0,SUM($F$2:F83))</f>
        <v/>
      </c>
      <c r="L83" s="11">
        <f>IFERROR(K83/Configuracion!$K$2,0)</f>
        <v/>
      </c>
      <c r="M83" s="8">
        <f>SUMIFS(Flujo_Caja!H:H,Flujo_Caja!B:B,B83,Flujo_Caja!C:C,C83)</f>
        <v/>
      </c>
      <c r="N83" s="2" t="n"/>
    </row>
    <row r="84">
      <c r="A84" s="2" t="n"/>
      <c r="B84" s="2" t="n"/>
      <c r="C84" s="2" t="n"/>
      <c r="D84" s="8">
        <f>SUMIFS(Ingresos!J:J,Ingresos!D:D,"&gt;="&amp;DATE(C84,B84,1),Ingresos!D:D,"&lt;"&amp;EDATE(DATE(C84,B84,1),1))</f>
        <v/>
      </c>
      <c r="E84" s="8">
        <f>SUMIFS(Egresos!H:H,Egresos!B:B,"&gt;="&amp;DATE(C84,B84,1),Egresos!B:B,"&lt;"&amp;EDATE(DATE(C84,B84,1),1))+SUMIFS(Gastos_Mensuales!H:H,Gastos_Mensuales!B:B,B84,Gastos_Mensuales!C:C,C84)+SUMIFS(Impuestos!I:I,Impuestos!B:B,B84,Impuestos!C:C,C84)</f>
        <v/>
      </c>
      <c r="F84" s="8">
        <f>D84-E84</f>
        <v/>
      </c>
      <c r="G84" s="11">
        <f>IFERROR(F84/D84,0)</f>
        <v/>
      </c>
      <c r="H84" s="2">
        <f>COUNTIFS(Cotizaciones!J:J,"Enviada",Cotizaciones!B:B,"&gt;="&amp;DATE(C84,B84,1),Cotizaciones!B:B,"&lt;"&amp;EDATE(DATE(C84,B84,1),1))</f>
        <v/>
      </c>
      <c r="I84" s="2">
        <f>COUNTIFS(Cotizaciones!J:J,"Aprobada",Cotizaciones!B:B,"&gt;="&amp;DATE(C84,B84,1),Cotizaciones!B:B,"&lt;"&amp;EDATE(DATE(C84,B84,1),1))</f>
        <v/>
      </c>
      <c r="J84" s="11">
        <f>IFERROR(I84/H84,0)</f>
        <v/>
      </c>
      <c r="K84" s="8">
        <f>MAX(0,SUM($F$2:F84))</f>
        <v/>
      </c>
      <c r="L84" s="11">
        <f>IFERROR(K84/Configuracion!$K$2,0)</f>
        <v/>
      </c>
      <c r="M84" s="8">
        <f>SUMIFS(Flujo_Caja!H:H,Flujo_Caja!B:B,B84,Flujo_Caja!C:C,C84)</f>
        <v/>
      </c>
      <c r="N84" s="2" t="n"/>
    </row>
    <row r="85">
      <c r="A85" s="2" t="n"/>
      <c r="B85" s="2" t="n"/>
      <c r="C85" s="2" t="n"/>
      <c r="D85" s="8">
        <f>SUMIFS(Ingresos!J:J,Ingresos!D:D,"&gt;="&amp;DATE(C85,B85,1),Ingresos!D:D,"&lt;"&amp;EDATE(DATE(C85,B85,1),1))</f>
        <v/>
      </c>
      <c r="E85" s="8">
        <f>SUMIFS(Egresos!H:H,Egresos!B:B,"&gt;="&amp;DATE(C85,B85,1),Egresos!B:B,"&lt;"&amp;EDATE(DATE(C85,B85,1),1))+SUMIFS(Gastos_Mensuales!H:H,Gastos_Mensuales!B:B,B85,Gastos_Mensuales!C:C,C85)+SUMIFS(Impuestos!I:I,Impuestos!B:B,B85,Impuestos!C:C,C85)</f>
        <v/>
      </c>
      <c r="F85" s="8">
        <f>D85-E85</f>
        <v/>
      </c>
      <c r="G85" s="11">
        <f>IFERROR(F85/D85,0)</f>
        <v/>
      </c>
      <c r="H85" s="2">
        <f>COUNTIFS(Cotizaciones!J:J,"Enviada",Cotizaciones!B:B,"&gt;="&amp;DATE(C85,B85,1),Cotizaciones!B:B,"&lt;"&amp;EDATE(DATE(C85,B85,1),1))</f>
        <v/>
      </c>
      <c r="I85" s="2">
        <f>COUNTIFS(Cotizaciones!J:J,"Aprobada",Cotizaciones!B:B,"&gt;="&amp;DATE(C85,B85,1),Cotizaciones!B:B,"&lt;"&amp;EDATE(DATE(C85,B85,1),1))</f>
        <v/>
      </c>
      <c r="J85" s="11">
        <f>IFERROR(I85/H85,0)</f>
        <v/>
      </c>
      <c r="K85" s="8">
        <f>MAX(0,SUM($F$2:F85))</f>
        <v/>
      </c>
      <c r="L85" s="11">
        <f>IFERROR(K85/Configuracion!$K$2,0)</f>
        <v/>
      </c>
      <c r="M85" s="8">
        <f>SUMIFS(Flujo_Caja!H:H,Flujo_Caja!B:B,B85,Flujo_Caja!C:C,C85)</f>
        <v/>
      </c>
      <c r="N85" s="2" t="n"/>
    </row>
    <row r="86">
      <c r="A86" s="2" t="n"/>
      <c r="B86" s="2" t="n"/>
      <c r="C86" s="2" t="n"/>
      <c r="D86" s="8">
        <f>SUMIFS(Ingresos!J:J,Ingresos!D:D,"&gt;="&amp;DATE(C86,B86,1),Ingresos!D:D,"&lt;"&amp;EDATE(DATE(C86,B86,1),1))</f>
        <v/>
      </c>
      <c r="E86" s="8">
        <f>SUMIFS(Egresos!H:H,Egresos!B:B,"&gt;="&amp;DATE(C86,B86,1),Egresos!B:B,"&lt;"&amp;EDATE(DATE(C86,B86,1),1))+SUMIFS(Gastos_Mensuales!H:H,Gastos_Mensuales!B:B,B86,Gastos_Mensuales!C:C,C86)+SUMIFS(Impuestos!I:I,Impuestos!B:B,B86,Impuestos!C:C,C86)</f>
        <v/>
      </c>
      <c r="F86" s="8">
        <f>D86-E86</f>
        <v/>
      </c>
      <c r="G86" s="11">
        <f>IFERROR(F86/D86,0)</f>
        <v/>
      </c>
      <c r="H86" s="2">
        <f>COUNTIFS(Cotizaciones!J:J,"Enviada",Cotizaciones!B:B,"&gt;="&amp;DATE(C86,B86,1),Cotizaciones!B:B,"&lt;"&amp;EDATE(DATE(C86,B86,1),1))</f>
        <v/>
      </c>
      <c r="I86" s="2">
        <f>COUNTIFS(Cotizaciones!J:J,"Aprobada",Cotizaciones!B:B,"&gt;="&amp;DATE(C86,B86,1),Cotizaciones!B:B,"&lt;"&amp;EDATE(DATE(C86,B86,1),1))</f>
        <v/>
      </c>
      <c r="J86" s="11">
        <f>IFERROR(I86/H86,0)</f>
        <v/>
      </c>
      <c r="K86" s="8">
        <f>MAX(0,SUM($F$2:F86))</f>
        <v/>
      </c>
      <c r="L86" s="11">
        <f>IFERROR(K86/Configuracion!$K$2,0)</f>
        <v/>
      </c>
      <c r="M86" s="8">
        <f>SUMIFS(Flujo_Caja!H:H,Flujo_Caja!B:B,B86,Flujo_Caja!C:C,C86)</f>
        <v/>
      </c>
      <c r="N86" s="2" t="n"/>
    </row>
    <row r="87">
      <c r="A87" s="2" t="n"/>
      <c r="B87" s="2" t="n"/>
      <c r="C87" s="2" t="n"/>
      <c r="D87" s="8">
        <f>SUMIFS(Ingresos!J:J,Ingresos!D:D,"&gt;="&amp;DATE(C87,B87,1),Ingresos!D:D,"&lt;"&amp;EDATE(DATE(C87,B87,1),1))</f>
        <v/>
      </c>
      <c r="E87" s="8">
        <f>SUMIFS(Egresos!H:H,Egresos!B:B,"&gt;="&amp;DATE(C87,B87,1),Egresos!B:B,"&lt;"&amp;EDATE(DATE(C87,B87,1),1))+SUMIFS(Gastos_Mensuales!H:H,Gastos_Mensuales!B:B,B87,Gastos_Mensuales!C:C,C87)+SUMIFS(Impuestos!I:I,Impuestos!B:B,B87,Impuestos!C:C,C87)</f>
        <v/>
      </c>
      <c r="F87" s="8">
        <f>D87-E87</f>
        <v/>
      </c>
      <c r="G87" s="11">
        <f>IFERROR(F87/D87,0)</f>
        <v/>
      </c>
      <c r="H87" s="2">
        <f>COUNTIFS(Cotizaciones!J:J,"Enviada",Cotizaciones!B:B,"&gt;="&amp;DATE(C87,B87,1),Cotizaciones!B:B,"&lt;"&amp;EDATE(DATE(C87,B87,1),1))</f>
        <v/>
      </c>
      <c r="I87" s="2">
        <f>COUNTIFS(Cotizaciones!J:J,"Aprobada",Cotizaciones!B:B,"&gt;="&amp;DATE(C87,B87,1),Cotizaciones!B:B,"&lt;"&amp;EDATE(DATE(C87,B87,1),1))</f>
        <v/>
      </c>
      <c r="J87" s="11">
        <f>IFERROR(I87/H87,0)</f>
        <v/>
      </c>
      <c r="K87" s="8">
        <f>MAX(0,SUM($F$2:F87))</f>
        <v/>
      </c>
      <c r="L87" s="11">
        <f>IFERROR(K87/Configuracion!$K$2,0)</f>
        <v/>
      </c>
      <c r="M87" s="8">
        <f>SUMIFS(Flujo_Caja!H:H,Flujo_Caja!B:B,B87,Flujo_Caja!C:C,C87)</f>
        <v/>
      </c>
      <c r="N87" s="2" t="n"/>
    </row>
    <row r="88">
      <c r="A88" s="2" t="n"/>
      <c r="B88" s="2" t="n"/>
      <c r="C88" s="2" t="n"/>
      <c r="D88" s="8">
        <f>SUMIFS(Ingresos!J:J,Ingresos!D:D,"&gt;="&amp;DATE(C88,B88,1),Ingresos!D:D,"&lt;"&amp;EDATE(DATE(C88,B88,1),1))</f>
        <v/>
      </c>
      <c r="E88" s="8">
        <f>SUMIFS(Egresos!H:H,Egresos!B:B,"&gt;="&amp;DATE(C88,B88,1),Egresos!B:B,"&lt;"&amp;EDATE(DATE(C88,B88,1),1))+SUMIFS(Gastos_Mensuales!H:H,Gastos_Mensuales!B:B,B88,Gastos_Mensuales!C:C,C88)+SUMIFS(Impuestos!I:I,Impuestos!B:B,B88,Impuestos!C:C,C88)</f>
        <v/>
      </c>
      <c r="F88" s="8">
        <f>D88-E88</f>
        <v/>
      </c>
      <c r="G88" s="11">
        <f>IFERROR(F88/D88,0)</f>
        <v/>
      </c>
      <c r="H88" s="2">
        <f>COUNTIFS(Cotizaciones!J:J,"Enviada",Cotizaciones!B:B,"&gt;="&amp;DATE(C88,B88,1),Cotizaciones!B:B,"&lt;"&amp;EDATE(DATE(C88,B88,1),1))</f>
        <v/>
      </c>
      <c r="I88" s="2">
        <f>COUNTIFS(Cotizaciones!J:J,"Aprobada",Cotizaciones!B:B,"&gt;="&amp;DATE(C88,B88,1),Cotizaciones!B:B,"&lt;"&amp;EDATE(DATE(C88,B88,1),1))</f>
        <v/>
      </c>
      <c r="J88" s="11">
        <f>IFERROR(I88/H88,0)</f>
        <v/>
      </c>
      <c r="K88" s="8">
        <f>MAX(0,SUM($F$2:F88))</f>
        <v/>
      </c>
      <c r="L88" s="11">
        <f>IFERROR(K88/Configuracion!$K$2,0)</f>
        <v/>
      </c>
      <c r="M88" s="8">
        <f>SUMIFS(Flujo_Caja!H:H,Flujo_Caja!B:B,B88,Flujo_Caja!C:C,C88)</f>
        <v/>
      </c>
      <c r="N88" s="2" t="n"/>
    </row>
    <row r="89">
      <c r="A89" s="2" t="n"/>
      <c r="B89" s="2" t="n"/>
      <c r="C89" s="2" t="n"/>
      <c r="D89" s="8">
        <f>SUMIFS(Ingresos!J:J,Ingresos!D:D,"&gt;="&amp;DATE(C89,B89,1),Ingresos!D:D,"&lt;"&amp;EDATE(DATE(C89,B89,1),1))</f>
        <v/>
      </c>
      <c r="E89" s="8">
        <f>SUMIFS(Egresos!H:H,Egresos!B:B,"&gt;="&amp;DATE(C89,B89,1),Egresos!B:B,"&lt;"&amp;EDATE(DATE(C89,B89,1),1))+SUMIFS(Gastos_Mensuales!H:H,Gastos_Mensuales!B:B,B89,Gastos_Mensuales!C:C,C89)+SUMIFS(Impuestos!I:I,Impuestos!B:B,B89,Impuestos!C:C,C89)</f>
        <v/>
      </c>
      <c r="F89" s="8">
        <f>D89-E89</f>
        <v/>
      </c>
      <c r="G89" s="11">
        <f>IFERROR(F89/D89,0)</f>
        <v/>
      </c>
      <c r="H89" s="2">
        <f>COUNTIFS(Cotizaciones!J:J,"Enviada",Cotizaciones!B:B,"&gt;="&amp;DATE(C89,B89,1),Cotizaciones!B:B,"&lt;"&amp;EDATE(DATE(C89,B89,1),1))</f>
        <v/>
      </c>
      <c r="I89" s="2">
        <f>COUNTIFS(Cotizaciones!J:J,"Aprobada",Cotizaciones!B:B,"&gt;="&amp;DATE(C89,B89,1),Cotizaciones!B:B,"&lt;"&amp;EDATE(DATE(C89,B89,1),1))</f>
        <v/>
      </c>
      <c r="J89" s="11">
        <f>IFERROR(I89/H89,0)</f>
        <v/>
      </c>
      <c r="K89" s="8">
        <f>MAX(0,SUM($F$2:F89))</f>
        <v/>
      </c>
      <c r="L89" s="11">
        <f>IFERROR(K89/Configuracion!$K$2,0)</f>
        <v/>
      </c>
      <c r="M89" s="8">
        <f>SUMIFS(Flujo_Caja!H:H,Flujo_Caja!B:B,B89,Flujo_Caja!C:C,C89)</f>
        <v/>
      </c>
      <c r="N89" s="2" t="n"/>
    </row>
    <row r="90">
      <c r="A90" s="2" t="n"/>
      <c r="B90" s="2" t="n"/>
      <c r="C90" s="2" t="n"/>
      <c r="D90" s="8">
        <f>SUMIFS(Ingresos!J:J,Ingresos!D:D,"&gt;="&amp;DATE(C90,B90,1),Ingresos!D:D,"&lt;"&amp;EDATE(DATE(C90,B90,1),1))</f>
        <v/>
      </c>
      <c r="E90" s="8">
        <f>SUMIFS(Egresos!H:H,Egresos!B:B,"&gt;="&amp;DATE(C90,B90,1),Egresos!B:B,"&lt;"&amp;EDATE(DATE(C90,B90,1),1))+SUMIFS(Gastos_Mensuales!H:H,Gastos_Mensuales!B:B,B90,Gastos_Mensuales!C:C,C90)+SUMIFS(Impuestos!I:I,Impuestos!B:B,B90,Impuestos!C:C,C90)</f>
        <v/>
      </c>
      <c r="F90" s="8">
        <f>D90-E90</f>
        <v/>
      </c>
      <c r="G90" s="11">
        <f>IFERROR(F90/D90,0)</f>
        <v/>
      </c>
      <c r="H90" s="2">
        <f>COUNTIFS(Cotizaciones!J:J,"Enviada",Cotizaciones!B:B,"&gt;="&amp;DATE(C90,B90,1),Cotizaciones!B:B,"&lt;"&amp;EDATE(DATE(C90,B90,1),1))</f>
        <v/>
      </c>
      <c r="I90" s="2">
        <f>COUNTIFS(Cotizaciones!J:J,"Aprobada",Cotizaciones!B:B,"&gt;="&amp;DATE(C90,B90,1),Cotizaciones!B:B,"&lt;"&amp;EDATE(DATE(C90,B90,1),1))</f>
        <v/>
      </c>
      <c r="J90" s="11">
        <f>IFERROR(I90/H90,0)</f>
        <v/>
      </c>
      <c r="K90" s="8">
        <f>MAX(0,SUM($F$2:F90))</f>
        <v/>
      </c>
      <c r="L90" s="11">
        <f>IFERROR(K90/Configuracion!$K$2,0)</f>
        <v/>
      </c>
      <c r="M90" s="8">
        <f>SUMIFS(Flujo_Caja!H:H,Flujo_Caja!B:B,B90,Flujo_Caja!C:C,C90)</f>
        <v/>
      </c>
      <c r="N90" s="2" t="n"/>
    </row>
    <row r="91">
      <c r="A91" s="2" t="n"/>
      <c r="B91" s="2" t="n"/>
      <c r="C91" s="2" t="n"/>
      <c r="D91" s="8">
        <f>SUMIFS(Ingresos!J:J,Ingresos!D:D,"&gt;="&amp;DATE(C91,B91,1),Ingresos!D:D,"&lt;"&amp;EDATE(DATE(C91,B91,1),1))</f>
        <v/>
      </c>
      <c r="E91" s="8">
        <f>SUMIFS(Egresos!H:H,Egresos!B:B,"&gt;="&amp;DATE(C91,B91,1),Egresos!B:B,"&lt;"&amp;EDATE(DATE(C91,B91,1),1))+SUMIFS(Gastos_Mensuales!H:H,Gastos_Mensuales!B:B,B91,Gastos_Mensuales!C:C,C91)+SUMIFS(Impuestos!I:I,Impuestos!B:B,B91,Impuestos!C:C,C91)</f>
        <v/>
      </c>
      <c r="F91" s="8">
        <f>D91-E91</f>
        <v/>
      </c>
      <c r="G91" s="11">
        <f>IFERROR(F91/D91,0)</f>
        <v/>
      </c>
      <c r="H91" s="2">
        <f>COUNTIFS(Cotizaciones!J:J,"Enviada",Cotizaciones!B:B,"&gt;="&amp;DATE(C91,B91,1),Cotizaciones!B:B,"&lt;"&amp;EDATE(DATE(C91,B91,1),1))</f>
        <v/>
      </c>
      <c r="I91" s="2">
        <f>COUNTIFS(Cotizaciones!J:J,"Aprobada",Cotizaciones!B:B,"&gt;="&amp;DATE(C91,B91,1),Cotizaciones!B:B,"&lt;"&amp;EDATE(DATE(C91,B91,1),1))</f>
        <v/>
      </c>
      <c r="J91" s="11">
        <f>IFERROR(I91/H91,0)</f>
        <v/>
      </c>
      <c r="K91" s="8">
        <f>MAX(0,SUM($F$2:F91))</f>
        <v/>
      </c>
      <c r="L91" s="11">
        <f>IFERROR(K91/Configuracion!$K$2,0)</f>
        <v/>
      </c>
      <c r="M91" s="8">
        <f>SUMIFS(Flujo_Caja!H:H,Flujo_Caja!B:B,B91,Flujo_Caja!C:C,C91)</f>
        <v/>
      </c>
      <c r="N91" s="2" t="n"/>
    </row>
    <row r="92">
      <c r="A92" s="2" t="n"/>
      <c r="B92" s="2" t="n"/>
      <c r="C92" s="2" t="n"/>
      <c r="D92" s="8">
        <f>SUMIFS(Ingresos!J:J,Ingresos!D:D,"&gt;="&amp;DATE(C92,B92,1),Ingresos!D:D,"&lt;"&amp;EDATE(DATE(C92,B92,1),1))</f>
        <v/>
      </c>
      <c r="E92" s="8">
        <f>SUMIFS(Egresos!H:H,Egresos!B:B,"&gt;="&amp;DATE(C92,B92,1),Egresos!B:B,"&lt;"&amp;EDATE(DATE(C92,B92,1),1))+SUMIFS(Gastos_Mensuales!H:H,Gastos_Mensuales!B:B,B92,Gastos_Mensuales!C:C,C92)+SUMIFS(Impuestos!I:I,Impuestos!B:B,B92,Impuestos!C:C,C92)</f>
        <v/>
      </c>
      <c r="F92" s="8">
        <f>D92-E92</f>
        <v/>
      </c>
      <c r="G92" s="11">
        <f>IFERROR(F92/D92,0)</f>
        <v/>
      </c>
      <c r="H92" s="2">
        <f>COUNTIFS(Cotizaciones!J:J,"Enviada",Cotizaciones!B:B,"&gt;="&amp;DATE(C92,B92,1),Cotizaciones!B:B,"&lt;"&amp;EDATE(DATE(C92,B92,1),1))</f>
        <v/>
      </c>
      <c r="I92" s="2">
        <f>COUNTIFS(Cotizaciones!J:J,"Aprobada",Cotizaciones!B:B,"&gt;="&amp;DATE(C92,B92,1),Cotizaciones!B:B,"&lt;"&amp;EDATE(DATE(C92,B92,1),1))</f>
        <v/>
      </c>
      <c r="J92" s="11">
        <f>IFERROR(I92/H92,0)</f>
        <v/>
      </c>
      <c r="K92" s="8">
        <f>MAX(0,SUM($F$2:F92))</f>
        <v/>
      </c>
      <c r="L92" s="11">
        <f>IFERROR(K92/Configuracion!$K$2,0)</f>
        <v/>
      </c>
      <c r="M92" s="8">
        <f>SUMIFS(Flujo_Caja!H:H,Flujo_Caja!B:B,B92,Flujo_Caja!C:C,C92)</f>
        <v/>
      </c>
      <c r="N92" s="2" t="n"/>
    </row>
    <row r="93">
      <c r="A93" s="2" t="n"/>
      <c r="B93" s="2" t="n"/>
      <c r="C93" s="2" t="n"/>
      <c r="D93" s="8">
        <f>SUMIFS(Ingresos!J:J,Ingresos!D:D,"&gt;="&amp;DATE(C93,B93,1),Ingresos!D:D,"&lt;"&amp;EDATE(DATE(C93,B93,1),1))</f>
        <v/>
      </c>
      <c r="E93" s="8">
        <f>SUMIFS(Egresos!H:H,Egresos!B:B,"&gt;="&amp;DATE(C93,B93,1),Egresos!B:B,"&lt;"&amp;EDATE(DATE(C93,B93,1),1))+SUMIFS(Gastos_Mensuales!H:H,Gastos_Mensuales!B:B,B93,Gastos_Mensuales!C:C,C93)+SUMIFS(Impuestos!I:I,Impuestos!B:B,B93,Impuestos!C:C,C93)</f>
        <v/>
      </c>
      <c r="F93" s="8">
        <f>D93-E93</f>
        <v/>
      </c>
      <c r="G93" s="11">
        <f>IFERROR(F93/D93,0)</f>
        <v/>
      </c>
      <c r="H93" s="2">
        <f>COUNTIFS(Cotizaciones!J:J,"Enviada",Cotizaciones!B:B,"&gt;="&amp;DATE(C93,B93,1),Cotizaciones!B:B,"&lt;"&amp;EDATE(DATE(C93,B93,1),1))</f>
        <v/>
      </c>
      <c r="I93" s="2">
        <f>COUNTIFS(Cotizaciones!J:J,"Aprobada",Cotizaciones!B:B,"&gt;="&amp;DATE(C93,B93,1),Cotizaciones!B:B,"&lt;"&amp;EDATE(DATE(C93,B93,1),1))</f>
        <v/>
      </c>
      <c r="J93" s="11">
        <f>IFERROR(I93/H93,0)</f>
        <v/>
      </c>
      <c r="K93" s="8">
        <f>MAX(0,SUM($F$2:F93))</f>
        <v/>
      </c>
      <c r="L93" s="11">
        <f>IFERROR(K93/Configuracion!$K$2,0)</f>
        <v/>
      </c>
      <c r="M93" s="8">
        <f>SUMIFS(Flujo_Caja!H:H,Flujo_Caja!B:B,B93,Flujo_Caja!C:C,C93)</f>
        <v/>
      </c>
      <c r="N93" s="2" t="n"/>
    </row>
    <row r="94">
      <c r="A94" s="2" t="n"/>
      <c r="B94" s="2" t="n"/>
      <c r="C94" s="2" t="n"/>
      <c r="D94" s="8">
        <f>SUMIFS(Ingresos!J:J,Ingresos!D:D,"&gt;="&amp;DATE(C94,B94,1),Ingresos!D:D,"&lt;"&amp;EDATE(DATE(C94,B94,1),1))</f>
        <v/>
      </c>
      <c r="E94" s="8">
        <f>SUMIFS(Egresos!H:H,Egresos!B:B,"&gt;="&amp;DATE(C94,B94,1),Egresos!B:B,"&lt;"&amp;EDATE(DATE(C94,B94,1),1))+SUMIFS(Gastos_Mensuales!H:H,Gastos_Mensuales!B:B,B94,Gastos_Mensuales!C:C,C94)+SUMIFS(Impuestos!I:I,Impuestos!B:B,B94,Impuestos!C:C,C94)</f>
        <v/>
      </c>
      <c r="F94" s="8">
        <f>D94-E94</f>
        <v/>
      </c>
      <c r="G94" s="11">
        <f>IFERROR(F94/D94,0)</f>
        <v/>
      </c>
      <c r="H94" s="2">
        <f>COUNTIFS(Cotizaciones!J:J,"Enviada",Cotizaciones!B:B,"&gt;="&amp;DATE(C94,B94,1),Cotizaciones!B:B,"&lt;"&amp;EDATE(DATE(C94,B94,1),1))</f>
        <v/>
      </c>
      <c r="I94" s="2">
        <f>COUNTIFS(Cotizaciones!J:J,"Aprobada",Cotizaciones!B:B,"&gt;="&amp;DATE(C94,B94,1),Cotizaciones!B:B,"&lt;"&amp;EDATE(DATE(C94,B94,1),1))</f>
        <v/>
      </c>
      <c r="J94" s="11">
        <f>IFERROR(I94/H94,0)</f>
        <v/>
      </c>
      <c r="K94" s="8">
        <f>MAX(0,SUM($F$2:F94))</f>
        <v/>
      </c>
      <c r="L94" s="11">
        <f>IFERROR(K94/Configuracion!$K$2,0)</f>
        <v/>
      </c>
      <c r="M94" s="8">
        <f>SUMIFS(Flujo_Caja!H:H,Flujo_Caja!B:B,B94,Flujo_Caja!C:C,C94)</f>
        <v/>
      </c>
      <c r="N94" s="2" t="n"/>
    </row>
    <row r="95">
      <c r="A95" s="2" t="n"/>
      <c r="B95" s="2" t="n"/>
      <c r="C95" s="2" t="n"/>
      <c r="D95" s="8">
        <f>SUMIFS(Ingresos!J:J,Ingresos!D:D,"&gt;="&amp;DATE(C95,B95,1),Ingresos!D:D,"&lt;"&amp;EDATE(DATE(C95,B95,1),1))</f>
        <v/>
      </c>
      <c r="E95" s="8">
        <f>SUMIFS(Egresos!H:H,Egresos!B:B,"&gt;="&amp;DATE(C95,B95,1),Egresos!B:B,"&lt;"&amp;EDATE(DATE(C95,B95,1),1))+SUMIFS(Gastos_Mensuales!H:H,Gastos_Mensuales!B:B,B95,Gastos_Mensuales!C:C,C95)+SUMIFS(Impuestos!I:I,Impuestos!B:B,B95,Impuestos!C:C,C95)</f>
        <v/>
      </c>
      <c r="F95" s="8">
        <f>D95-E95</f>
        <v/>
      </c>
      <c r="G95" s="11">
        <f>IFERROR(F95/D95,0)</f>
        <v/>
      </c>
      <c r="H95" s="2">
        <f>COUNTIFS(Cotizaciones!J:J,"Enviada",Cotizaciones!B:B,"&gt;="&amp;DATE(C95,B95,1),Cotizaciones!B:B,"&lt;"&amp;EDATE(DATE(C95,B95,1),1))</f>
        <v/>
      </c>
      <c r="I95" s="2">
        <f>COUNTIFS(Cotizaciones!J:J,"Aprobada",Cotizaciones!B:B,"&gt;="&amp;DATE(C95,B95,1),Cotizaciones!B:B,"&lt;"&amp;EDATE(DATE(C95,B95,1),1))</f>
        <v/>
      </c>
      <c r="J95" s="11">
        <f>IFERROR(I95/H95,0)</f>
        <v/>
      </c>
      <c r="K95" s="8">
        <f>MAX(0,SUM($F$2:F95))</f>
        <v/>
      </c>
      <c r="L95" s="11">
        <f>IFERROR(K95/Configuracion!$K$2,0)</f>
        <v/>
      </c>
      <c r="M95" s="8">
        <f>SUMIFS(Flujo_Caja!H:H,Flujo_Caja!B:B,B95,Flujo_Caja!C:C,C95)</f>
        <v/>
      </c>
      <c r="N95" s="2" t="n"/>
    </row>
    <row r="96">
      <c r="A96" s="2" t="n"/>
      <c r="B96" s="2" t="n"/>
      <c r="C96" s="2" t="n"/>
      <c r="D96" s="8">
        <f>SUMIFS(Ingresos!J:J,Ingresos!D:D,"&gt;="&amp;DATE(C96,B96,1),Ingresos!D:D,"&lt;"&amp;EDATE(DATE(C96,B96,1),1))</f>
        <v/>
      </c>
      <c r="E96" s="8">
        <f>SUMIFS(Egresos!H:H,Egresos!B:B,"&gt;="&amp;DATE(C96,B96,1),Egresos!B:B,"&lt;"&amp;EDATE(DATE(C96,B96,1),1))+SUMIFS(Gastos_Mensuales!H:H,Gastos_Mensuales!B:B,B96,Gastos_Mensuales!C:C,C96)+SUMIFS(Impuestos!I:I,Impuestos!B:B,B96,Impuestos!C:C,C96)</f>
        <v/>
      </c>
      <c r="F96" s="8">
        <f>D96-E96</f>
        <v/>
      </c>
      <c r="G96" s="11">
        <f>IFERROR(F96/D96,0)</f>
        <v/>
      </c>
      <c r="H96" s="2">
        <f>COUNTIFS(Cotizaciones!J:J,"Enviada",Cotizaciones!B:B,"&gt;="&amp;DATE(C96,B96,1),Cotizaciones!B:B,"&lt;"&amp;EDATE(DATE(C96,B96,1),1))</f>
        <v/>
      </c>
      <c r="I96" s="2">
        <f>COUNTIFS(Cotizaciones!J:J,"Aprobada",Cotizaciones!B:B,"&gt;="&amp;DATE(C96,B96,1),Cotizaciones!B:B,"&lt;"&amp;EDATE(DATE(C96,B96,1),1))</f>
        <v/>
      </c>
      <c r="J96" s="11">
        <f>IFERROR(I96/H96,0)</f>
        <v/>
      </c>
      <c r="K96" s="8">
        <f>MAX(0,SUM($F$2:F96))</f>
        <v/>
      </c>
      <c r="L96" s="11">
        <f>IFERROR(K96/Configuracion!$K$2,0)</f>
        <v/>
      </c>
      <c r="M96" s="8">
        <f>SUMIFS(Flujo_Caja!H:H,Flujo_Caja!B:B,B96,Flujo_Caja!C:C,C96)</f>
        <v/>
      </c>
      <c r="N96" s="2" t="n"/>
    </row>
    <row r="97">
      <c r="A97" s="2" t="n"/>
      <c r="B97" s="2" t="n"/>
      <c r="C97" s="2" t="n"/>
      <c r="D97" s="8">
        <f>SUMIFS(Ingresos!J:J,Ingresos!D:D,"&gt;="&amp;DATE(C97,B97,1),Ingresos!D:D,"&lt;"&amp;EDATE(DATE(C97,B97,1),1))</f>
        <v/>
      </c>
      <c r="E97" s="8">
        <f>SUMIFS(Egresos!H:H,Egresos!B:B,"&gt;="&amp;DATE(C97,B97,1),Egresos!B:B,"&lt;"&amp;EDATE(DATE(C97,B97,1),1))+SUMIFS(Gastos_Mensuales!H:H,Gastos_Mensuales!B:B,B97,Gastos_Mensuales!C:C,C97)+SUMIFS(Impuestos!I:I,Impuestos!B:B,B97,Impuestos!C:C,C97)</f>
        <v/>
      </c>
      <c r="F97" s="8">
        <f>D97-E97</f>
        <v/>
      </c>
      <c r="G97" s="11">
        <f>IFERROR(F97/D97,0)</f>
        <v/>
      </c>
      <c r="H97" s="2">
        <f>COUNTIFS(Cotizaciones!J:J,"Enviada",Cotizaciones!B:B,"&gt;="&amp;DATE(C97,B97,1),Cotizaciones!B:B,"&lt;"&amp;EDATE(DATE(C97,B97,1),1))</f>
        <v/>
      </c>
      <c r="I97" s="2">
        <f>COUNTIFS(Cotizaciones!J:J,"Aprobada",Cotizaciones!B:B,"&gt;="&amp;DATE(C97,B97,1),Cotizaciones!B:B,"&lt;"&amp;EDATE(DATE(C97,B97,1),1))</f>
        <v/>
      </c>
      <c r="J97" s="11">
        <f>IFERROR(I97/H97,0)</f>
        <v/>
      </c>
      <c r="K97" s="8">
        <f>MAX(0,SUM($F$2:F97))</f>
        <v/>
      </c>
      <c r="L97" s="11">
        <f>IFERROR(K97/Configuracion!$K$2,0)</f>
        <v/>
      </c>
      <c r="M97" s="8">
        <f>SUMIFS(Flujo_Caja!H:H,Flujo_Caja!B:B,B97,Flujo_Caja!C:C,C97)</f>
        <v/>
      </c>
      <c r="N97" s="2" t="n"/>
    </row>
    <row r="98">
      <c r="A98" s="2" t="n"/>
      <c r="B98" s="2" t="n"/>
      <c r="C98" s="2" t="n"/>
      <c r="D98" s="8">
        <f>SUMIFS(Ingresos!J:J,Ingresos!D:D,"&gt;="&amp;DATE(C98,B98,1),Ingresos!D:D,"&lt;"&amp;EDATE(DATE(C98,B98,1),1))</f>
        <v/>
      </c>
      <c r="E98" s="8">
        <f>SUMIFS(Egresos!H:H,Egresos!B:B,"&gt;="&amp;DATE(C98,B98,1),Egresos!B:B,"&lt;"&amp;EDATE(DATE(C98,B98,1),1))+SUMIFS(Gastos_Mensuales!H:H,Gastos_Mensuales!B:B,B98,Gastos_Mensuales!C:C,C98)+SUMIFS(Impuestos!I:I,Impuestos!B:B,B98,Impuestos!C:C,C98)</f>
        <v/>
      </c>
      <c r="F98" s="8">
        <f>D98-E98</f>
        <v/>
      </c>
      <c r="G98" s="11">
        <f>IFERROR(F98/D98,0)</f>
        <v/>
      </c>
      <c r="H98" s="2">
        <f>COUNTIFS(Cotizaciones!J:J,"Enviada",Cotizaciones!B:B,"&gt;="&amp;DATE(C98,B98,1),Cotizaciones!B:B,"&lt;"&amp;EDATE(DATE(C98,B98,1),1))</f>
        <v/>
      </c>
      <c r="I98" s="2">
        <f>COUNTIFS(Cotizaciones!J:J,"Aprobada",Cotizaciones!B:B,"&gt;="&amp;DATE(C98,B98,1),Cotizaciones!B:B,"&lt;"&amp;EDATE(DATE(C98,B98,1),1))</f>
        <v/>
      </c>
      <c r="J98" s="11">
        <f>IFERROR(I98/H98,0)</f>
        <v/>
      </c>
      <c r="K98" s="8">
        <f>MAX(0,SUM($F$2:F98))</f>
        <v/>
      </c>
      <c r="L98" s="11">
        <f>IFERROR(K98/Configuracion!$K$2,0)</f>
        <v/>
      </c>
      <c r="M98" s="8">
        <f>SUMIFS(Flujo_Caja!H:H,Flujo_Caja!B:B,B98,Flujo_Caja!C:C,C98)</f>
        <v/>
      </c>
      <c r="N98" s="2" t="n"/>
    </row>
    <row r="99">
      <c r="A99" s="2" t="n"/>
      <c r="B99" s="2" t="n"/>
      <c r="C99" s="2" t="n"/>
      <c r="D99" s="8">
        <f>SUMIFS(Ingresos!J:J,Ingresos!D:D,"&gt;="&amp;DATE(C99,B99,1),Ingresos!D:D,"&lt;"&amp;EDATE(DATE(C99,B99,1),1))</f>
        <v/>
      </c>
      <c r="E99" s="8">
        <f>SUMIFS(Egresos!H:H,Egresos!B:B,"&gt;="&amp;DATE(C99,B99,1),Egresos!B:B,"&lt;"&amp;EDATE(DATE(C99,B99,1),1))+SUMIFS(Gastos_Mensuales!H:H,Gastos_Mensuales!B:B,B99,Gastos_Mensuales!C:C,C99)+SUMIFS(Impuestos!I:I,Impuestos!B:B,B99,Impuestos!C:C,C99)</f>
        <v/>
      </c>
      <c r="F99" s="8">
        <f>D99-E99</f>
        <v/>
      </c>
      <c r="G99" s="11">
        <f>IFERROR(F99/D99,0)</f>
        <v/>
      </c>
      <c r="H99" s="2">
        <f>COUNTIFS(Cotizaciones!J:J,"Enviada",Cotizaciones!B:B,"&gt;="&amp;DATE(C99,B99,1),Cotizaciones!B:B,"&lt;"&amp;EDATE(DATE(C99,B99,1),1))</f>
        <v/>
      </c>
      <c r="I99" s="2">
        <f>COUNTIFS(Cotizaciones!J:J,"Aprobada",Cotizaciones!B:B,"&gt;="&amp;DATE(C99,B99,1),Cotizaciones!B:B,"&lt;"&amp;EDATE(DATE(C99,B99,1),1))</f>
        <v/>
      </c>
      <c r="J99" s="11">
        <f>IFERROR(I99/H99,0)</f>
        <v/>
      </c>
      <c r="K99" s="8">
        <f>MAX(0,SUM($F$2:F99))</f>
        <v/>
      </c>
      <c r="L99" s="11">
        <f>IFERROR(K99/Configuracion!$K$2,0)</f>
        <v/>
      </c>
      <c r="M99" s="8">
        <f>SUMIFS(Flujo_Caja!H:H,Flujo_Caja!B:B,B99,Flujo_Caja!C:C,C99)</f>
        <v/>
      </c>
      <c r="N99" s="2" t="n"/>
    </row>
    <row r="100">
      <c r="A100" s="2" t="n"/>
      <c r="B100" s="2" t="n"/>
      <c r="C100" s="2" t="n"/>
      <c r="D100" s="8">
        <f>SUMIFS(Ingresos!J:J,Ingresos!D:D,"&gt;="&amp;DATE(C100,B100,1),Ingresos!D:D,"&lt;"&amp;EDATE(DATE(C100,B100,1),1))</f>
        <v/>
      </c>
      <c r="E100" s="8">
        <f>SUMIFS(Egresos!H:H,Egresos!B:B,"&gt;="&amp;DATE(C100,B100,1),Egresos!B:B,"&lt;"&amp;EDATE(DATE(C100,B100,1),1))+SUMIFS(Gastos_Mensuales!H:H,Gastos_Mensuales!B:B,B100,Gastos_Mensuales!C:C,C100)+SUMIFS(Impuestos!I:I,Impuestos!B:B,B100,Impuestos!C:C,C100)</f>
        <v/>
      </c>
      <c r="F100" s="8">
        <f>D100-E100</f>
        <v/>
      </c>
      <c r="G100" s="11">
        <f>IFERROR(F100/D100,0)</f>
        <v/>
      </c>
      <c r="H100" s="2">
        <f>COUNTIFS(Cotizaciones!J:J,"Enviada",Cotizaciones!B:B,"&gt;="&amp;DATE(C100,B100,1),Cotizaciones!B:B,"&lt;"&amp;EDATE(DATE(C100,B100,1),1))</f>
        <v/>
      </c>
      <c r="I100" s="2">
        <f>COUNTIFS(Cotizaciones!J:J,"Aprobada",Cotizaciones!B:B,"&gt;="&amp;DATE(C100,B100,1),Cotizaciones!B:B,"&lt;"&amp;EDATE(DATE(C100,B100,1),1))</f>
        <v/>
      </c>
      <c r="J100" s="11">
        <f>IFERROR(I100/H100,0)</f>
        <v/>
      </c>
      <c r="K100" s="8">
        <f>MAX(0,SUM($F$2:F100))</f>
        <v/>
      </c>
      <c r="L100" s="11">
        <f>IFERROR(K100/Configuracion!$K$2,0)</f>
        <v/>
      </c>
      <c r="M100" s="8">
        <f>SUMIFS(Flujo_Caja!H:H,Flujo_Caja!B:B,B100,Flujo_Caja!C:C,C100)</f>
        <v/>
      </c>
      <c r="N100" s="2" t="n"/>
    </row>
    <row r="101">
      <c r="A101" s="2" t="n"/>
      <c r="B101" s="2" t="n"/>
      <c r="C101" s="2" t="n"/>
      <c r="D101" s="8">
        <f>SUMIFS(Ingresos!J:J,Ingresos!D:D,"&gt;="&amp;DATE(C101,B101,1),Ingresos!D:D,"&lt;"&amp;EDATE(DATE(C101,B101,1),1))</f>
        <v/>
      </c>
      <c r="E101" s="8">
        <f>SUMIFS(Egresos!H:H,Egresos!B:B,"&gt;="&amp;DATE(C101,B101,1),Egresos!B:B,"&lt;"&amp;EDATE(DATE(C101,B101,1),1))+SUMIFS(Gastos_Mensuales!H:H,Gastos_Mensuales!B:B,B101,Gastos_Mensuales!C:C,C101)+SUMIFS(Impuestos!I:I,Impuestos!B:B,B101,Impuestos!C:C,C101)</f>
        <v/>
      </c>
      <c r="F101" s="8">
        <f>D101-E101</f>
        <v/>
      </c>
      <c r="G101" s="11">
        <f>IFERROR(F101/D101,0)</f>
        <v/>
      </c>
      <c r="H101" s="2">
        <f>COUNTIFS(Cotizaciones!J:J,"Enviada",Cotizaciones!B:B,"&gt;="&amp;DATE(C101,B101,1),Cotizaciones!B:B,"&lt;"&amp;EDATE(DATE(C101,B101,1),1))</f>
        <v/>
      </c>
      <c r="I101" s="2">
        <f>COUNTIFS(Cotizaciones!J:J,"Aprobada",Cotizaciones!B:B,"&gt;="&amp;DATE(C101,B101,1),Cotizaciones!B:B,"&lt;"&amp;EDATE(DATE(C101,B101,1),1))</f>
        <v/>
      </c>
      <c r="J101" s="11">
        <f>IFERROR(I101/H101,0)</f>
        <v/>
      </c>
      <c r="K101" s="8">
        <f>MAX(0,SUM($F$2:F101))</f>
        <v/>
      </c>
      <c r="L101" s="11">
        <f>IFERROR(K101/Configuracion!$K$2,0)</f>
        <v/>
      </c>
      <c r="M101" s="8">
        <f>SUMIFS(Flujo_Caja!H:H,Flujo_Caja!B:B,B101,Flujo_Caja!C:C,C101)</f>
        <v/>
      </c>
      <c r="N101" s="2" t="n"/>
    </row>
    <row r="102">
      <c r="A102" s="2" t="n"/>
      <c r="B102" s="2" t="n"/>
      <c r="C102" s="2" t="n"/>
      <c r="D102" s="8">
        <f>SUMIFS(Ingresos!J:J,Ingresos!D:D,"&gt;="&amp;DATE(C102,B102,1),Ingresos!D:D,"&lt;"&amp;EDATE(DATE(C102,B102,1),1))</f>
        <v/>
      </c>
      <c r="E102" s="8">
        <f>SUMIFS(Egresos!H:H,Egresos!B:B,"&gt;="&amp;DATE(C102,B102,1),Egresos!B:B,"&lt;"&amp;EDATE(DATE(C102,B102,1),1))+SUMIFS(Gastos_Mensuales!H:H,Gastos_Mensuales!B:B,B102,Gastos_Mensuales!C:C,C102)+SUMIFS(Impuestos!I:I,Impuestos!B:B,B102,Impuestos!C:C,C102)</f>
        <v/>
      </c>
      <c r="F102" s="8">
        <f>D102-E102</f>
        <v/>
      </c>
      <c r="G102" s="11">
        <f>IFERROR(F102/D102,0)</f>
        <v/>
      </c>
      <c r="H102" s="2">
        <f>COUNTIFS(Cotizaciones!J:J,"Enviada",Cotizaciones!B:B,"&gt;="&amp;DATE(C102,B102,1),Cotizaciones!B:B,"&lt;"&amp;EDATE(DATE(C102,B102,1),1))</f>
        <v/>
      </c>
      <c r="I102" s="2">
        <f>COUNTIFS(Cotizaciones!J:J,"Aprobada",Cotizaciones!B:B,"&gt;="&amp;DATE(C102,B102,1),Cotizaciones!B:B,"&lt;"&amp;EDATE(DATE(C102,B102,1),1))</f>
        <v/>
      </c>
      <c r="J102" s="11">
        <f>IFERROR(I102/H102,0)</f>
        <v/>
      </c>
      <c r="K102" s="8">
        <f>MAX(0,SUM($F$2:F102))</f>
        <v/>
      </c>
      <c r="L102" s="11">
        <f>IFERROR(K102/Configuracion!$K$2,0)</f>
        <v/>
      </c>
      <c r="M102" s="8">
        <f>SUMIFS(Flujo_Caja!H:H,Flujo_Caja!B:B,B102,Flujo_Caja!C:C,C102)</f>
        <v/>
      </c>
      <c r="N102" s="2" t="n"/>
    </row>
    <row r="103">
      <c r="A103" s="2" t="n"/>
      <c r="B103" s="2" t="n"/>
      <c r="C103" s="2" t="n"/>
      <c r="D103" s="8">
        <f>SUMIFS(Ingresos!J:J,Ingresos!D:D,"&gt;="&amp;DATE(C103,B103,1),Ingresos!D:D,"&lt;"&amp;EDATE(DATE(C103,B103,1),1))</f>
        <v/>
      </c>
      <c r="E103" s="8">
        <f>SUMIFS(Egresos!H:H,Egresos!B:B,"&gt;="&amp;DATE(C103,B103,1),Egresos!B:B,"&lt;"&amp;EDATE(DATE(C103,B103,1),1))+SUMIFS(Gastos_Mensuales!H:H,Gastos_Mensuales!B:B,B103,Gastos_Mensuales!C:C,C103)+SUMIFS(Impuestos!I:I,Impuestos!B:B,B103,Impuestos!C:C,C103)</f>
        <v/>
      </c>
      <c r="F103" s="8">
        <f>D103-E103</f>
        <v/>
      </c>
      <c r="G103" s="11">
        <f>IFERROR(F103/D103,0)</f>
        <v/>
      </c>
      <c r="H103" s="2">
        <f>COUNTIFS(Cotizaciones!J:J,"Enviada",Cotizaciones!B:B,"&gt;="&amp;DATE(C103,B103,1),Cotizaciones!B:B,"&lt;"&amp;EDATE(DATE(C103,B103,1),1))</f>
        <v/>
      </c>
      <c r="I103" s="2">
        <f>COUNTIFS(Cotizaciones!J:J,"Aprobada",Cotizaciones!B:B,"&gt;="&amp;DATE(C103,B103,1),Cotizaciones!B:B,"&lt;"&amp;EDATE(DATE(C103,B103,1),1))</f>
        <v/>
      </c>
      <c r="J103" s="11">
        <f>IFERROR(I103/H103,0)</f>
        <v/>
      </c>
      <c r="K103" s="8">
        <f>MAX(0,SUM($F$2:F103))</f>
        <v/>
      </c>
      <c r="L103" s="11">
        <f>IFERROR(K103/Configuracion!$K$2,0)</f>
        <v/>
      </c>
      <c r="M103" s="8">
        <f>SUMIFS(Flujo_Caja!H:H,Flujo_Caja!B:B,B103,Flujo_Caja!C:C,C103)</f>
        <v/>
      </c>
      <c r="N103" s="2" t="n"/>
    </row>
    <row r="104">
      <c r="A104" s="2" t="n"/>
      <c r="B104" s="2" t="n"/>
      <c r="C104" s="2" t="n"/>
      <c r="D104" s="8">
        <f>SUMIFS(Ingresos!J:J,Ingresos!D:D,"&gt;="&amp;DATE(C104,B104,1),Ingresos!D:D,"&lt;"&amp;EDATE(DATE(C104,B104,1),1))</f>
        <v/>
      </c>
      <c r="E104" s="8">
        <f>SUMIFS(Egresos!H:H,Egresos!B:B,"&gt;="&amp;DATE(C104,B104,1),Egresos!B:B,"&lt;"&amp;EDATE(DATE(C104,B104,1),1))+SUMIFS(Gastos_Mensuales!H:H,Gastos_Mensuales!B:B,B104,Gastos_Mensuales!C:C,C104)+SUMIFS(Impuestos!I:I,Impuestos!B:B,B104,Impuestos!C:C,C104)</f>
        <v/>
      </c>
      <c r="F104" s="8">
        <f>D104-E104</f>
        <v/>
      </c>
      <c r="G104" s="11">
        <f>IFERROR(F104/D104,0)</f>
        <v/>
      </c>
      <c r="H104" s="2">
        <f>COUNTIFS(Cotizaciones!J:J,"Enviada",Cotizaciones!B:B,"&gt;="&amp;DATE(C104,B104,1),Cotizaciones!B:B,"&lt;"&amp;EDATE(DATE(C104,B104,1),1))</f>
        <v/>
      </c>
      <c r="I104" s="2">
        <f>COUNTIFS(Cotizaciones!J:J,"Aprobada",Cotizaciones!B:B,"&gt;="&amp;DATE(C104,B104,1),Cotizaciones!B:B,"&lt;"&amp;EDATE(DATE(C104,B104,1),1))</f>
        <v/>
      </c>
      <c r="J104" s="11">
        <f>IFERROR(I104/H104,0)</f>
        <v/>
      </c>
      <c r="K104" s="8">
        <f>MAX(0,SUM($F$2:F104))</f>
        <v/>
      </c>
      <c r="L104" s="11">
        <f>IFERROR(K104/Configuracion!$K$2,0)</f>
        <v/>
      </c>
      <c r="M104" s="8">
        <f>SUMIFS(Flujo_Caja!H:H,Flujo_Caja!B:B,B104,Flujo_Caja!C:C,C104)</f>
        <v/>
      </c>
      <c r="N104" s="2" t="n"/>
    </row>
    <row r="105">
      <c r="A105" s="2" t="n"/>
      <c r="B105" s="2" t="n"/>
      <c r="C105" s="2" t="n"/>
      <c r="D105" s="8">
        <f>SUMIFS(Ingresos!J:J,Ingresos!D:D,"&gt;="&amp;DATE(C105,B105,1),Ingresos!D:D,"&lt;"&amp;EDATE(DATE(C105,B105,1),1))</f>
        <v/>
      </c>
      <c r="E105" s="8">
        <f>SUMIFS(Egresos!H:H,Egresos!B:B,"&gt;="&amp;DATE(C105,B105,1),Egresos!B:B,"&lt;"&amp;EDATE(DATE(C105,B105,1),1))+SUMIFS(Gastos_Mensuales!H:H,Gastos_Mensuales!B:B,B105,Gastos_Mensuales!C:C,C105)+SUMIFS(Impuestos!I:I,Impuestos!B:B,B105,Impuestos!C:C,C105)</f>
        <v/>
      </c>
      <c r="F105" s="8">
        <f>D105-E105</f>
        <v/>
      </c>
      <c r="G105" s="11">
        <f>IFERROR(F105/D105,0)</f>
        <v/>
      </c>
      <c r="H105" s="2">
        <f>COUNTIFS(Cotizaciones!J:J,"Enviada",Cotizaciones!B:B,"&gt;="&amp;DATE(C105,B105,1),Cotizaciones!B:B,"&lt;"&amp;EDATE(DATE(C105,B105,1),1))</f>
        <v/>
      </c>
      <c r="I105" s="2">
        <f>COUNTIFS(Cotizaciones!J:J,"Aprobada",Cotizaciones!B:B,"&gt;="&amp;DATE(C105,B105,1),Cotizaciones!B:B,"&lt;"&amp;EDATE(DATE(C105,B105,1),1))</f>
        <v/>
      </c>
      <c r="J105" s="11">
        <f>IFERROR(I105/H105,0)</f>
        <v/>
      </c>
      <c r="K105" s="8">
        <f>MAX(0,SUM($F$2:F105))</f>
        <v/>
      </c>
      <c r="L105" s="11">
        <f>IFERROR(K105/Configuracion!$K$2,0)</f>
        <v/>
      </c>
      <c r="M105" s="8">
        <f>SUMIFS(Flujo_Caja!H:H,Flujo_Caja!B:B,B105,Flujo_Caja!C:C,C105)</f>
        <v/>
      </c>
      <c r="N105" s="2" t="n"/>
    </row>
    <row r="106">
      <c r="A106" s="2" t="n"/>
      <c r="B106" s="2" t="n"/>
      <c r="C106" s="2" t="n"/>
      <c r="D106" s="8">
        <f>SUMIFS(Ingresos!J:J,Ingresos!D:D,"&gt;="&amp;DATE(C106,B106,1),Ingresos!D:D,"&lt;"&amp;EDATE(DATE(C106,B106,1),1))</f>
        <v/>
      </c>
      <c r="E106" s="8">
        <f>SUMIFS(Egresos!H:H,Egresos!B:B,"&gt;="&amp;DATE(C106,B106,1),Egresos!B:B,"&lt;"&amp;EDATE(DATE(C106,B106,1),1))+SUMIFS(Gastos_Mensuales!H:H,Gastos_Mensuales!B:B,B106,Gastos_Mensuales!C:C,C106)+SUMIFS(Impuestos!I:I,Impuestos!B:B,B106,Impuestos!C:C,C106)</f>
        <v/>
      </c>
      <c r="F106" s="8">
        <f>D106-E106</f>
        <v/>
      </c>
      <c r="G106" s="11">
        <f>IFERROR(F106/D106,0)</f>
        <v/>
      </c>
      <c r="H106" s="2">
        <f>COUNTIFS(Cotizaciones!J:J,"Enviada",Cotizaciones!B:B,"&gt;="&amp;DATE(C106,B106,1),Cotizaciones!B:B,"&lt;"&amp;EDATE(DATE(C106,B106,1),1))</f>
        <v/>
      </c>
      <c r="I106" s="2">
        <f>COUNTIFS(Cotizaciones!J:J,"Aprobada",Cotizaciones!B:B,"&gt;="&amp;DATE(C106,B106,1),Cotizaciones!B:B,"&lt;"&amp;EDATE(DATE(C106,B106,1),1))</f>
        <v/>
      </c>
      <c r="J106" s="11">
        <f>IFERROR(I106/H106,0)</f>
        <v/>
      </c>
      <c r="K106" s="8">
        <f>MAX(0,SUM($F$2:F106))</f>
        <v/>
      </c>
      <c r="L106" s="11">
        <f>IFERROR(K106/Configuracion!$K$2,0)</f>
        <v/>
      </c>
      <c r="M106" s="8">
        <f>SUMIFS(Flujo_Caja!H:H,Flujo_Caja!B:B,B106,Flujo_Caja!C:C,C106)</f>
        <v/>
      </c>
      <c r="N106" s="2" t="n"/>
    </row>
    <row r="107">
      <c r="A107" s="2" t="n"/>
      <c r="B107" s="2" t="n"/>
      <c r="C107" s="2" t="n"/>
      <c r="D107" s="8">
        <f>SUMIFS(Ingresos!J:J,Ingresos!D:D,"&gt;="&amp;DATE(C107,B107,1),Ingresos!D:D,"&lt;"&amp;EDATE(DATE(C107,B107,1),1))</f>
        <v/>
      </c>
      <c r="E107" s="8">
        <f>SUMIFS(Egresos!H:H,Egresos!B:B,"&gt;="&amp;DATE(C107,B107,1),Egresos!B:B,"&lt;"&amp;EDATE(DATE(C107,B107,1),1))+SUMIFS(Gastos_Mensuales!H:H,Gastos_Mensuales!B:B,B107,Gastos_Mensuales!C:C,C107)+SUMIFS(Impuestos!I:I,Impuestos!B:B,B107,Impuestos!C:C,C107)</f>
        <v/>
      </c>
      <c r="F107" s="8">
        <f>D107-E107</f>
        <v/>
      </c>
      <c r="G107" s="11">
        <f>IFERROR(F107/D107,0)</f>
        <v/>
      </c>
      <c r="H107" s="2">
        <f>COUNTIFS(Cotizaciones!J:J,"Enviada",Cotizaciones!B:B,"&gt;="&amp;DATE(C107,B107,1),Cotizaciones!B:B,"&lt;"&amp;EDATE(DATE(C107,B107,1),1))</f>
        <v/>
      </c>
      <c r="I107" s="2">
        <f>COUNTIFS(Cotizaciones!J:J,"Aprobada",Cotizaciones!B:B,"&gt;="&amp;DATE(C107,B107,1),Cotizaciones!B:B,"&lt;"&amp;EDATE(DATE(C107,B107,1),1))</f>
        <v/>
      </c>
      <c r="J107" s="11">
        <f>IFERROR(I107/H107,0)</f>
        <v/>
      </c>
      <c r="K107" s="8">
        <f>MAX(0,SUM($F$2:F107))</f>
        <v/>
      </c>
      <c r="L107" s="11">
        <f>IFERROR(K107/Configuracion!$K$2,0)</f>
        <v/>
      </c>
      <c r="M107" s="8">
        <f>SUMIFS(Flujo_Caja!H:H,Flujo_Caja!B:B,B107,Flujo_Caja!C:C,C107)</f>
        <v/>
      </c>
      <c r="N107" s="2" t="n"/>
    </row>
    <row r="108">
      <c r="A108" s="2" t="n"/>
      <c r="B108" s="2" t="n"/>
      <c r="C108" s="2" t="n"/>
      <c r="D108" s="8">
        <f>SUMIFS(Ingresos!J:J,Ingresos!D:D,"&gt;="&amp;DATE(C108,B108,1),Ingresos!D:D,"&lt;"&amp;EDATE(DATE(C108,B108,1),1))</f>
        <v/>
      </c>
      <c r="E108" s="8">
        <f>SUMIFS(Egresos!H:H,Egresos!B:B,"&gt;="&amp;DATE(C108,B108,1),Egresos!B:B,"&lt;"&amp;EDATE(DATE(C108,B108,1),1))+SUMIFS(Gastos_Mensuales!H:H,Gastos_Mensuales!B:B,B108,Gastos_Mensuales!C:C,C108)+SUMIFS(Impuestos!I:I,Impuestos!B:B,B108,Impuestos!C:C,C108)</f>
        <v/>
      </c>
      <c r="F108" s="8">
        <f>D108-E108</f>
        <v/>
      </c>
      <c r="G108" s="11">
        <f>IFERROR(F108/D108,0)</f>
        <v/>
      </c>
      <c r="H108" s="2">
        <f>COUNTIFS(Cotizaciones!J:J,"Enviada",Cotizaciones!B:B,"&gt;="&amp;DATE(C108,B108,1),Cotizaciones!B:B,"&lt;"&amp;EDATE(DATE(C108,B108,1),1))</f>
        <v/>
      </c>
      <c r="I108" s="2">
        <f>COUNTIFS(Cotizaciones!J:J,"Aprobada",Cotizaciones!B:B,"&gt;="&amp;DATE(C108,B108,1),Cotizaciones!B:B,"&lt;"&amp;EDATE(DATE(C108,B108,1),1))</f>
        <v/>
      </c>
      <c r="J108" s="11">
        <f>IFERROR(I108/H108,0)</f>
        <v/>
      </c>
      <c r="K108" s="8">
        <f>MAX(0,SUM($F$2:F108))</f>
        <v/>
      </c>
      <c r="L108" s="11">
        <f>IFERROR(K108/Configuracion!$K$2,0)</f>
        <v/>
      </c>
      <c r="M108" s="8">
        <f>SUMIFS(Flujo_Caja!H:H,Flujo_Caja!B:B,B108,Flujo_Caja!C:C,C108)</f>
        <v/>
      </c>
      <c r="N108" s="2" t="n"/>
    </row>
    <row r="109">
      <c r="A109" s="2" t="n"/>
      <c r="B109" s="2" t="n"/>
      <c r="C109" s="2" t="n"/>
      <c r="D109" s="8">
        <f>SUMIFS(Ingresos!J:J,Ingresos!D:D,"&gt;="&amp;DATE(C109,B109,1),Ingresos!D:D,"&lt;"&amp;EDATE(DATE(C109,B109,1),1))</f>
        <v/>
      </c>
      <c r="E109" s="8">
        <f>SUMIFS(Egresos!H:H,Egresos!B:B,"&gt;="&amp;DATE(C109,B109,1),Egresos!B:B,"&lt;"&amp;EDATE(DATE(C109,B109,1),1))+SUMIFS(Gastos_Mensuales!H:H,Gastos_Mensuales!B:B,B109,Gastos_Mensuales!C:C,C109)+SUMIFS(Impuestos!I:I,Impuestos!B:B,B109,Impuestos!C:C,C109)</f>
        <v/>
      </c>
      <c r="F109" s="8">
        <f>D109-E109</f>
        <v/>
      </c>
      <c r="G109" s="11">
        <f>IFERROR(F109/D109,0)</f>
        <v/>
      </c>
      <c r="H109" s="2">
        <f>COUNTIFS(Cotizaciones!J:J,"Enviada",Cotizaciones!B:B,"&gt;="&amp;DATE(C109,B109,1),Cotizaciones!B:B,"&lt;"&amp;EDATE(DATE(C109,B109,1),1))</f>
        <v/>
      </c>
      <c r="I109" s="2">
        <f>COUNTIFS(Cotizaciones!J:J,"Aprobada",Cotizaciones!B:B,"&gt;="&amp;DATE(C109,B109,1),Cotizaciones!B:B,"&lt;"&amp;EDATE(DATE(C109,B109,1),1))</f>
        <v/>
      </c>
      <c r="J109" s="11">
        <f>IFERROR(I109/H109,0)</f>
        <v/>
      </c>
      <c r="K109" s="8">
        <f>MAX(0,SUM($F$2:F109))</f>
        <v/>
      </c>
      <c r="L109" s="11">
        <f>IFERROR(K109/Configuracion!$K$2,0)</f>
        <v/>
      </c>
      <c r="M109" s="8">
        <f>SUMIFS(Flujo_Caja!H:H,Flujo_Caja!B:B,B109,Flujo_Caja!C:C,C109)</f>
        <v/>
      </c>
      <c r="N109" s="2" t="n"/>
    </row>
    <row r="110">
      <c r="A110" s="2" t="n"/>
      <c r="B110" s="2" t="n"/>
      <c r="C110" s="2" t="n"/>
      <c r="D110" s="8">
        <f>SUMIFS(Ingresos!J:J,Ingresos!D:D,"&gt;="&amp;DATE(C110,B110,1),Ingresos!D:D,"&lt;"&amp;EDATE(DATE(C110,B110,1),1))</f>
        <v/>
      </c>
      <c r="E110" s="8">
        <f>SUMIFS(Egresos!H:H,Egresos!B:B,"&gt;="&amp;DATE(C110,B110,1),Egresos!B:B,"&lt;"&amp;EDATE(DATE(C110,B110,1),1))+SUMIFS(Gastos_Mensuales!H:H,Gastos_Mensuales!B:B,B110,Gastos_Mensuales!C:C,C110)+SUMIFS(Impuestos!I:I,Impuestos!B:B,B110,Impuestos!C:C,C110)</f>
        <v/>
      </c>
      <c r="F110" s="8">
        <f>D110-E110</f>
        <v/>
      </c>
      <c r="G110" s="11">
        <f>IFERROR(F110/D110,0)</f>
        <v/>
      </c>
      <c r="H110" s="2">
        <f>COUNTIFS(Cotizaciones!J:J,"Enviada",Cotizaciones!B:B,"&gt;="&amp;DATE(C110,B110,1),Cotizaciones!B:B,"&lt;"&amp;EDATE(DATE(C110,B110,1),1))</f>
        <v/>
      </c>
      <c r="I110" s="2">
        <f>COUNTIFS(Cotizaciones!J:J,"Aprobada",Cotizaciones!B:B,"&gt;="&amp;DATE(C110,B110,1),Cotizaciones!B:B,"&lt;"&amp;EDATE(DATE(C110,B110,1),1))</f>
        <v/>
      </c>
      <c r="J110" s="11">
        <f>IFERROR(I110/H110,0)</f>
        <v/>
      </c>
      <c r="K110" s="8">
        <f>MAX(0,SUM($F$2:F110))</f>
        <v/>
      </c>
      <c r="L110" s="11">
        <f>IFERROR(K110/Configuracion!$K$2,0)</f>
        <v/>
      </c>
      <c r="M110" s="8">
        <f>SUMIFS(Flujo_Caja!H:H,Flujo_Caja!B:B,B110,Flujo_Caja!C:C,C110)</f>
        <v/>
      </c>
      <c r="N110" s="2" t="n"/>
    </row>
    <row r="111">
      <c r="A111" s="2" t="n"/>
      <c r="B111" s="2" t="n"/>
      <c r="C111" s="2" t="n"/>
      <c r="D111" s="8">
        <f>SUMIFS(Ingresos!J:J,Ingresos!D:D,"&gt;="&amp;DATE(C111,B111,1),Ingresos!D:D,"&lt;"&amp;EDATE(DATE(C111,B111,1),1))</f>
        <v/>
      </c>
      <c r="E111" s="8">
        <f>SUMIFS(Egresos!H:H,Egresos!B:B,"&gt;="&amp;DATE(C111,B111,1),Egresos!B:B,"&lt;"&amp;EDATE(DATE(C111,B111,1),1))+SUMIFS(Gastos_Mensuales!H:H,Gastos_Mensuales!B:B,B111,Gastos_Mensuales!C:C,C111)+SUMIFS(Impuestos!I:I,Impuestos!B:B,B111,Impuestos!C:C,C111)</f>
        <v/>
      </c>
      <c r="F111" s="8">
        <f>D111-E111</f>
        <v/>
      </c>
      <c r="G111" s="11">
        <f>IFERROR(F111/D111,0)</f>
        <v/>
      </c>
      <c r="H111" s="2">
        <f>COUNTIFS(Cotizaciones!J:J,"Enviada",Cotizaciones!B:B,"&gt;="&amp;DATE(C111,B111,1),Cotizaciones!B:B,"&lt;"&amp;EDATE(DATE(C111,B111,1),1))</f>
        <v/>
      </c>
      <c r="I111" s="2">
        <f>COUNTIFS(Cotizaciones!J:J,"Aprobada",Cotizaciones!B:B,"&gt;="&amp;DATE(C111,B111,1),Cotizaciones!B:B,"&lt;"&amp;EDATE(DATE(C111,B111,1),1))</f>
        <v/>
      </c>
      <c r="J111" s="11">
        <f>IFERROR(I111/H111,0)</f>
        <v/>
      </c>
      <c r="K111" s="8">
        <f>MAX(0,SUM($F$2:F111))</f>
        <v/>
      </c>
      <c r="L111" s="11">
        <f>IFERROR(K111/Configuracion!$K$2,0)</f>
        <v/>
      </c>
      <c r="M111" s="8">
        <f>SUMIFS(Flujo_Caja!H:H,Flujo_Caja!B:B,B111,Flujo_Caja!C:C,C111)</f>
        <v/>
      </c>
      <c r="N111" s="2" t="n"/>
    </row>
    <row r="112">
      <c r="A112" s="2" t="n"/>
      <c r="B112" s="2" t="n"/>
      <c r="C112" s="2" t="n"/>
      <c r="D112" s="8">
        <f>SUMIFS(Ingresos!J:J,Ingresos!D:D,"&gt;="&amp;DATE(C112,B112,1),Ingresos!D:D,"&lt;"&amp;EDATE(DATE(C112,B112,1),1))</f>
        <v/>
      </c>
      <c r="E112" s="8">
        <f>SUMIFS(Egresos!H:H,Egresos!B:B,"&gt;="&amp;DATE(C112,B112,1),Egresos!B:B,"&lt;"&amp;EDATE(DATE(C112,B112,1),1))+SUMIFS(Gastos_Mensuales!H:H,Gastos_Mensuales!B:B,B112,Gastos_Mensuales!C:C,C112)+SUMIFS(Impuestos!I:I,Impuestos!B:B,B112,Impuestos!C:C,C112)</f>
        <v/>
      </c>
      <c r="F112" s="8">
        <f>D112-E112</f>
        <v/>
      </c>
      <c r="G112" s="11">
        <f>IFERROR(F112/D112,0)</f>
        <v/>
      </c>
      <c r="H112" s="2">
        <f>COUNTIFS(Cotizaciones!J:J,"Enviada",Cotizaciones!B:B,"&gt;="&amp;DATE(C112,B112,1),Cotizaciones!B:B,"&lt;"&amp;EDATE(DATE(C112,B112,1),1))</f>
        <v/>
      </c>
      <c r="I112" s="2">
        <f>COUNTIFS(Cotizaciones!J:J,"Aprobada",Cotizaciones!B:B,"&gt;="&amp;DATE(C112,B112,1),Cotizaciones!B:B,"&lt;"&amp;EDATE(DATE(C112,B112,1),1))</f>
        <v/>
      </c>
      <c r="J112" s="11">
        <f>IFERROR(I112/H112,0)</f>
        <v/>
      </c>
      <c r="K112" s="8">
        <f>MAX(0,SUM($F$2:F112))</f>
        <v/>
      </c>
      <c r="L112" s="11">
        <f>IFERROR(K112/Configuracion!$K$2,0)</f>
        <v/>
      </c>
      <c r="M112" s="8">
        <f>SUMIFS(Flujo_Caja!H:H,Flujo_Caja!B:B,B112,Flujo_Caja!C:C,C112)</f>
        <v/>
      </c>
      <c r="N112" s="2" t="n"/>
    </row>
    <row r="113">
      <c r="A113" s="2" t="n"/>
      <c r="B113" s="2" t="n"/>
      <c r="C113" s="2" t="n"/>
      <c r="D113" s="8">
        <f>SUMIFS(Ingresos!J:J,Ingresos!D:D,"&gt;="&amp;DATE(C113,B113,1),Ingresos!D:D,"&lt;"&amp;EDATE(DATE(C113,B113,1),1))</f>
        <v/>
      </c>
      <c r="E113" s="8">
        <f>SUMIFS(Egresos!H:H,Egresos!B:B,"&gt;="&amp;DATE(C113,B113,1),Egresos!B:B,"&lt;"&amp;EDATE(DATE(C113,B113,1),1))+SUMIFS(Gastos_Mensuales!H:H,Gastos_Mensuales!B:B,B113,Gastos_Mensuales!C:C,C113)+SUMIFS(Impuestos!I:I,Impuestos!B:B,B113,Impuestos!C:C,C113)</f>
        <v/>
      </c>
      <c r="F113" s="8">
        <f>D113-E113</f>
        <v/>
      </c>
      <c r="G113" s="11">
        <f>IFERROR(F113/D113,0)</f>
        <v/>
      </c>
      <c r="H113" s="2">
        <f>COUNTIFS(Cotizaciones!J:J,"Enviada",Cotizaciones!B:B,"&gt;="&amp;DATE(C113,B113,1),Cotizaciones!B:B,"&lt;"&amp;EDATE(DATE(C113,B113,1),1))</f>
        <v/>
      </c>
      <c r="I113" s="2">
        <f>COUNTIFS(Cotizaciones!J:J,"Aprobada",Cotizaciones!B:B,"&gt;="&amp;DATE(C113,B113,1),Cotizaciones!B:B,"&lt;"&amp;EDATE(DATE(C113,B113,1),1))</f>
        <v/>
      </c>
      <c r="J113" s="11">
        <f>IFERROR(I113/H113,0)</f>
        <v/>
      </c>
      <c r="K113" s="8">
        <f>MAX(0,SUM($F$2:F113))</f>
        <v/>
      </c>
      <c r="L113" s="11">
        <f>IFERROR(K113/Configuracion!$K$2,0)</f>
        <v/>
      </c>
      <c r="M113" s="8">
        <f>SUMIFS(Flujo_Caja!H:H,Flujo_Caja!B:B,B113,Flujo_Caja!C:C,C113)</f>
        <v/>
      </c>
      <c r="N113" s="2" t="n"/>
    </row>
    <row r="114">
      <c r="A114" s="2" t="n"/>
      <c r="B114" s="2" t="n"/>
      <c r="C114" s="2" t="n"/>
      <c r="D114" s="8">
        <f>SUMIFS(Ingresos!J:J,Ingresos!D:D,"&gt;="&amp;DATE(C114,B114,1),Ingresos!D:D,"&lt;"&amp;EDATE(DATE(C114,B114,1),1))</f>
        <v/>
      </c>
      <c r="E114" s="8">
        <f>SUMIFS(Egresos!H:H,Egresos!B:B,"&gt;="&amp;DATE(C114,B114,1),Egresos!B:B,"&lt;"&amp;EDATE(DATE(C114,B114,1),1))+SUMIFS(Gastos_Mensuales!H:H,Gastos_Mensuales!B:B,B114,Gastos_Mensuales!C:C,C114)+SUMIFS(Impuestos!I:I,Impuestos!B:B,B114,Impuestos!C:C,C114)</f>
        <v/>
      </c>
      <c r="F114" s="8">
        <f>D114-E114</f>
        <v/>
      </c>
      <c r="G114" s="11">
        <f>IFERROR(F114/D114,0)</f>
        <v/>
      </c>
      <c r="H114" s="2">
        <f>COUNTIFS(Cotizaciones!J:J,"Enviada",Cotizaciones!B:B,"&gt;="&amp;DATE(C114,B114,1),Cotizaciones!B:B,"&lt;"&amp;EDATE(DATE(C114,B114,1),1))</f>
        <v/>
      </c>
      <c r="I114" s="2">
        <f>COUNTIFS(Cotizaciones!J:J,"Aprobada",Cotizaciones!B:B,"&gt;="&amp;DATE(C114,B114,1),Cotizaciones!B:B,"&lt;"&amp;EDATE(DATE(C114,B114,1),1))</f>
        <v/>
      </c>
      <c r="J114" s="11">
        <f>IFERROR(I114/H114,0)</f>
        <v/>
      </c>
      <c r="K114" s="8">
        <f>MAX(0,SUM($F$2:F114))</f>
        <v/>
      </c>
      <c r="L114" s="11">
        <f>IFERROR(K114/Configuracion!$K$2,0)</f>
        <v/>
      </c>
      <c r="M114" s="8">
        <f>SUMIFS(Flujo_Caja!H:H,Flujo_Caja!B:B,B114,Flujo_Caja!C:C,C114)</f>
        <v/>
      </c>
      <c r="N114" s="2" t="n"/>
    </row>
    <row r="115">
      <c r="A115" s="2" t="n"/>
      <c r="B115" s="2" t="n"/>
      <c r="C115" s="2" t="n"/>
      <c r="D115" s="8">
        <f>SUMIFS(Ingresos!J:J,Ingresos!D:D,"&gt;="&amp;DATE(C115,B115,1),Ingresos!D:D,"&lt;"&amp;EDATE(DATE(C115,B115,1),1))</f>
        <v/>
      </c>
      <c r="E115" s="8">
        <f>SUMIFS(Egresos!H:H,Egresos!B:B,"&gt;="&amp;DATE(C115,B115,1),Egresos!B:B,"&lt;"&amp;EDATE(DATE(C115,B115,1),1))+SUMIFS(Gastos_Mensuales!H:H,Gastos_Mensuales!B:B,B115,Gastos_Mensuales!C:C,C115)+SUMIFS(Impuestos!I:I,Impuestos!B:B,B115,Impuestos!C:C,C115)</f>
        <v/>
      </c>
      <c r="F115" s="8">
        <f>D115-E115</f>
        <v/>
      </c>
      <c r="G115" s="11">
        <f>IFERROR(F115/D115,0)</f>
        <v/>
      </c>
      <c r="H115" s="2">
        <f>COUNTIFS(Cotizaciones!J:J,"Enviada",Cotizaciones!B:B,"&gt;="&amp;DATE(C115,B115,1),Cotizaciones!B:B,"&lt;"&amp;EDATE(DATE(C115,B115,1),1))</f>
        <v/>
      </c>
      <c r="I115" s="2">
        <f>COUNTIFS(Cotizaciones!J:J,"Aprobada",Cotizaciones!B:B,"&gt;="&amp;DATE(C115,B115,1),Cotizaciones!B:B,"&lt;"&amp;EDATE(DATE(C115,B115,1),1))</f>
        <v/>
      </c>
      <c r="J115" s="11">
        <f>IFERROR(I115/H115,0)</f>
        <v/>
      </c>
      <c r="K115" s="8">
        <f>MAX(0,SUM($F$2:F115))</f>
        <v/>
      </c>
      <c r="L115" s="11">
        <f>IFERROR(K115/Configuracion!$K$2,0)</f>
        <v/>
      </c>
      <c r="M115" s="8">
        <f>SUMIFS(Flujo_Caja!H:H,Flujo_Caja!B:B,B115,Flujo_Caja!C:C,C115)</f>
        <v/>
      </c>
      <c r="N115" s="2" t="n"/>
    </row>
    <row r="116">
      <c r="A116" s="2" t="n"/>
      <c r="B116" s="2" t="n"/>
      <c r="C116" s="2" t="n"/>
      <c r="D116" s="8">
        <f>SUMIFS(Ingresos!J:J,Ingresos!D:D,"&gt;="&amp;DATE(C116,B116,1),Ingresos!D:D,"&lt;"&amp;EDATE(DATE(C116,B116,1),1))</f>
        <v/>
      </c>
      <c r="E116" s="8">
        <f>SUMIFS(Egresos!H:H,Egresos!B:B,"&gt;="&amp;DATE(C116,B116,1),Egresos!B:B,"&lt;"&amp;EDATE(DATE(C116,B116,1),1))+SUMIFS(Gastos_Mensuales!H:H,Gastos_Mensuales!B:B,B116,Gastos_Mensuales!C:C,C116)+SUMIFS(Impuestos!I:I,Impuestos!B:B,B116,Impuestos!C:C,C116)</f>
        <v/>
      </c>
      <c r="F116" s="8">
        <f>D116-E116</f>
        <v/>
      </c>
      <c r="G116" s="11">
        <f>IFERROR(F116/D116,0)</f>
        <v/>
      </c>
      <c r="H116" s="2">
        <f>COUNTIFS(Cotizaciones!J:J,"Enviada",Cotizaciones!B:B,"&gt;="&amp;DATE(C116,B116,1),Cotizaciones!B:B,"&lt;"&amp;EDATE(DATE(C116,B116,1),1))</f>
        <v/>
      </c>
      <c r="I116" s="2">
        <f>COUNTIFS(Cotizaciones!J:J,"Aprobada",Cotizaciones!B:B,"&gt;="&amp;DATE(C116,B116,1),Cotizaciones!B:B,"&lt;"&amp;EDATE(DATE(C116,B116,1),1))</f>
        <v/>
      </c>
      <c r="J116" s="11">
        <f>IFERROR(I116/H116,0)</f>
        <v/>
      </c>
      <c r="K116" s="8">
        <f>MAX(0,SUM($F$2:F116))</f>
        <v/>
      </c>
      <c r="L116" s="11">
        <f>IFERROR(K116/Configuracion!$K$2,0)</f>
        <v/>
      </c>
      <c r="M116" s="8">
        <f>SUMIFS(Flujo_Caja!H:H,Flujo_Caja!B:B,B116,Flujo_Caja!C:C,C116)</f>
        <v/>
      </c>
      <c r="N116" s="2" t="n"/>
    </row>
    <row r="117">
      <c r="A117" s="2" t="n"/>
      <c r="B117" s="2" t="n"/>
      <c r="C117" s="2" t="n"/>
      <c r="D117" s="8">
        <f>SUMIFS(Ingresos!J:J,Ingresos!D:D,"&gt;="&amp;DATE(C117,B117,1),Ingresos!D:D,"&lt;"&amp;EDATE(DATE(C117,B117,1),1))</f>
        <v/>
      </c>
      <c r="E117" s="8">
        <f>SUMIFS(Egresos!H:H,Egresos!B:B,"&gt;="&amp;DATE(C117,B117,1),Egresos!B:B,"&lt;"&amp;EDATE(DATE(C117,B117,1),1))+SUMIFS(Gastos_Mensuales!H:H,Gastos_Mensuales!B:B,B117,Gastos_Mensuales!C:C,C117)+SUMIFS(Impuestos!I:I,Impuestos!B:B,B117,Impuestos!C:C,C117)</f>
        <v/>
      </c>
      <c r="F117" s="8">
        <f>D117-E117</f>
        <v/>
      </c>
      <c r="G117" s="11">
        <f>IFERROR(F117/D117,0)</f>
        <v/>
      </c>
      <c r="H117" s="2">
        <f>COUNTIFS(Cotizaciones!J:J,"Enviada",Cotizaciones!B:B,"&gt;="&amp;DATE(C117,B117,1),Cotizaciones!B:B,"&lt;"&amp;EDATE(DATE(C117,B117,1),1))</f>
        <v/>
      </c>
      <c r="I117" s="2">
        <f>COUNTIFS(Cotizaciones!J:J,"Aprobada",Cotizaciones!B:B,"&gt;="&amp;DATE(C117,B117,1),Cotizaciones!B:B,"&lt;"&amp;EDATE(DATE(C117,B117,1),1))</f>
        <v/>
      </c>
      <c r="J117" s="11">
        <f>IFERROR(I117/H117,0)</f>
        <v/>
      </c>
      <c r="K117" s="8">
        <f>MAX(0,SUM($F$2:F117))</f>
        <v/>
      </c>
      <c r="L117" s="11">
        <f>IFERROR(K117/Configuracion!$K$2,0)</f>
        <v/>
      </c>
      <c r="M117" s="8">
        <f>SUMIFS(Flujo_Caja!H:H,Flujo_Caja!B:B,B117,Flujo_Caja!C:C,C117)</f>
        <v/>
      </c>
      <c r="N117" s="2" t="n"/>
    </row>
    <row r="118">
      <c r="A118" s="2" t="n"/>
      <c r="B118" s="2" t="n"/>
      <c r="C118" s="2" t="n"/>
      <c r="D118" s="8">
        <f>SUMIFS(Ingresos!J:J,Ingresos!D:D,"&gt;="&amp;DATE(C118,B118,1),Ingresos!D:D,"&lt;"&amp;EDATE(DATE(C118,B118,1),1))</f>
        <v/>
      </c>
      <c r="E118" s="8">
        <f>SUMIFS(Egresos!H:H,Egresos!B:B,"&gt;="&amp;DATE(C118,B118,1),Egresos!B:B,"&lt;"&amp;EDATE(DATE(C118,B118,1),1))+SUMIFS(Gastos_Mensuales!H:H,Gastos_Mensuales!B:B,B118,Gastos_Mensuales!C:C,C118)+SUMIFS(Impuestos!I:I,Impuestos!B:B,B118,Impuestos!C:C,C118)</f>
        <v/>
      </c>
      <c r="F118" s="8">
        <f>D118-E118</f>
        <v/>
      </c>
      <c r="G118" s="11">
        <f>IFERROR(F118/D118,0)</f>
        <v/>
      </c>
      <c r="H118" s="2">
        <f>COUNTIFS(Cotizaciones!J:J,"Enviada",Cotizaciones!B:B,"&gt;="&amp;DATE(C118,B118,1),Cotizaciones!B:B,"&lt;"&amp;EDATE(DATE(C118,B118,1),1))</f>
        <v/>
      </c>
      <c r="I118" s="2">
        <f>COUNTIFS(Cotizaciones!J:J,"Aprobada",Cotizaciones!B:B,"&gt;="&amp;DATE(C118,B118,1),Cotizaciones!B:B,"&lt;"&amp;EDATE(DATE(C118,B118,1),1))</f>
        <v/>
      </c>
      <c r="J118" s="11">
        <f>IFERROR(I118/H118,0)</f>
        <v/>
      </c>
      <c r="K118" s="8">
        <f>MAX(0,SUM($F$2:F118))</f>
        <v/>
      </c>
      <c r="L118" s="11">
        <f>IFERROR(K118/Configuracion!$K$2,0)</f>
        <v/>
      </c>
      <c r="M118" s="8">
        <f>SUMIFS(Flujo_Caja!H:H,Flujo_Caja!B:B,B118,Flujo_Caja!C:C,C118)</f>
        <v/>
      </c>
      <c r="N118" s="2" t="n"/>
    </row>
    <row r="119">
      <c r="A119" s="2" t="n"/>
      <c r="B119" s="2" t="n"/>
      <c r="C119" s="2" t="n"/>
      <c r="D119" s="8">
        <f>SUMIFS(Ingresos!J:J,Ingresos!D:D,"&gt;="&amp;DATE(C119,B119,1),Ingresos!D:D,"&lt;"&amp;EDATE(DATE(C119,B119,1),1))</f>
        <v/>
      </c>
      <c r="E119" s="8">
        <f>SUMIFS(Egresos!H:H,Egresos!B:B,"&gt;="&amp;DATE(C119,B119,1),Egresos!B:B,"&lt;"&amp;EDATE(DATE(C119,B119,1),1))+SUMIFS(Gastos_Mensuales!H:H,Gastos_Mensuales!B:B,B119,Gastos_Mensuales!C:C,C119)+SUMIFS(Impuestos!I:I,Impuestos!B:B,B119,Impuestos!C:C,C119)</f>
        <v/>
      </c>
      <c r="F119" s="8">
        <f>D119-E119</f>
        <v/>
      </c>
      <c r="G119" s="11">
        <f>IFERROR(F119/D119,0)</f>
        <v/>
      </c>
      <c r="H119" s="2">
        <f>COUNTIFS(Cotizaciones!J:J,"Enviada",Cotizaciones!B:B,"&gt;="&amp;DATE(C119,B119,1),Cotizaciones!B:B,"&lt;"&amp;EDATE(DATE(C119,B119,1),1))</f>
        <v/>
      </c>
      <c r="I119" s="2">
        <f>COUNTIFS(Cotizaciones!J:J,"Aprobada",Cotizaciones!B:B,"&gt;="&amp;DATE(C119,B119,1),Cotizaciones!B:B,"&lt;"&amp;EDATE(DATE(C119,B119,1),1))</f>
        <v/>
      </c>
      <c r="J119" s="11">
        <f>IFERROR(I119/H119,0)</f>
        <v/>
      </c>
      <c r="K119" s="8">
        <f>MAX(0,SUM($F$2:F119))</f>
        <v/>
      </c>
      <c r="L119" s="11">
        <f>IFERROR(K119/Configuracion!$K$2,0)</f>
        <v/>
      </c>
      <c r="M119" s="8">
        <f>SUMIFS(Flujo_Caja!H:H,Flujo_Caja!B:B,B119,Flujo_Caja!C:C,C119)</f>
        <v/>
      </c>
      <c r="N119" s="2" t="n"/>
    </row>
    <row r="120">
      <c r="A120" s="2" t="n"/>
      <c r="B120" s="2" t="n"/>
      <c r="C120" s="2" t="n"/>
      <c r="D120" s="8">
        <f>SUMIFS(Ingresos!J:J,Ingresos!D:D,"&gt;="&amp;DATE(C120,B120,1),Ingresos!D:D,"&lt;"&amp;EDATE(DATE(C120,B120,1),1))</f>
        <v/>
      </c>
      <c r="E120" s="8">
        <f>SUMIFS(Egresos!H:H,Egresos!B:B,"&gt;="&amp;DATE(C120,B120,1),Egresos!B:B,"&lt;"&amp;EDATE(DATE(C120,B120,1),1))+SUMIFS(Gastos_Mensuales!H:H,Gastos_Mensuales!B:B,B120,Gastos_Mensuales!C:C,C120)+SUMIFS(Impuestos!I:I,Impuestos!B:B,B120,Impuestos!C:C,C120)</f>
        <v/>
      </c>
      <c r="F120" s="8">
        <f>D120-E120</f>
        <v/>
      </c>
      <c r="G120" s="11">
        <f>IFERROR(F120/D120,0)</f>
        <v/>
      </c>
      <c r="H120" s="2">
        <f>COUNTIFS(Cotizaciones!J:J,"Enviada",Cotizaciones!B:B,"&gt;="&amp;DATE(C120,B120,1),Cotizaciones!B:B,"&lt;"&amp;EDATE(DATE(C120,B120,1),1))</f>
        <v/>
      </c>
      <c r="I120" s="2">
        <f>COUNTIFS(Cotizaciones!J:J,"Aprobada",Cotizaciones!B:B,"&gt;="&amp;DATE(C120,B120,1),Cotizaciones!B:B,"&lt;"&amp;EDATE(DATE(C120,B120,1),1))</f>
        <v/>
      </c>
      <c r="J120" s="11">
        <f>IFERROR(I120/H120,0)</f>
        <v/>
      </c>
      <c r="K120" s="8">
        <f>MAX(0,SUM($F$2:F120))</f>
        <v/>
      </c>
      <c r="L120" s="11">
        <f>IFERROR(K120/Configuracion!$K$2,0)</f>
        <v/>
      </c>
      <c r="M120" s="8">
        <f>SUMIFS(Flujo_Caja!H:H,Flujo_Caja!B:B,B120,Flujo_Caja!C:C,C120)</f>
        <v/>
      </c>
      <c r="N120" s="2" t="n"/>
    </row>
    <row r="121">
      <c r="A121" s="2" t="n"/>
      <c r="B121" s="2" t="n"/>
      <c r="C121" s="2" t="n"/>
      <c r="D121" s="8">
        <f>SUMIFS(Ingresos!J:J,Ingresos!D:D,"&gt;="&amp;DATE(C121,B121,1),Ingresos!D:D,"&lt;"&amp;EDATE(DATE(C121,B121,1),1))</f>
        <v/>
      </c>
      <c r="E121" s="8">
        <f>SUMIFS(Egresos!H:H,Egresos!B:B,"&gt;="&amp;DATE(C121,B121,1),Egresos!B:B,"&lt;"&amp;EDATE(DATE(C121,B121,1),1))+SUMIFS(Gastos_Mensuales!H:H,Gastos_Mensuales!B:B,B121,Gastos_Mensuales!C:C,C121)+SUMIFS(Impuestos!I:I,Impuestos!B:B,B121,Impuestos!C:C,C121)</f>
        <v/>
      </c>
      <c r="F121" s="8">
        <f>D121-E121</f>
        <v/>
      </c>
      <c r="G121" s="11">
        <f>IFERROR(F121/D121,0)</f>
        <v/>
      </c>
      <c r="H121" s="2">
        <f>COUNTIFS(Cotizaciones!J:J,"Enviada",Cotizaciones!B:B,"&gt;="&amp;DATE(C121,B121,1),Cotizaciones!B:B,"&lt;"&amp;EDATE(DATE(C121,B121,1),1))</f>
        <v/>
      </c>
      <c r="I121" s="2">
        <f>COUNTIFS(Cotizaciones!J:J,"Aprobada",Cotizaciones!B:B,"&gt;="&amp;DATE(C121,B121,1),Cotizaciones!B:B,"&lt;"&amp;EDATE(DATE(C121,B121,1),1))</f>
        <v/>
      </c>
      <c r="J121" s="11">
        <f>IFERROR(I121/H121,0)</f>
        <v/>
      </c>
      <c r="K121" s="8">
        <f>MAX(0,SUM($F$2:F121))</f>
        <v/>
      </c>
      <c r="L121" s="11">
        <f>IFERROR(K121/Configuracion!$K$2,0)</f>
        <v/>
      </c>
      <c r="M121" s="8">
        <f>SUMIFS(Flujo_Caja!H:H,Flujo_Caja!B:B,B121,Flujo_Caja!C:C,C121)</f>
        <v/>
      </c>
      <c r="N121" s="2" t="n"/>
    </row>
    <row r="122">
      <c r="A122" s="2" t="n"/>
      <c r="B122" s="2" t="n"/>
      <c r="C122" s="2" t="n"/>
      <c r="D122" s="8">
        <f>SUMIFS(Ingresos!J:J,Ingresos!D:D,"&gt;="&amp;DATE(C122,B122,1),Ingresos!D:D,"&lt;"&amp;EDATE(DATE(C122,B122,1),1))</f>
        <v/>
      </c>
      <c r="E122" s="8">
        <f>SUMIFS(Egresos!H:H,Egresos!B:B,"&gt;="&amp;DATE(C122,B122,1),Egresos!B:B,"&lt;"&amp;EDATE(DATE(C122,B122,1),1))+SUMIFS(Gastos_Mensuales!H:H,Gastos_Mensuales!B:B,B122,Gastos_Mensuales!C:C,C122)+SUMIFS(Impuestos!I:I,Impuestos!B:B,B122,Impuestos!C:C,C122)</f>
        <v/>
      </c>
      <c r="F122" s="8">
        <f>D122-E122</f>
        <v/>
      </c>
      <c r="G122" s="11">
        <f>IFERROR(F122/D122,0)</f>
        <v/>
      </c>
      <c r="H122" s="2">
        <f>COUNTIFS(Cotizaciones!J:J,"Enviada",Cotizaciones!B:B,"&gt;="&amp;DATE(C122,B122,1),Cotizaciones!B:B,"&lt;"&amp;EDATE(DATE(C122,B122,1),1))</f>
        <v/>
      </c>
      <c r="I122" s="2">
        <f>COUNTIFS(Cotizaciones!J:J,"Aprobada",Cotizaciones!B:B,"&gt;="&amp;DATE(C122,B122,1),Cotizaciones!B:B,"&lt;"&amp;EDATE(DATE(C122,B122,1),1))</f>
        <v/>
      </c>
      <c r="J122" s="11">
        <f>IFERROR(I122/H122,0)</f>
        <v/>
      </c>
      <c r="K122" s="8">
        <f>MAX(0,SUM($F$2:F122))</f>
        <v/>
      </c>
      <c r="L122" s="11">
        <f>IFERROR(K122/Configuracion!$K$2,0)</f>
        <v/>
      </c>
      <c r="M122" s="8">
        <f>SUMIFS(Flujo_Caja!H:H,Flujo_Caja!B:B,B122,Flujo_Caja!C:C,C122)</f>
        <v/>
      </c>
      <c r="N122" s="2" t="n"/>
    </row>
    <row r="123">
      <c r="A123" s="2" t="n"/>
      <c r="B123" s="2" t="n"/>
      <c r="C123" s="2" t="n"/>
      <c r="D123" s="8">
        <f>SUMIFS(Ingresos!J:J,Ingresos!D:D,"&gt;="&amp;DATE(C123,B123,1),Ingresos!D:D,"&lt;"&amp;EDATE(DATE(C123,B123,1),1))</f>
        <v/>
      </c>
      <c r="E123" s="8">
        <f>SUMIFS(Egresos!H:H,Egresos!B:B,"&gt;="&amp;DATE(C123,B123,1),Egresos!B:B,"&lt;"&amp;EDATE(DATE(C123,B123,1),1))+SUMIFS(Gastos_Mensuales!H:H,Gastos_Mensuales!B:B,B123,Gastos_Mensuales!C:C,C123)+SUMIFS(Impuestos!I:I,Impuestos!B:B,B123,Impuestos!C:C,C123)</f>
        <v/>
      </c>
      <c r="F123" s="8">
        <f>D123-E123</f>
        <v/>
      </c>
      <c r="G123" s="11">
        <f>IFERROR(F123/D123,0)</f>
        <v/>
      </c>
      <c r="H123" s="2">
        <f>COUNTIFS(Cotizaciones!J:J,"Enviada",Cotizaciones!B:B,"&gt;="&amp;DATE(C123,B123,1),Cotizaciones!B:B,"&lt;"&amp;EDATE(DATE(C123,B123,1),1))</f>
        <v/>
      </c>
      <c r="I123" s="2">
        <f>COUNTIFS(Cotizaciones!J:J,"Aprobada",Cotizaciones!B:B,"&gt;="&amp;DATE(C123,B123,1),Cotizaciones!B:B,"&lt;"&amp;EDATE(DATE(C123,B123,1),1))</f>
        <v/>
      </c>
      <c r="J123" s="11">
        <f>IFERROR(I123/H123,0)</f>
        <v/>
      </c>
      <c r="K123" s="8">
        <f>MAX(0,SUM($F$2:F123))</f>
        <v/>
      </c>
      <c r="L123" s="11">
        <f>IFERROR(K123/Configuracion!$K$2,0)</f>
        <v/>
      </c>
      <c r="M123" s="8">
        <f>SUMIFS(Flujo_Caja!H:H,Flujo_Caja!B:B,B123,Flujo_Caja!C:C,C123)</f>
        <v/>
      </c>
      <c r="N123" s="2" t="n"/>
    </row>
    <row r="124">
      <c r="A124" s="2" t="n"/>
      <c r="B124" s="2" t="n"/>
      <c r="C124" s="2" t="n"/>
      <c r="D124" s="8">
        <f>SUMIFS(Ingresos!J:J,Ingresos!D:D,"&gt;="&amp;DATE(C124,B124,1),Ingresos!D:D,"&lt;"&amp;EDATE(DATE(C124,B124,1),1))</f>
        <v/>
      </c>
      <c r="E124" s="8">
        <f>SUMIFS(Egresos!H:H,Egresos!B:B,"&gt;="&amp;DATE(C124,B124,1),Egresos!B:B,"&lt;"&amp;EDATE(DATE(C124,B124,1),1))+SUMIFS(Gastos_Mensuales!H:H,Gastos_Mensuales!B:B,B124,Gastos_Mensuales!C:C,C124)+SUMIFS(Impuestos!I:I,Impuestos!B:B,B124,Impuestos!C:C,C124)</f>
        <v/>
      </c>
      <c r="F124" s="8">
        <f>D124-E124</f>
        <v/>
      </c>
      <c r="G124" s="11">
        <f>IFERROR(F124/D124,0)</f>
        <v/>
      </c>
      <c r="H124" s="2">
        <f>COUNTIFS(Cotizaciones!J:J,"Enviada",Cotizaciones!B:B,"&gt;="&amp;DATE(C124,B124,1),Cotizaciones!B:B,"&lt;"&amp;EDATE(DATE(C124,B124,1),1))</f>
        <v/>
      </c>
      <c r="I124" s="2">
        <f>COUNTIFS(Cotizaciones!J:J,"Aprobada",Cotizaciones!B:B,"&gt;="&amp;DATE(C124,B124,1),Cotizaciones!B:B,"&lt;"&amp;EDATE(DATE(C124,B124,1),1))</f>
        <v/>
      </c>
      <c r="J124" s="11">
        <f>IFERROR(I124/H124,0)</f>
        <v/>
      </c>
      <c r="K124" s="8">
        <f>MAX(0,SUM($F$2:F124))</f>
        <v/>
      </c>
      <c r="L124" s="11">
        <f>IFERROR(K124/Configuracion!$K$2,0)</f>
        <v/>
      </c>
      <c r="M124" s="8">
        <f>SUMIFS(Flujo_Caja!H:H,Flujo_Caja!B:B,B124,Flujo_Caja!C:C,C124)</f>
        <v/>
      </c>
      <c r="N124" s="2" t="n"/>
    </row>
    <row r="125">
      <c r="A125" s="2" t="n"/>
      <c r="B125" s="2" t="n"/>
      <c r="C125" s="2" t="n"/>
      <c r="D125" s="8">
        <f>SUMIFS(Ingresos!J:J,Ingresos!D:D,"&gt;="&amp;DATE(C125,B125,1),Ingresos!D:D,"&lt;"&amp;EDATE(DATE(C125,B125,1),1))</f>
        <v/>
      </c>
      <c r="E125" s="8">
        <f>SUMIFS(Egresos!H:H,Egresos!B:B,"&gt;="&amp;DATE(C125,B125,1),Egresos!B:B,"&lt;"&amp;EDATE(DATE(C125,B125,1),1))+SUMIFS(Gastos_Mensuales!H:H,Gastos_Mensuales!B:B,B125,Gastos_Mensuales!C:C,C125)+SUMIFS(Impuestos!I:I,Impuestos!B:B,B125,Impuestos!C:C,C125)</f>
        <v/>
      </c>
      <c r="F125" s="8">
        <f>D125-E125</f>
        <v/>
      </c>
      <c r="G125" s="11">
        <f>IFERROR(F125/D125,0)</f>
        <v/>
      </c>
      <c r="H125" s="2">
        <f>COUNTIFS(Cotizaciones!J:J,"Enviada",Cotizaciones!B:B,"&gt;="&amp;DATE(C125,B125,1),Cotizaciones!B:B,"&lt;"&amp;EDATE(DATE(C125,B125,1),1))</f>
        <v/>
      </c>
      <c r="I125" s="2">
        <f>COUNTIFS(Cotizaciones!J:J,"Aprobada",Cotizaciones!B:B,"&gt;="&amp;DATE(C125,B125,1),Cotizaciones!B:B,"&lt;"&amp;EDATE(DATE(C125,B125,1),1))</f>
        <v/>
      </c>
      <c r="J125" s="11">
        <f>IFERROR(I125/H125,0)</f>
        <v/>
      </c>
      <c r="K125" s="8">
        <f>MAX(0,SUM($F$2:F125))</f>
        <v/>
      </c>
      <c r="L125" s="11">
        <f>IFERROR(K125/Configuracion!$K$2,0)</f>
        <v/>
      </c>
      <c r="M125" s="8">
        <f>SUMIFS(Flujo_Caja!H:H,Flujo_Caja!B:B,B125,Flujo_Caja!C:C,C125)</f>
        <v/>
      </c>
      <c r="N125" s="2" t="n"/>
    </row>
    <row r="126">
      <c r="A126" s="2" t="n"/>
      <c r="B126" s="2" t="n"/>
      <c r="C126" s="2" t="n"/>
      <c r="D126" s="8">
        <f>SUMIFS(Ingresos!J:J,Ingresos!D:D,"&gt;="&amp;DATE(C126,B126,1),Ingresos!D:D,"&lt;"&amp;EDATE(DATE(C126,B126,1),1))</f>
        <v/>
      </c>
      <c r="E126" s="8">
        <f>SUMIFS(Egresos!H:H,Egresos!B:B,"&gt;="&amp;DATE(C126,B126,1),Egresos!B:B,"&lt;"&amp;EDATE(DATE(C126,B126,1),1))+SUMIFS(Gastos_Mensuales!H:H,Gastos_Mensuales!B:B,B126,Gastos_Mensuales!C:C,C126)+SUMIFS(Impuestos!I:I,Impuestos!B:B,B126,Impuestos!C:C,C126)</f>
        <v/>
      </c>
      <c r="F126" s="8">
        <f>D126-E126</f>
        <v/>
      </c>
      <c r="G126" s="11">
        <f>IFERROR(F126/D126,0)</f>
        <v/>
      </c>
      <c r="H126" s="2">
        <f>COUNTIFS(Cotizaciones!J:J,"Enviada",Cotizaciones!B:B,"&gt;="&amp;DATE(C126,B126,1),Cotizaciones!B:B,"&lt;"&amp;EDATE(DATE(C126,B126,1),1))</f>
        <v/>
      </c>
      <c r="I126" s="2">
        <f>COUNTIFS(Cotizaciones!J:J,"Aprobada",Cotizaciones!B:B,"&gt;="&amp;DATE(C126,B126,1),Cotizaciones!B:B,"&lt;"&amp;EDATE(DATE(C126,B126,1),1))</f>
        <v/>
      </c>
      <c r="J126" s="11">
        <f>IFERROR(I126/H126,0)</f>
        <v/>
      </c>
      <c r="K126" s="8">
        <f>MAX(0,SUM($F$2:F126))</f>
        <v/>
      </c>
      <c r="L126" s="11">
        <f>IFERROR(K126/Configuracion!$K$2,0)</f>
        <v/>
      </c>
      <c r="M126" s="8">
        <f>SUMIFS(Flujo_Caja!H:H,Flujo_Caja!B:B,B126,Flujo_Caja!C:C,C126)</f>
        <v/>
      </c>
      <c r="N126" s="2" t="n"/>
    </row>
    <row r="127">
      <c r="A127" s="2" t="n"/>
      <c r="B127" s="2" t="n"/>
      <c r="C127" s="2" t="n"/>
      <c r="D127" s="8">
        <f>SUMIFS(Ingresos!J:J,Ingresos!D:D,"&gt;="&amp;DATE(C127,B127,1),Ingresos!D:D,"&lt;"&amp;EDATE(DATE(C127,B127,1),1))</f>
        <v/>
      </c>
      <c r="E127" s="8">
        <f>SUMIFS(Egresos!H:H,Egresos!B:B,"&gt;="&amp;DATE(C127,B127,1),Egresos!B:B,"&lt;"&amp;EDATE(DATE(C127,B127,1),1))+SUMIFS(Gastos_Mensuales!H:H,Gastos_Mensuales!B:B,B127,Gastos_Mensuales!C:C,C127)+SUMIFS(Impuestos!I:I,Impuestos!B:B,B127,Impuestos!C:C,C127)</f>
        <v/>
      </c>
      <c r="F127" s="8">
        <f>D127-E127</f>
        <v/>
      </c>
      <c r="G127" s="11">
        <f>IFERROR(F127/D127,0)</f>
        <v/>
      </c>
      <c r="H127" s="2">
        <f>COUNTIFS(Cotizaciones!J:J,"Enviada",Cotizaciones!B:B,"&gt;="&amp;DATE(C127,B127,1),Cotizaciones!B:B,"&lt;"&amp;EDATE(DATE(C127,B127,1),1))</f>
        <v/>
      </c>
      <c r="I127" s="2">
        <f>COUNTIFS(Cotizaciones!J:J,"Aprobada",Cotizaciones!B:B,"&gt;="&amp;DATE(C127,B127,1),Cotizaciones!B:B,"&lt;"&amp;EDATE(DATE(C127,B127,1),1))</f>
        <v/>
      </c>
      <c r="J127" s="11">
        <f>IFERROR(I127/H127,0)</f>
        <v/>
      </c>
      <c r="K127" s="8">
        <f>MAX(0,SUM($F$2:F127))</f>
        <v/>
      </c>
      <c r="L127" s="11">
        <f>IFERROR(K127/Configuracion!$K$2,0)</f>
        <v/>
      </c>
      <c r="M127" s="8">
        <f>SUMIFS(Flujo_Caja!H:H,Flujo_Caja!B:B,B127,Flujo_Caja!C:C,C127)</f>
        <v/>
      </c>
      <c r="N127" s="2" t="n"/>
    </row>
    <row r="128">
      <c r="A128" s="2" t="n"/>
      <c r="B128" s="2" t="n"/>
      <c r="C128" s="2" t="n"/>
      <c r="D128" s="8">
        <f>SUMIFS(Ingresos!J:J,Ingresos!D:D,"&gt;="&amp;DATE(C128,B128,1),Ingresos!D:D,"&lt;"&amp;EDATE(DATE(C128,B128,1),1))</f>
        <v/>
      </c>
      <c r="E128" s="8">
        <f>SUMIFS(Egresos!H:H,Egresos!B:B,"&gt;="&amp;DATE(C128,B128,1),Egresos!B:B,"&lt;"&amp;EDATE(DATE(C128,B128,1),1))+SUMIFS(Gastos_Mensuales!H:H,Gastos_Mensuales!B:B,B128,Gastos_Mensuales!C:C,C128)+SUMIFS(Impuestos!I:I,Impuestos!B:B,B128,Impuestos!C:C,C128)</f>
        <v/>
      </c>
      <c r="F128" s="8">
        <f>D128-E128</f>
        <v/>
      </c>
      <c r="G128" s="11">
        <f>IFERROR(F128/D128,0)</f>
        <v/>
      </c>
      <c r="H128" s="2">
        <f>COUNTIFS(Cotizaciones!J:J,"Enviada",Cotizaciones!B:B,"&gt;="&amp;DATE(C128,B128,1),Cotizaciones!B:B,"&lt;"&amp;EDATE(DATE(C128,B128,1),1))</f>
        <v/>
      </c>
      <c r="I128" s="2">
        <f>COUNTIFS(Cotizaciones!J:J,"Aprobada",Cotizaciones!B:B,"&gt;="&amp;DATE(C128,B128,1),Cotizaciones!B:B,"&lt;"&amp;EDATE(DATE(C128,B128,1),1))</f>
        <v/>
      </c>
      <c r="J128" s="11">
        <f>IFERROR(I128/H128,0)</f>
        <v/>
      </c>
      <c r="K128" s="8">
        <f>MAX(0,SUM($F$2:F128))</f>
        <v/>
      </c>
      <c r="L128" s="11">
        <f>IFERROR(K128/Configuracion!$K$2,0)</f>
        <v/>
      </c>
      <c r="M128" s="8">
        <f>SUMIFS(Flujo_Caja!H:H,Flujo_Caja!B:B,B128,Flujo_Caja!C:C,C128)</f>
        <v/>
      </c>
      <c r="N128" s="2" t="n"/>
    </row>
    <row r="129">
      <c r="A129" s="2" t="n"/>
      <c r="B129" s="2" t="n"/>
      <c r="C129" s="2" t="n"/>
      <c r="D129" s="8">
        <f>SUMIFS(Ingresos!J:J,Ingresos!D:D,"&gt;="&amp;DATE(C129,B129,1),Ingresos!D:D,"&lt;"&amp;EDATE(DATE(C129,B129,1),1))</f>
        <v/>
      </c>
      <c r="E129" s="8">
        <f>SUMIFS(Egresos!H:H,Egresos!B:B,"&gt;="&amp;DATE(C129,B129,1),Egresos!B:B,"&lt;"&amp;EDATE(DATE(C129,B129,1),1))+SUMIFS(Gastos_Mensuales!H:H,Gastos_Mensuales!B:B,B129,Gastos_Mensuales!C:C,C129)+SUMIFS(Impuestos!I:I,Impuestos!B:B,B129,Impuestos!C:C,C129)</f>
        <v/>
      </c>
      <c r="F129" s="8">
        <f>D129-E129</f>
        <v/>
      </c>
      <c r="G129" s="11">
        <f>IFERROR(F129/D129,0)</f>
        <v/>
      </c>
      <c r="H129" s="2">
        <f>COUNTIFS(Cotizaciones!J:J,"Enviada",Cotizaciones!B:B,"&gt;="&amp;DATE(C129,B129,1),Cotizaciones!B:B,"&lt;"&amp;EDATE(DATE(C129,B129,1),1))</f>
        <v/>
      </c>
      <c r="I129" s="2">
        <f>COUNTIFS(Cotizaciones!J:J,"Aprobada",Cotizaciones!B:B,"&gt;="&amp;DATE(C129,B129,1),Cotizaciones!B:B,"&lt;"&amp;EDATE(DATE(C129,B129,1),1))</f>
        <v/>
      </c>
      <c r="J129" s="11">
        <f>IFERROR(I129/H129,0)</f>
        <v/>
      </c>
      <c r="K129" s="8">
        <f>MAX(0,SUM($F$2:F129))</f>
        <v/>
      </c>
      <c r="L129" s="11">
        <f>IFERROR(K129/Configuracion!$K$2,0)</f>
        <v/>
      </c>
      <c r="M129" s="8">
        <f>SUMIFS(Flujo_Caja!H:H,Flujo_Caja!B:B,B129,Flujo_Caja!C:C,C129)</f>
        <v/>
      </c>
      <c r="N129" s="2" t="n"/>
    </row>
    <row r="130">
      <c r="A130" s="2" t="n"/>
      <c r="B130" s="2" t="n"/>
      <c r="C130" s="2" t="n"/>
      <c r="D130" s="8">
        <f>SUMIFS(Ingresos!J:J,Ingresos!D:D,"&gt;="&amp;DATE(C130,B130,1),Ingresos!D:D,"&lt;"&amp;EDATE(DATE(C130,B130,1),1))</f>
        <v/>
      </c>
      <c r="E130" s="8">
        <f>SUMIFS(Egresos!H:H,Egresos!B:B,"&gt;="&amp;DATE(C130,B130,1),Egresos!B:B,"&lt;"&amp;EDATE(DATE(C130,B130,1),1))+SUMIFS(Gastos_Mensuales!H:H,Gastos_Mensuales!B:B,B130,Gastos_Mensuales!C:C,C130)+SUMIFS(Impuestos!I:I,Impuestos!B:B,B130,Impuestos!C:C,C130)</f>
        <v/>
      </c>
      <c r="F130" s="8">
        <f>D130-E130</f>
        <v/>
      </c>
      <c r="G130" s="11">
        <f>IFERROR(F130/D130,0)</f>
        <v/>
      </c>
      <c r="H130" s="2">
        <f>COUNTIFS(Cotizaciones!J:J,"Enviada",Cotizaciones!B:B,"&gt;="&amp;DATE(C130,B130,1),Cotizaciones!B:B,"&lt;"&amp;EDATE(DATE(C130,B130,1),1))</f>
        <v/>
      </c>
      <c r="I130" s="2">
        <f>COUNTIFS(Cotizaciones!J:J,"Aprobada",Cotizaciones!B:B,"&gt;="&amp;DATE(C130,B130,1),Cotizaciones!B:B,"&lt;"&amp;EDATE(DATE(C130,B130,1),1))</f>
        <v/>
      </c>
      <c r="J130" s="11">
        <f>IFERROR(I130/H130,0)</f>
        <v/>
      </c>
      <c r="K130" s="8">
        <f>MAX(0,SUM($F$2:F130))</f>
        <v/>
      </c>
      <c r="L130" s="11">
        <f>IFERROR(K130/Configuracion!$K$2,0)</f>
        <v/>
      </c>
      <c r="M130" s="8">
        <f>SUMIFS(Flujo_Caja!H:H,Flujo_Caja!B:B,B130,Flujo_Caja!C:C,C130)</f>
        <v/>
      </c>
      <c r="N130" s="2" t="n"/>
    </row>
    <row r="131">
      <c r="A131" s="2" t="n"/>
      <c r="B131" s="2" t="n"/>
      <c r="C131" s="2" t="n"/>
      <c r="D131" s="8">
        <f>SUMIFS(Ingresos!J:J,Ingresos!D:D,"&gt;="&amp;DATE(C131,B131,1),Ingresos!D:D,"&lt;"&amp;EDATE(DATE(C131,B131,1),1))</f>
        <v/>
      </c>
      <c r="E131" s="8">
        <f>SUMIFS(Egresos!H:H,Egresos!B:B,"&gt;="&amp;DATE(C131,B131,1),Egresos!B:B,"&lt;"&amp;EDATE(DATE(C131,B131,1),1))+SUMIFS(Gastos_Mensuales!H:H,Gastos_Mensuales!B:B,B131,Gastos_Mensuales!C:C,C131)+SUMIFS(Impuestos!I:I,Impuestos!B:B,B131,Impuestos!C:C,C131)</f>
        <v/>
      </c>
      <c r="F131" s="8">
        <f>D131-E131</f>
        <v/>
      </c>
      <c r="G131" s="11">
        <f>IFERROR(F131/D131,0)</f>
        <v/>
      </c>
      <c r="H131" s="2">
        <f>COUNTIFS(Cotizaciones!J:J,"Enviada",Cotizaciones!B:B,"&gt;="&amp;DATE(C131,B131,1),Cotizaciones!B:B,"&lt;"&amp;EDATE(DATE(C131,B131,1),1))</f>
        <v/>
      </c>
      <c r="I131" s="2">
        <f>COUNTIFS(Cotizaciones!J:J,"Aprobada",Cotizaciones!B:B,"&gt;="&amp;DATE(C131,B131,1),Cotizaciones!B:B,"&lt;"&amp;EDATE(DATE(C131,B131,1),1))</f>
        <v/>
      </c>
      <c r="J131" s="11">
        <f>IFERROR(I131/H131,0)</f>
        <v/>
      </c>
      <c r="K131" s="8">
        <f>MAX(0,SUM($F$2:F131))</f>
        <v/>
      </c>
      <c r="L131" s="11">
        <f>IFERROR(K131/Configuracion!$K$2,0)</f>
        <v/>
      </c>
      <c r="M131" s="8">
        <f>SUMIFS(Flujo_Caja!H:H,Flujo_Caja!B:B,B131,Flujo_Caja!C:C,C131)</f>
        <v/>
      </c>
      <c r="N131" s="2" t="n"/>
    </row>
    <row r="132">
      <c r="A132" s="2" t="n"/>
      <c r="B132" s="2" t="n"/>
      <c r="C132" s="2" t="n"/>
      <c r="D132" s="8">
        <f>SUMIFS(Ingresos!J:J,Ingresos!D:D,"&gt;="&amp;DATE(C132,B132,1),Ingresos!D:D,"&lt;"&amp;EDATE(DATE(C132,B132,1),1))</f>
        <v/>
      </c>
      <c r="E132" s="8">
        <f>SUMIFS(Egresos!H:H,Egresos!B:B,"&gt;="&amp;DATE(C132,B132,1),Egresos!B:B,"&lt;"&amp;EDATE(DATE(C132,B132,1),1))+SUMIFS(Gastos_Mensuales!H:H,Gastos_Mensuales!B:B,B132,Gastos_Mensuales!C:C,C132)+SUMIFS(Impuestos!I:I,Impuestos!B:B,B132,Impuestos!C:C,C132)</f>
        <v/>
      </c>
      <c r="F132" s="8">
        <f>D132-E132</f>
        <v/>
      </c>
      <c r="G132" s="11">
        <f>IFERROR(F132/D132,0)</f>
        <v/>
      </c>
      <c r="H132" s="2">
        <f>COUNTIFS(Cotizaciones!J:J,"Enviada",Cotizaciones!B:B,"&gt;="&amp;DATE(C132,B132,1),Cotizaciones!B:B,"&lt;"&amp;EDATE(DATE(C132,B132,1),1))</f>
        <v/>
      </c>
      <c r="I132" s="2">
        <f>COUNTIFS(Cotizaciones!J:J,"Aprobada",Cotizaciones!B:B,"&gt;="&amp;DATE(C132,B132,1),Cotizaciones!B:B,"&lt;"&amp;EDATE(DATE(C132,B132,1),1))</f>
        <v/>
      </c>
      <c r="J132" s="11">
        <f>IFERROR(I132/H132,0)</f>
        <v/>
      </c>
      <c r="K132" s="8">
        <f>MAX(0,SUM($F$2:F132))</f>
        <v/>
      </c>
      <c r="L132" s="11">
        <f>IFERROR(K132/Configuracion!$K$2,0)</f>
        <v/>
      </c>
      <c r="M132" s="8">
        <f>SUMIFS(Flujo_Caja!H:H,Flujo_Caja!B:B,B132,Flujo_Caja!C:C,C132)</f>
        <v/>
      </c>
      <c r="N132" s="2" t="n"/>
    </row>
    <row r="133">
      <c r="A133" s="2" t="n"/>
      <c r="B133" s="2" t="n"/>
      <c r="C133" s="2" t="n"/>
      <c r="D133" s="8">
        <f>SUMIFS(Ingresos!J:J,Ingresos!D:D,"&gt;="&amp;DATE(C133,B133,1),Ingresos!D:D,"&lt;"&amp;EDATE(DATE(C133,B133,1),1))</f>
        <v/>
      </c>
      <c r="E133" s="8">
        <f>SUMIFS(Egresos!H:H,Egresos!B:B,"&gt;="&amp;DATE(C133,B133,1),Egresos!B:B,"&lt;"&amp;EDATE(DATE(C133,B133,1),1))+SUMIFS(Gastos_Mensuales!H:H,Gastos_Mensuales!B:B,B133,Gastos_Mensuales!C:C,C133)+SUMIFS(Impuestos!I:I,Impuestos!B:B,B133,Impuestos!C:C,C133)</f>
        <v/>
      </c>
      <c r="F133" s="8">
        <f>D133-E133</f>
        <v/>
      </c>
      <c r="G133" s="11">
        <f>IFERROR(F133/D133,0)</f>
        <v/>
      </c>
      <c r="H133" s="2">
        <f>COUNTIFS(Cotizaciones!J:J,"Enviada",Cotizaciones!B:B,"&gt;="&amp;DATE(C133,B133,1),Cotizaciones!B:B,"&lt;"&amp;EDATE(DATE(C133,B133,1),1))</f>
        <v/>
      </c>
      <c r="I133" s="2">
        <f>COUNTIFS(Cotizaciones!J:J,"Aprobada",Cotizaciones!B:B,"&gt;="&amp;DATE(C133,B133,1),Cotizaciones!B:B,"&lt;"&amp;EDATE(DATE(C133,B133,1),1))</f>
        <v/>
      </c>
      <c r="J133" s="11">
        <f>IFERROR(I133/H133,0)</f>
        <v/>
      </c>
      <c r="K133" s="8">
        <f>MAX(0,SUM($F$2:F133))</f>
        <v/>
      </c>
      <c r="L133" s="11">
        <f>IFERROR(K133/Configuracion!$K$2,0)</f>
        <v/>
      </c>
      <c r="M133" s="8">
        <f>SUMIFS(Flujo_Caja!H:H,Flujo_Caja!B:B,B133,Flujo_Caja!C:C,C133)</f>
        <v/>
      </c>
      <c r="N133" s="2" t="n"/>
    </row>
    <row r="134">
      <c r="A134" s="2" t="n"/>
      <c r="B134" s="2" t="n"/>
      <c r="C134" s="2" t="n"/>
      <c r="D134" s="8">
        <f>SUMIFS(Ingresos!J:J,Ingresos!D:D,"&gt;="&amp;DATE(C134,B134,1),Ingresos!D:D,"&lt;"&amp;EDATE(DATE(C134,B134,1),1))</f>
        <v/>
      </c>
      <c r="E134" s="8">
        <f>SUMIFS(Egresos!H:H,Egresos!B:B,"&gt;="&amp;DATE(C134,B134,1),Egresos!B:B,"&lt;"&amp;EDATE(DATE(C134,B134,1),1))+SUMIFS(Gastos_Mensuales!H:H,Gastos_Mensuales!B:B,B134,Gastos_Mensuales!C:C,C134)+SUMIFS(Impuestos!I:I,Impuestos!B:B,B134,Impuestos!C:C,C134)</f>
        <v/>
      </c>
      <c r="F134" s="8">
        <f>D134-E134</f>
        <v/>
      </c>
      <c r="G134" s="11">
        <f>IFERROR(F134/D134,0)</f>
        <v/>
      </c>
      <c r="H134" s="2">
        <f>COUNTIFS(Cotizaciones!J:J,"Enviada",Cotizaciones!B:B,"&gt;="&amp;DATE(C134,B134,1),Cotizaciones!B:B,"&lt;"&amp;EDATE(DATE(C134,B134,1),1))</f>
        <v/>
      </c>
      <c r="I134" s="2">
        <f>COUNTIFS(Cotizaciones!J:J,"Aprobada",Cotizaciones!B:B,"&gt;="&amp;DATE(C134,B134,1),Cotizaciones!B:B,"&lt;"&amp;EDATE(DATE(C134,B134,1),1))</f>
        <v/>
      </c>
      <c r="J134" s="11">
        <f>IFERROR(I134/H134,0)</f>
        <v/>
      </c>
      <c r="K134" s="8">
        <f>MAX(0,SUM($F$2:F134))</f>
        <v/>
      </c>
      <c r="L134" s="11">
        <f>IFERROR(K134/Configuracion!$K$2,0)</f>
        <v/>
      </c>
      <c r="M134" s="8">
        <f>SUMIFS(Flujo_Caja!H:H,Flujo_Caja!B:B,B134,Flujo_Caja!C:C,C134)</f>
        <v/>
      </c>
      <c r="N134" s="2" t="n"/>
    </row>
    <row r="135">
      <c r="A135" s="2" t="n"/>
      <c r="B135" s="2" t="n"/>
      <c r="C135" s="2" t="n"/>
      <c r="D135" s="8">
        <f>SUMIFS(Ingresos!J:J,Ingresos!D:D,"&gt;="&amp;DATE(C135,B135,1),Ingresos!D:D,"&lt;"&amp;EDATE(DATE(C135,B135,1),1))</f>
        <v/>
      </c>
      <c r="E135" s="8">
        <f>SUMIFS(Egresos!H:H,Egresos!B:B,"&gt;="&amp;DATE(C135,B135,1),Egresos!B:B,"&lt;"&amp;EDATE(DATE(C135,B135,1),1))+SUMIFS(Gastos_Mensuales!H:H,Gastos_Mensuales!B:B,B135,Gastos_Mensuales!C:C,C135)+SUMIFS(Impuestos!I:I,Impuestos!B:B,B135,Impuestos!C:C,C135)</f>
        <v/>
      </c>
      <c r="F135" s="8">
        <f>D135-E135</f>
        <v/>
      </c>
      <c r="G135" s="11">
        <f>IFERROR(F135/D135,0)</f>
        <v/>
      </c>
      <c r="H135" s="2">
        <f>COUNTIFS(Cotizaciones!J:J,"Enviada",Cotizaciones!B:B,"&gt;="&amp;DATE(C135,B135,1),Cotizaciones!B:B,"&lt;"&amp;EDATE(DATE(C135,B135,1),1))</f>
        <v/>
      </c>
      <c r="I135" s="2">
        <f>COUNTIFS(Cotizaciones!J:J,"Aprobada",Cotizaciones!B:B,"&gt;="&amp;DATE(C135,B135,1),Cotizaciones!B:B,"&lt;"&amp;EDATE(DATE(C135,B135,1),1))</f>
        <v/>
      </c>
      <c r="J135" s="11">
        <f>IFERROR(I135/H135,0)</f>
        <v/>
      </c>
      <c r="K135" s="8">
        <f>MAX(0,SUM($F$2:F135))</f>
        <v/>
      </c>
      <c r="L135" s="11">
        <f>IFERROR(K135/Configuracion!$K$2,0)</f>
        <v/>
      </c>
      <c r="M135" s="8">
        <f>SUMIFS(Flujo_Caja!H:H,Flujo_Caja!B:B,B135,Flujo_Caja!C:C,C135)</f>
        <v/>
      </c>
      <c r="N135" s="2" t="n"/>
    </row>
    <row r="136">
      <c r="A136" s="2" t="n"/>
      <c r="B136" s="2" t="n"/>
      <c r="C136" s="2" t="n"/>
      <c r="D136" s="8">
        <f>SUMIFS(Ingresos!J:J,Ingresos!D:D,"&gt;="&amp;DATE(C136,B136,1),Ingresos!D:D,"&lt;"&amp;EDATE(DATE(C136,B136,1),1))</f>
        <v/>
      </c>
      <c r="E136" s="8">
        <f>SUMIFS(Egresos!H:H,Egresos!B:B,"&gt;="&amp;DATE(C136,B136,1),Egresos!B:B,"&lt;"&amp;EDATE(DATE(C136,B136,1),1))+SUMIFS(Gastos_Mensuales!H:H,Gastos_Mensuales!B:B,B136,Gastos_Mensuales!C:C,C136)+SUMIFS(Impuestos!I:I,Impuestos!B:B,B136,Impuestos!C:C,C136)</f>
        <v/>
      </c>
      <c r="F136" s="8">
        <f>D136-E136</f>
        <v/>
      </c>
      <c r="G136" s="11">
        <f>IFERROR(F136/D136,0)</f>
        <v/>
      </c>
      <c r="H136" s="2">
        <f>COUNTIFS(Cotizaciones!J:J,"Enviada",Cotizaciones!B:B,"&gt;="&amp;DATE(C136,B136,1),Cotizaciones!B:B,"&lt;"&amp;EDATE(DATE(C136,B136,1),1))</f>
        <v/>
      </c>
      <c r="I136" s="2">
        <f>COUNTIFS(Cotizaciones!J:J,"Aprobada",Cotizaciones!B:B,"&gt;="&amp;DATE(C136,B136,1),Cotizaciones!B:B,"&lt;"&amp;EDATE(DATE(C136,B136,1),1))</f>
        <v/>
      </c>
      <c r="J136" s="11">
        <f>IFERROR(I136/H136,0)</f>
        <v/>
      </c>
      <c r="K136" s="8">
        <f>MAX(0,SUM($F$2:F136))</f>
        <v/>
      </c>
      <c r="L136" s="11">
        <f>IFERROR(K136/Configuracion!$K$2,0)</f>
        <v/>
      </c>
      <c r="M136" s="8">
        <f>SUMIFS(Flujo_Caja!H:H,Flujo_Caja!B:B,B136,Flujo_Caja!C:C,C136)</f>
        <v/>
      </c>
      <c r="N136" s="2" t="n"/>
    </row>
    <row r="137">
      <c r="A137" s="2" t="n"/>
      <c r="B137" s="2" t="n"/>
      <c r="C137" s="2" t="n"/>
      <c r="D137" s="8">
        <f>SUMIFS(Ingresos!J:J,Ingresos!D:D,"&gt;="&amp;DATE(C137,B137,1),Ingresos!D:D,"&lt;"&amp;EDATE(DATE(C137,B137,1),1))</f>
        <v/>
      </c>
      <c r="E137" s="8">
        <f>SUMIFS(Egresos!H:H,Egresos!B:B,"&gt;="&amp;DATE(C137,B137,1),Egresos!B:B,"&lt;"&amp;EDATE(DATE(C137,B137,1),1))+SUMIFS(Gastos_Mensuales!H:H,Gastos_Mensuales!B:B,B137,Gastos_Mensuales!C:C,C137)+SUMIFS(Impuestos!I:I,Impuestos!B:B,B137,Impuestos!C:C,C137)</f>
        <v/>
      </c>
      <c r="F137" s="8">
        <f>D137-E137</f>
        <v/>
      </c>
      <c r="G137" s="11">
        <f>IFERROR(F137/D137,0)</f>
        <v/>
      </c>
      <c r="H137" s="2">
        <f>COUNTIFS(Cotizaciones!J:J,"Enviada",Cotizaciones!B:B,"&gt;="&amp;DATE(C137,B137,1),Cotizaciones!B:B,"&lt;"&amp;EDATE(DATE(C137,B137,1),1))</f>
        <v/>
      </c>
      <c r="I137" s="2">
        <f>COUNTIFS(Cotizaciones!J:J,"Aprobada",Cotizaciones!B:B,"&gt;="&amp;DATE(C137,B137,1),Cotizaciones!B:B,"&lt;"&amp;EDATE(DATE(C137,B137,1),1))</f>
        <v/>
      </c>
      <c r="J137" s="11">
        <f>IFERROR(I137/H137,0)</f>
        <v/>
      </c>
      <c r="K137" s="8">
        <f>MAX(0,SUM($F$2:F137))</f>
        <v/>
      </c>
      <c r="L137" s="11">
        <f>IFERROR(K137/Configuracion!$K$2,0)</f>
        <v/>
      </c>
      <c r="M137" s="8">
        <f>SUMIFS(Flujo_Caja!H:H,Flujo_Caja!B:B,B137,Flujo_Caja!C:C,C137)</f>
        <v/>
      </c>
      <c r="N137" s="2" t="n"/>
    </row>
    <row r="138">
      <c r="A138" s="2" t="n"/>
      <c r="B138" s="2" t="n"/>
      <c r="C138" s="2" t="n"/>
      <c r="D138" s="8">
        <f>SUMIFS(Ingresos!J:J,Ingresos!D:D,"&gt;="&amp;DATE(C138,B138,1),Ingresos!D:D,"&lt;"&amp;EDATE(DATE(C138,B138,1),1))</f>
        <v/>
      </c>
      <c r="E138" s="8">
        <f>SUMIFS(Egresos!H:H,Egresos!B:B,"&gt;="&amp;DATE(C138,B138,1),Egresos!B:B,"&lt;"&amp;EDATE(DATE(C138,B138,1),1))+SUMIFS(Gastos_Mensuales!H:H,Gastos_Mensuales!B:B,B138,Gastos_Mensuales!C:C,C138)+SUMIFS(Impuestos!I:I,Impuestos!B:B,B138,Impuestos!C:C,C138)</f>
        <v/>
      </c>
      <c r="F138" s="8">
        <f>D138-E138</f>
        <v/>
      </c>
      <c r="G138" s="11">
        <f>IFERROR(F138/D138,0)</f>
        <v/>
      </c>
      <c r="H138" s="2">
        <f>COUNTIFS(Cotizaciones!J:J,"Enviada",Cotizaciones!B:B,"&gt;="&amp;DATE(C138,B138,1),Cotizaciones!B:B,"&lt;"&amp;EDATE(DATE(C138,B138,1),1))</f>
        <v/>
      </c>
      <c r="I138" s="2">
        <f>COUNTIFS(Cotizaciones!J:J,"Aprobada",Cotizaciones!B:B,"&gt;="&amp;DATE(C138,B138,1),Cotizaciones!B:B,"&lt;"&amp;EDATE(DATE(C138,B138,1),1))</f>
        <v/>
      </c>
      <c r="J138" s="11">
        <f>IFERROR(I138/H138,0)</f>
        <v/>
      </c>
      <c r="K138" s="8">
        <f>MAX(0,SUM($F$2:F138))</f>
        <v/>
      </c>
      <c r="L138" s="11">
        <f>IFERROR(K138/Configuracion!$K$2,0)</f>
        <v/>
      </c>
      <c r="M138" s="8">
        <f>SUMIFS(Flujo_Caja!H:H,Flujo_Caja!B:B,B138,Flujo_Caja!C:C,C138)</f>
        <v/>
      </c>
      <c r="N138" s="2" t="n"/>
    </row>
    <row r="139">
      <c r="A139" s="2" t="n"/>
      <c r="B139" s="2" t="n"/>
      <c r="C139" s="2" t="n"/>
      <c r="D139" s="8">
        <f>SUMIFS(Ingresos!J:J,Ingresos!D:D,"&gt;="&amp;DATE(C139,B139,1),Ingresos!D:D,"&lt;"&amp;EDATE(DATE(C139,B139,1),1))</f>
        <v/>
      </c>
      <c r="E139" s="8">
        <f>SUMIFS(Egresos!H:H,Egresos!B:B,"&gt;="&amp;DATE(C139,B139,1),Egresos!B:B,"&lt;"&amp;EDATE(DATE(C139,B139,1),1))+SUMIFS(Gastos_Mensuales!H:H,Gastos_Mensuales!B:B,B139,Gastos_Mensuales!C:C,C139)+SUMIFS(Impuestos!I:I,Impuestos!B:B,B139,Impuestos!C:C,C139)</f>
        <v/>
      </c>
      <c r="F139" s="8">
        <f>D139-E139</f>
        <v/>
      </c>
      <c r="G139" s="11">
        <f>IFERROR(F139/D139,0)</f>
        <v/>
      </c>
      <c r="H139" s="2">
        <f>COUNTIFS(Cotizaciones!J:J,"Enviada",Cotizaciones!B:B,"&gt;="&amp;DATE(C139,B139,1),Cotizaciones!B:B,"&lt;"&amp;EDATE(DATE(C139,B139,1),1))</f>
        <v/>
      </c>
      <c r="I139" s="2">
        <f>COUNTIFS(Cotizaciones!J:J,"Aprobada",Cotizaciones!B:B,"&gt;="&amp;DATE(C139,B139,1),Cotizaciones!B:B,"&lt;"&amp;EDATE(DATE(C139,B139,1),1))</f>
        <v/>
      </c>
      <c r="J139" s="11">
        <f>IFERROR(I139/H139,0)</f>
        <v/>
      </c>
      <c r="K139" s="8">
        <f>MAX(0,SUM($F$2:F139))</f>
        <v/>
      </c>
      <c r="L139" s="11">
        <f>IFERROR(K139/Configuracion!$K$2,0)</f>
        <v/>
      </c>
      <c r="M139" s="8">
        <f>SUMIFS(Flujo_Caja!H:H,Flujo_Caja!B:B,B139,Flujo_Caja!C:C,C139)</f>
        <v/>
      </c>
      <c r="N139" s="2" t="n"/>
    </row>
    <row r="140">
      <c r="A140" s="2" t="n"/>
      <c r="B140" s="2" t="n"/>
      <c r="C140" s="2" t="n"/>
      <c r="D140" s="8">
        <f>SUMIFS(Ingresos!J:J,Ingresos!D:D,"&gt;="&amp;DATE(C140,B140,1),Ingresos!D:D,"&lt;"&amp;EDATE(DATE(C140,B140,1),1))</f>
        <v/>
      </c>
      <c r="E140" s="8">
        <f>SUMIFS(Egresos!H:H,Egresos!B:B,"&gt;="&amp;DATE(C140,B140,1),Egresos!B:B,"&lt;"&amp;EDATE(DATE(C140,B140,1),1))+SUMIFS(Gastos_Mensuales!H:H,Gastos_Mensuales!B:B,B140,Gastos_Mensuales!C:C,C140)+SUMIFS(Impuestos!I:I,Impuestos!B:B,B140,Impuestos!C:C,C140)</f>
        <v/>
      </c>
      <c r="F140" s="8">
        <f>D140-E140</f>
        <v/>
      </c>
      <c r="G140" s="11">
        <f>IFERROR(F140/D140,0)</f>
        <v/>
      </c>
      <c r="H140" s="2">
        <f>COUNTIFS(Cotizaciones!J:J,"Enviada",Cotizaciones!B:B,"&gt;="&amp;DATE(C140,B140,1),Cotizaciones!B:B,"&lt;"&amp;EDATE(DATE(C140,B140,1),1))</f>
        <v/>
      </c>
      <c r="I140" s="2">
        <f>COUNTIFS(Cotizaciones!J:J,"Aprobada",Cotizaciones!B:B,"&gt;="&amp;DATE(C140,B140,1),Cotizaciones!B:B,"&lt;"&amp;EDATE(DATE(C140,B140,1),1))</f>
        <v/>
      </c>
      <c r="J140" s="11">
        <f>IFERROR(I140/H140,0)</f>
        <v/>
      </c>
      <c r="K140" s="8">
        <f>MAX(0,SUM($F$2:F140))</f>
        <v/>
      </c>
      <c r="L140" s="11">
        <f>IFERROR(K140/Configuracion!$K$2,0)</f>
        <v/>
      </c>
      <c r="M140" s="8">
        <f>SUMIFS(Flujo_Caja!H:H,Flujo_Caja!B:B,B140,Flujo_Caja!C:C,C140)</f>
        <v/>
      </c>
      <c r="N140" s="2" t="n"/>
    </row>
    <row r="141">
      <c r="A141" s="2" t="n"/>
      <c r="B141" s="2" t="n"/>
      <c r="C141" s="2" t="n"/>
      <c r="D141" s="8">
        <f>SUMIFS(Ingresos!J:J,Ingresos!D:D,"&gt;="&amp;DATE(C141,B141,1),Ingresos!D:D,"&lt;"&amp;EDATE(DATE(C141,B141,1),1))</f>
        <v/>
      </c>
      <c r="E141" s="8">
        <f>SUMIFS(Egresos!H:H,Egresos!B:B,"&gt;="&amp;DATE(C141,B141,1),Egresos!B:B,"&lt;"&amp;EDATE(DATE(C141,B141,1),1))+SUMIFS(Gastos_Mensuales!H:H,Gastos_Mensuales!B:B,B141,Gastos_Mensuales!C:C,C141)+SUMIFS(Impuestos!I:I,Impuestos!B:B,B141,Impuestos!C:C,C141)</f>
        <v/>
      </c>
      <c r="F141" s="8">
        <f>D141-E141</f>
        <v/>
      </c>
      <c r="G141" s="11">
        <f>IFERROR(F141/D141,0)</f>
        <v/>
      </c>
      <c r="H141" s="2">
        <f>COUNTIFS(Cotizaciones!J:J,"Enviada",Cotizaciones!B:B,"&gt;="&amp;DATE(C141,B141,1),Cotizaciones!B:B,"&lt;"&amp;EDATE(DATE(C141,B141,1),1))</f>
        <v/>
      </c>
      <c r="I141" s="2">
        <f>COUNTIFS(Cotizaciones!J:J,"Aprobada",Cotizaciones!B:B,"&gt;="&amp;DATE(C141,B141,1),Cotizaciones!B:B,"&lt;"&amp;EDATE(DATE(C141,B141,1),1))</f>
        <v/>
      </c>
      <c r="J141" s="11">
        <f>IFERROR(I141/H141,0)</f>
        <v/>
      </c>
      <c r="K141" s="8">
        <f>MAX(0,SUM($F$2:F141))</f>
        <v/>
      </c>
      <c r="L141" s="11">
        <f>IFERROR(K141/Configuracion!$K$2,0)</f>
        <v/>
      </c>
      <c r="M141" s="8">
        <f>SUMIFS(Flujo_Caja!H:H,Flujo_Caja!B:B,B141,Flujo_Caja!C:C,C141)</f>
        <v/>
      </c>
      <c r="N141" s="2" t="n"/>
    </row>
    <row r="142">
      <c r="A142" s="2" t="n"/>
      <c r="B142" s="2" t="n"/>
      <c r="C142" s="2" t="n"/>
      <c r="D142" s="8">
        <f>SUMIFS(Ingresos!J:J,Ingresos!D:D,"&gt;="&amp;DATE(C142,B142,1),Ingresos!D:D,"&lt;"&amp;EDATE(DATE(C142,B142,1),1))</f>
        <v/>
      </c>
      <c r="E142" s="8">
        <f>SUMIFS(Egresos!H:H,Egresos!B:B,"&gt;="&amp;DATE(C142,B142,1),Egresos!B:B,"&lt;"&amp;EDATE(DATE(C142,B142,1),1))+SUMIFS(Gastos_Mensuales!H:H,Gastos_Mensuales!B:B,B142,Gastos_Mensuales!C:C,C142)+SUMIFS(Impuestos!I:I,Impuestos!B:B,B142,Impuestos!C:C,C142)</f>
        <v/>
      </c>
      <c r="F142" s="8">
        <f>D142-E142</f>
        <v/>
      </c>
      <c r="G142" s="11">
        <f>IFERROR(F142/D142,0)</f>
        <v/>
      </c>
      <c r="H142" s="2">
        <f>COUNTIFS(Cotizaciones!J:J,"Enviada",Cotizaciones!B:B,"&gt;="&amp;DATE(C142,B142,1),Cotizaciones!B:B,"&lt;"&amp;EDATE(DATE(C142,B142,1),1))</f>
        <v/>
      </c>
      <c r="I142" s="2">
        <f>COUNTIFS(Cotizaciones!J:J,"Aprobada",Cotizaciones!B:B,"&gt;="&amp;DATE(C142,B142,1),Cotizaciones!B:B,"&lt;"&amp;EDATE(DATE(C142,B142,1),1))</f>
        <v/>
      </c>
      <c r="J142" s="11">
        <f>IFERROR(I142/H142,0)</f>
        <v/>
      </c>
      <c r="K142" s="8">
        <f>MAX(0,SUM($F$2:F142))</f>
        <v/>
      </c>
      <c r="L142" s="11">
        <f>IFERROR(K142/Configuracion!$K$2,0)</f>
        <v/>
      </c>
      <c r="M142" s="8">
        <f>SUMIFS(Flujo_Caja!H:H,Flujo_Caja!B:B,B142,Flujo_Caja!C:C,C142)</f>
        <v/>
      </c>
      <c r="N142" s="2" t="n"/>
    </row>
    <row r="143">
      <c r="A143" s="2" t="n"/>
      <c r="B143" s="2" t="n"/>
      <c r="C143" s="2" t="n"/>
      <c r="D143" s="8">
        <f>SUMIFS(Ingresos!J:J,Ingresos!D:D,"&gt;="&amp;DATE(C143,B143,1),Ingresos!D:D,"&lt;"&amp;EDATE(DATE(C143,B143,1),1))</f>
        <v/>
      </c>
      <c r="E143" s="8">
        <f>SUMIFS(Egresos!H:H,Egresos!B:B,"&gt;="&amp;DATE(C143,B143,1),Egresos!B:B,"&lt;"&amp;EDATE(DATE(C143,B143,1),1))+SUMIFS(Gastos_Mensuales!H:H,Gastos_Mensuales!B:B,B143,Gastos_Mensuales!C:C,C143)+SUMIFS(Impuestos!I:I,Impuestos!B:B,B143,Impuestos!C:C,C143)</f>
        <v/>
      </c>
      <c r="F143" s="8">
        <f>D143-E143</f>
        <v/>
      </c>
      <c r="G143" s="11">
        <f>IFERROR(F143/D143,0)</f>
        <v/>
      </c>
      <c r="H143" s="2">
        <f>COUNTIFS(Cotizaciones!J:J,"Enviada",Cotizaciones!B:B,"&gt;="&amp;DATE(C143,B143,1),Cotizaciones!B:B,"&lt;"&amp;EDATE(DATE(C143,B143,1),1))</f>
        <v/>
      </c>
      <c r="I143" s="2">
        <f>COUNTIFS(Cotizaciones!J:J,"Aprobada",Cotizaciones!B:B,"&gt;="&amp;DATE(C143,B143,1),Cotizaciones!B:B,"&lt;"&amp;EDATE(DATE(C143,B143,1),1))</f>
        <v/>
      </c>
      <c r="J143" s="11">
        <f>IFERROR(I143/H143,0)</f>
        <v/>
      </c>
      <c r="K143" s="8">
        <f>MAX(0,SUM($F$2:F143))</f>
        <v/>
      </c>
      <c r="L143" s="11">
        <f>IFERROR(K143/Configuracion!$K$2,0)</f>
        <v/>
      </c>
      <c r="M143" s="8">
        <f>SUMIFS(Flujo_Caja!H:H,Flujo_Caja!B:B,B143,Flujo_Caja!C:C,C143)</f>
        <v/>
      </c>
      <c r="N143" s="2" t="n"/>
    </row>
    <row r="144">
      <c r="A144" s="2" t="n"/>
      <c r="B144" s="2" t="n"/>
      <c r="C144" s="2" t="n"/>
      <c r="D144" s="8">
        <f>SUMIFS(Ingresos!J:J,Ingresos!D:D,"&gt;="&amp;DATE(C144,B144,1),Ingresos!D:D,"&lt;"&amp;EDATE(DATE(C144,B144,1),1))</f>
        <v/>
      </c>
      <c r="E144" s="8">
        <f>SUMIFS(Egresos!H:H,Egresos!B:B,"&gt;="&amp;DATE(C144,B144,1),Egresos!B:B,"&lt;"&amp;EDATE(DATE(C144,B144,1),1))+SUMIFS(Gastos_Mensuales!H:H,Gastos_Mensuales!B:B,B144,Gastos_Mensuales!C:C,C144)+SUMIFS(Impuestos!I:I,Impuestos!B:B,B144,Impuestos!C:C,C144)</f>
        <v/>
      </c>
      <c r="F144" s="8">
        <f>D144-E144</f>
        <v/>
      </c>
      <c r="G144" s="11">
        <f>IFERROR(F144/D144,0)</f>
        <v/>
      </c>
      <c r="H144" s="2">
        <f>COUNTIFS(Cotizaciones!J:J,"Enviada",Cotizaciones!B:B,"&gt;="&amp;DATE(C144,B144,1),Cotizaciones!B:B,"&lt;"&amp;EDATE(DATE(C144,B144,1),1))</f>
        <v/>
      </c>
      <c r="I144" s="2">
        <f>COUNTIFS(Cotizaciones!J:J,"Aprobada",Cotizaciones!B:B,"&gt;="&amp;DATE(C144,B144,1),Cotizaciones!B:B,"&lt;"&amp;EDATE(DATE(C144,B144,1),1))</f>
        <v/>
      </c>
      <c r="J144" s="11">
        <f>IFERROR(I144/H144,0)</f>
        <v/>
      </c>
      <c r="K144" s="8">
        <f>MAX(0,SUM($F$2:F144))</f>
        <v/>
      </c>
      <c r="L144" s="11">
        <f>IFERROR(K144/Configuracion!$K$2,0)</f>
        <v/>
      </c>
      <c r="M144" s="8">
        <f>SUMIFS(Flujo_Caja!H:H,Flujo_Caja!B:B,B144,Flujo_Caja!C:C,C144)</f>
        <v/>
      </c>
      <c r="N144" s="2" t="n"/>
    </row>
    <row r="145">
      <c r="A145" s="2" t="n"/>
      <c r="B145" s="2" t="n"/>
      <c r="C145" s="2" t="n"/>
      <c r="D145" s="8">
        <f>SUMIFS(Ingresos!J:J,Ingresos!D:D,"&gt;="&amp;DATE(C145,B145,1),Ingresos!D:D,"&lt;"&amp;EDATE(DATE(C145,B145,1),1))</f>
        <v/>
      </c>
      <c r="E145" s="8">
        <f>SUMIFS(Egresos!H:H,Egresos!B:B,"&gt;="&amp;DATE(C145,B145,1),Egresos!B:B,"&lt;"&amp;EDATE(DATE(C145,B145,1),1))+SUMIFS(Gastos_Mensuales!H:H,Gastos_Mensuales!B:B,B145,Gastos_Mensuales!C:C,C145)+SUMIFS(Impuestos!I:I,Impuestos!B:B,B145,Impuestos!C:C,C145)</f>
        <v/>
      </c>
      <c r="F145" s="8">
        <f>D145-E145</f>
        <v/>
      </c>
      <c r="G145" s="11">
        <f>IFERROR(F145/D145,0)</f>
        <v/>
      </c>
      <c r="H145" s="2">
        <f>COUNTIFS(Cotizaciones!J:J,"Enviada",Cotizaciones!B:B,"&gt;="&amp;DATE(C145,B145,1),Cotizaciones!B:B,"&lt;"&amp;EDATE(DATE(C145,B145,1),1))</f>
        <v/>
      </c>
      <c r="I145" s="2">
        <f>COUNTIFS(Cotizaciones!J:J,"Aprobada",Cotizaciones!B:B,"&gt;="&amp;DATE(C145,B145,1),Cotizaciones!B:B,"&lt;"&amp;EDATE(DATE(C145,B145,1),1))</f>
        <v/>
      </c>
      <c r="J145" s="11">
        <f>IFERROR(I145/H145,0)</f>
        <v/>
      </c>
      <c r="K145" s="8">
        <f>MAX(0,SUM($F$2:F145))</f>
        <v/>
      </c>
      <c r="L145" s="11">
        <f>IFERROR(K145/Configuracion!$K$2,0)</f>
        <v/>
      </c>
      <c r="M145" s="8">
        <f>SUMIFS(Flujo_Caja!H:H,Flujo_Caja!B:B,B145,Flujo_Caja!C:C,C145)</f>
        <v/>
      </c>
      <c r="N145" s="2" t="n"/>
    </row>
    <row r="146">
      <c r="A146" s="2" t="n"/>
      <c r="B146" s="2" t="n"/>
      <c r="C146" s="2" t="n"/>
      <c r="D146" s="8">
        <f>SUMIFS(Ingresos!J:J,Ingresos!D:D,"&gt;="&amp;DATE(C146,B146,1),Ingresos!D:D,"&lt;"&amp;EDATE(DATE(C146,B146,1),1))</f>
        <v/>
      </c>
      <c r="E146" s="8">
        <f>SUMIFS(Egresos!H:H,Egresos!B:B,"&gt;="&amp;DATE(C146,B146,1),Egresos!B:B,"&lt;"&amp;EDATE(DATE(C146,B146,1),1))+SUMIFS(Gastos_Mensuales!H:H,Gastos_Mensuales!B:B,B146,Gastos_Mensuales!C:C,C146)+SUMIFS(Impuestos!I:I,Impuestos!B:B,B146,Impuestos!C:C,C146)</f>
        <v/>
      </c>
      <c r="F146" s="8">
        <f>D146-E146</f>
        <v/>
      </c>
      <c r="G146" s="11">
        <f>IFERROR(F146/D146,0)</f>
        <v/>
      </c>
      <c r="H146" s="2">
        <f>COUNTIFS(Cotizaciones!J:J,"Enviada",Cotizaciones!B:B,"&gt;="&amp;DATE(C146,B146,1),Cotizaciones!B:B,"&lt;"&amp;EDATE(DATE(C146,B146,1),1))</f>
        <v/>
      </c>
      <c r="I146" s="2">
        <f>COUNTIFS(Cotizaciones!J:J,"Aprobada",Cotizaciones!B:B,"&gt;="&amp;DATE(C146,B146,1),Cotizaciones!B:B,"&lt;"&amp;EDATE(DATE(C146,B146,1),1))</f>
        <v/>
      </c>
      <c r="J146" s="11">
        <f>IFERROR(I146/H146,0)</f>
        <v/>
      </c>
      <c r="K146" s="8">
        <f>MAX(0,SUM($F$2:F146))</f>
        <v/>
      </c>
      <c r="L146" s="11">
        <f>IFERROR(K146/Configuracion!$K$2,0)</f>
        <v/>
      </c>
      <c r="M146" s="8">
        <f>SUMIFS(Flujo_Caja!H:H,Flujo_Caja!B:B,B146,Flujo_Caja!C:C,C146)</f>
        <v/>
      </c>
      <c r="N146" s="2" t="n"/>
    </row>
    <row r="147">
      <c r="A147" s="2" t="n"/>
      <c r="B147" s="2" t="n"/>
      <c r="C147" s="2" t="n"/>
      <c r="D147" s="8">
        <f>SUMIFS(Ingresos!J:J,Ingresos!D:D,"&gt;="&amp;DATE(C147,B147,1),Ingresos!D:D,"&lt;"&amp;EDATE(DATE(C147,B147,1),1))</f>
        <v/>
      </c>
      <c r="E147" s="8">
        <f>SUMIFS(Egresos!H:H,Egresos!B:B,"&gt;="&amp;DATE(C147,B147,1),Egresos!B:B,"&lt;"&amp;EDATE(DATE(C147,B147,1),1))+SUMIFS(Gastos_Mensuales!H:H,Gastos_Mensuales!B:B,B147,Gastos_Mensuales!C:C,C147)+SUMIFS(Impuestos!I:I,Impuestos!B:B,B147,Impuestos!C:C,C147)</f>
        <v/>
      </c>
      <c r="F147" s="8">
        <f>D147-E147</f>
        <v/>
      </c>
      <c r="G147" s="11">
        <f>IFERROR(F147/D147,0)</f>
        <v/>
      </c>
      <c r="H147" s="2">
        <f>COUNTIFS(Cotizaciones!J:J,"Enviada",Cotizaciones!B:B,"&gt;="&amp;DATE(C147,B147,1),Cotizaciones!B:B,"&lt;"&amp;EDATE(DATE(C147,B147,1),1))</f>
        <v/>
      </c>
      <c r="I147" s="2">
        <f>COUNTIFS(Cotizaciones!J:J,"Aprobada",Cotizaciones!B:B,"&gt;="&amp;DATE(C147,B147,1),Cotizaciones!B:B,"&lt;"&amp;EDATE(DATE(C147,B147,1),1))</f>
        <v/>
      </c>
      <c r="J147" s="11">
        <f>IFERROR(I147/H147,0)</f>
        <v/>
      </c>
      <c r="K147" s="8">
        <f>MAX(0,SUM($F$2:F147))</f>
        <v/>
      </c>
      <c r="L147" s="11">
        <f>IFERROR(K147/Configuracion!$K$2,0)</f>
        <v/>
      </c>
      <c r="M147" s="8">
        <f>SUMIFS(Flujo_Caja!H:H,Flujo_Caja!B:B,B147,Flujo_Caja!C:C,C147)</f>
        <v/>
      </c>
      <c r="N147" s="2" t="n"/>
    </row>
    <row r="148">
      <c r="A148" s="2" t="n"/>
      <c r="B148" s="2" t="n"/>
      <c r="C148" s="2" t="n"/>
      <c r="D148" s="8">
        <f>SUMIFS(Ingresos!J:J,Ingresos!D:D,"&gt;="&amp;DATE(C148,B148,1),Ingresos!D:D,"&lt;"&amp;EDATE(DATE(C148,B148,1),1))</f>
        <v/>
      </c>
      <c r="E148" s="8">
        <f>SUMIFS(Egresos!H:H,Egresos!B:B,"&gt;="&amp;DATE(C148,B148,1),Egresos!B:B,"&lt;"&amp;EDATE(DATE(C148,B148,1),1))+SUMIFS(Gastos_Mensuales!H:H,Gastos_Mensuales!B:B,B148,Gastos_Mensuales!C:C,C148)+SUMIFS(Impuestos!I:I,Impuestos!B:B,B148,Impuestos!C:C,C148)</f>
        <v/>
      </c>
      <c r="F148" s="8">
        <f>D148-E148</f>
        <v/>
      </c>
      <c r="G148" s="11">
        <f>IFERROR(F148/D148,0)</f>
        <v/>
      </c>
      <c r="H148" s="2">
        <f>COUNTIFS(Cotizaciones!J:J,"Enviada",Cotizaciones!B:B,"&gt;="&amp;DATE(C148,B148,1),Cotizaciones!B:B,"&lt;"&amp;EDATE(DATE(C148,B148,1),1))</f>
        <v/>
      </c>
      <c r="I148" s="2">
        <f>COUNTIFS(Cotizaciones!J:J,"Aprobada",Cotizaciones!B:B,"&gt;="&amp;DATE(C148,B148,1),Cotizaciones!B:B,"&lt;"&amp;EDATE(DATE(C148,B148,1),1))</f>
        <v/>
      </c>
      <c r="J148" s="11">
        <f>IFERROR(I148/H148,0)</f>
        <v/>
      </c>
      <c r="K148" s="8">
        <f>MAX(0,SUM($F$2:F148))</f>
        <v/>
      </c>
      <c r="L148" s="11">
        <f>IFERROR(K148/Configuracion!$K$2,0)</f>
        <v/>
      </c>
      <c r="M148" s="8">
        <f>SUMIFS(Flujo_Caja!H:H,Flujo_Caja!B:B,B148,Flujo_Caja!C:C,C148)</f>
        <v/>
      </c>
      <c r="N148" s="2" t="n"/>
    </row>
    <row r="149">
      <c r="A149" s="2" t="n"/>
      <c r="B149" s="2" t="n"/>
      <c r="C149" s="2" t="n"/>
      <c r="D149" s="8">
        <f>SUMIFS(Ingresos!J:J,Ingresos!D:D,"&gt;="&amp;DATE(C149,B149,1),Ingresos!D:D,"&lt;"&amp;EDATE(DATE(C149,B149,1),1))</f>
        <v/>
      </c>
      <c r="E149" s="8">
        <f>SUMIFS(Egresos!H:H,Egresos!B:B,"&gt;="&amp;DATE(C149,B149,1),Egresos!B:B,"&lt;"&amp;EDATE(DATE(C149,B149,1),1))+SUMIFS(Gastos_Mensuales!H:H,Gastos_Mensuales!B:B,B149,Gastos_Mensuales!C:C,C149)+SUMIFS(Impuestos!I:I,Impuestos!B:B,B149,Impuestos!C:C,C149)</f>
        <v/>
      </c>
      <c r="F149" s="8">
        <f>D149-E149</f>
        <v/>
      </c>
      <c r="G149" s="11">
        <f>IFERROR(F149/D149,0)</f>
        <v/>
      </c>
      <c r="H149" s="2">
        <f>COUNTIFS(Cotizaciones!J:J,"Enviada",Cotizaciones!B:B,"&gt;="&amp;DATE(C149,B149,1),Cotizaciones!B:B,"&lt;"&amp;EDATE(DATE(C149,B149,1),1))</f>
        <v/>
      </c>
      <c r="I149" s="2">
        <f>COUNTIFS(Cotizaciones!J:J,"Aprobada",Cotizaciones!B:B,"&gt;="&amp;DATE(C149,B149,1),Cotizaciones!B:B,"&lt;"&amp;EDATE(DATE(C149,B149,1),1))</f>
        <v/>
      </c>
      <c r="J149" s="11">
        <f>IFERROR(I149/H149,0)</f>
        <v/>
      </c>
      <c r="K149" s="8">
        <f>MAX(0,SUM($F$2:F149))</f>
        <v/>
      </c>
      <c r="L149" s="11">
        <f>IFERROR(K149/Configuracion!$K$2,0)</f>
        <v/>
      </c>
      <c r="M149" s="8">
        <f>SUMIFS(Flujo_Caja!H:H,Flujo_Caja!B:B,B149,Flujo_Caja!C:C,C149)</f>
        <v/>
      </c>
      <c r="N149" s="2" t="n"/>
    </row>
    <row r="150">
      <c r="A150" s="2" t="n"/>
      <c r="B150" s="2" t="n"/>
      <c r="C150" s="2" t="n"/>
      <c r="D150" s="8">
        <f>SUMIFS(Ingresos!J:J,Ingresos!D:D,"&gt;="&amp;DATE(C150,B150,1),Ingresos!D:D,"&lt;"&amp;EDATE(DATE(C150,B150,1),1))</f>
        <v/>
      </c>
      <c r="E150" s="8">
        <f>SUMIFS(Egresos!H:H,Egresos!B:B,"&gt;="&amp;DATE(C150,B150,1),Egresos!B:B,"&lt;"&amp;EDATE(DATE(C150,B150,1),1))+SUMIFS(Gastos_Mensuales!H:H,Gastos_Mensuales!B:B,B150,Gastos_Mensuales!C:C,C150)+SUMIFS(Impuestos!I:I,Impuestos!B:B,B150,Impuestos!C:C,C150)</f>
        <v/>
      </c>
      <c r="F150" s="8">
        <f>D150-E150</f>
        <v/>
      </c>
      <c r="G150" s="11">
        <f>IFERROR(F150/D150,0)</f>
        <v/>
      </c>
      <c r="H150" s="2">
        <f>COUNTIFS(Cotizaciones!J:J,"Enviada",Cotizaciones!B:B,"&gt;="&amp;DATE(C150,B150,1),Cotizaciones!B:B,"&lt;"&amp;EDATE(DATE(C150,B150,1),1))</f>
        <v/>
      </c>
      <c r="I150" s="2">
        <f>COUNTIFS(Cotizaciones!J:J,"Aprobada",Cotizaciones!B:B,"&gt;="&amp;DATE(C150,B150,1),Cotizaciones!B:B,"&lt;"&amp;EDATE(DATE(C150,B150,1),1))</f>
        <v/>
      </c>
      <c r="J150" s="11">
        <f>IFERROR(I150/H150,0)</f>
        <v/>
      </c>
      <c r="K150" s="8">
        <f>MAX(0,SUM($F$2:F150))</f>
        <v/>
      </c>
      <c r="L150" s="11">
        <f>IFERROR(K150/Configuracion!$K$2,0)</f>
        <v/>
      </c>
      <c r="M150" s="8">
        <f>SUMIFS(Flujo_Caja!H:H,Flujo_Caja!B:B,B150,Flujo_Caja!C:C,C150)</f>
        <v/>
      </c>
      <c r="N150" s="2" t="n"/>
    </row>
    <row r="151">
      <c r="A151" s="2" t="n"/>
      <c r="B151" s="2" t="n"/>
      <c r="C151" s="2" t="n"/>
      <c r="D151" s="8">
        <f>SUMIFS(Ingresos!J:J,Ingresos!D:D,"&gt;="&amp;DATE(C151,B151,1),Ingresos!D:D,"&lt;"&amp;EDATE(DATE(C151,B151,1),1))</f>
        <v/>
      </c>
      <c r="E151" s="8">
        <f>SUMIFS(Egresos!H:H,Egresos!B:B,"&gt;="&amp;DATE(C151,B151,1),Egresos!B:B,"&lt;"&amp;EDATE(DATE(C151,B151,1),1))+SUMIFS(Gastos_Mensuales!H:H,Gastos_Mensuales!B:B,B151,Gastos_Mensuales!C:C,C151)+SUMIFS(Impuestos!I:I,Impuestos!B:B,B151,Impuestos!C:C,C151)</f>
        <v/>
      </c>
      <c r="F151" s="8">
        <f>D151-E151</f>
        <v/>
      </c>
      <c r="G151" s="11">
        <f>IFERROR(F151/D151,0)</f>
        <v/>
      </c>
      <c r="H151" s="2">
        <f>COUNTIFS(Cotizaciones!J:J,"Enviada",Cotizaciones!B:B,"&gt;="&amp;DATE(C151,B151,1),Cotizaciones!B:B,"&lt;"&amp;EDATE(DATE(C151,B151,1),1))</f>
        <v/>
      </c>
      <c r="I151" s="2">
        <f>COUNTIFS(Cotizaciones!J:J,"Aprobada",Cotizaciones!B:B,"&gt;="&amp;DATE(C151,B151,1),Cotizaciones!B:B,"&lt;"&amp;EDATE(DATE(C151,B151,1),1))</f>
        <v/>
      </c>
      <c r="J151" s="11">
        <f>IFERROR(I151/H151,0)</f>
        <v/>
      </c>
      <c r="K151" s="8">
        <f>MAX(0,SUM($F$2:F151))</f>
        <v/>
      </c>
      <c r="L151" s="11">
        <f>IFERROR(K151/Configuracion!$K$2,0)</f>
        <v/>
      </c>
      <c r="M151" s="8">
        <f>SUMIFS(Flujo_Caja!H:H,Flujo_Caja!B:B,B151,Flujo_Caja!C:C,C151)</f>
        <v/>
      </c>
      <c r="N151" s="2" t="n"/>
    </row>
    <row r="152">
      <c r="A152" s="2" t="n"/>
      <c r="B152" s="2" t="n"/>
      <c r="C152" s="2" t="n"/>
      <c r="D152" s="8">
        <f>SUMIFS(Ingresos!J:J,Ingresos!D:D,"&gt;="&amp;DATE(C152,B152,1),Ingresos!D:D,"&lt;"&amp;EDATE(DATE(C152,B152,1),1))</f>
        <v/>
      </c>
      <c r="E152" s="8">
        <f>SUMIFS(Egresos!H:H,Egresos!B:B,"&gt;="&amp;DATE(C152,B152,1),Egresos!B:B,"&lt;"&amp;EDATE(DATE(C152,B152,1),1))+SUMIFS(Gastos_Mensuales!H:H,Gastos_Mensuales!B:B,B152,Gastos_Mensuales!C:C,C152)+SUMIFS(Impuestos!I:I,Impuestos!B:B,B152,Impuestos!C:C,C152)</f>
        <v/>
      </c>
      <c r="F152" s="8">
        <f>D152-E152</f>
        <v/>
      </c>
      <c r="G152" s="11">
        <f>IFERROR(F152/D152,0)</f>
        <v/>
      </c>
      <c r="H152" s="2">
        <f>COUNTIFS(Cotizaciones!J:J,"Enviada",Cotizaciones!B:B,"&gt;="&amp;DATE(C152,B152,1),Cotizaciones!B:B,"&lt;"&amp;EDATE(DATE(C152,B152,1),1))</f>
        <v/>
      </c>
      <c r="I152" s="2">
        <f>COUNTIFS(Cotizaciones!J:J,"Aprobada",Cotizaciones!B:B,"&gt;="&amp;DATE(C152,B152,1),Cotizaciones!B:B,"&lt;"&amp;EDATE(DATE(C152,B152,1),1))</f>
        <v/>
      </c>
      <c r="J152" s="11">
        <f>IFERROR(I152/H152,0)</f>
        <v/>
      </c>
      <c r="K152" s="8">
        <f>MAX(0,SUM($F$2:F152))</f>
        <v/>
      </c>
      <c r="L152" s="11">
        <f>IFERROR(K152/Configuracion!$K$2,0)</f>
        <v/>
      </c>
      <c r="M152" s="8">
        <f>SUMIFS(Flujo_Caja!H:H,Flujo_Caja!B:B,B152,Flujo_Caja!C:C,C152)</f>
        <v/>
      </c>
      <c r="N152" s="2" t="n"/>
    </row>
    <row r="153">
      <c r="A153" s="2" t="n"/>
      <c r="B153" s="2" t="n"/>
      <c r="C153" s="2" t="n"/>
      <c r="D153" s="8">
        <f>SUMIFS(Ingresos!J:J,Ingresos!D:D,"&gt;="&amp;DATE(C153,B153,1),Ingresos!D:D,"&lt;"&amp;EDATE(DATE(C153,B153,1),1))</f>
        <v/>
      </c>
      <c r="E153" s="8">
        <f>SUMIFS(Egresos!H:H,Egresos!B:B,"&gt;="&amp;DATE(C153,B153,1),Egresos!B:B,"&lt;"&amp;EDATE(DATE(C153,B153,1),1))+SUMIFS(Gastos_Mensuales!H:H,Gastos_Mensuales!B:B,B153,Gastos_Mensuales!C:C,C153)+SUMIFS(Impuestos!I:I,Impuestos!B:B,B153,Impuestos!C:C,C153)</f>
        <v/>
      </c>
      <c r="F153" s="8">
        <f>D153-E153</f>
        <v/>
      </c>
      <c r="G153" s="11">
        <f>IFERROR(F153/D153,0)</f>
        <v/>
      </c>
      <c r="H153" s="2">
        <f>COUNTIFS(Cotizaciones!J:J,"Enviada",Cotizaciones!B:B,"&gt;="&amp;DATE(C153,B153,1),Cotizaciones!B:B,"&lt;"&amp;EDATE(DATE(C153,B153,1),1))</f>
        <v/>
      </c>
      <c r="I153" s="2">
        <f>COUNTIFS(Cotizaciones!J:J,"Aprobada",Cotizaciones!B:B,"&gt;="&amp;DATE(C153,B153,1),Cotizaciones!B:B,"&lt;"&amp;EDATE(DATE(C153,B153,1),1))</f>
        <v/>
      </c>
      <c r="J153" s="11">
        <f>IFERROR(I153/H153,0)</f>
        <v/>
      </c>
      <c r="K153" s="8">
        <f>MAX(0,SUM($F$2:F153))</f>
        <v/>
      </c>
      <c r="L153" s="11">
        <f>IFERROR(K153/Configuracion!$K$2,0)</f>
        <v/>
      </c>
      <c r="M153" s="8">
        <f>SUMIFS(Flujo_Caja!H:H,Flujo_Caja!B:B,B153,Flujo_Caja!C:C,C153)</f>
        <v/>
      </c>
      <c r="N153" s="2" t="n"/>
    </row>
    <row r="154">
      <c r="A154" s="2" t="n"/>
      <c r="B154" s="2" t="n"/>
      <c r="C154" s="2" t="n"/>
      <c r="D154" s="8">
        <f>SUMIFS(Ingresos!J:J,Ingresos!D:D,"&gt;="&amp;DATE(C154,B154,1),Ingresos!D:D,"&lt;"&amp;EDATE(DATE(C154,B154,1),1))</f>
        <v/>
      </c>
      <c r="E154" s="8">
        <f>SUMIFS(Egresos!H:H,Egresos!B:B,"&gt;="&amp;DATE(C154,B154,1),Egresos!B:B,"&lt;"&amp;EDATE(DATE(C154,B154,1),1))+SUMIFS(Gastos_Mensuales!H:H,Gastos_Mensuales!B:B,B154,Gastos_Mensuales!C:C,C154)+SUMIFS(Impuestos!I:I,Impuestos!B:B,B154,Impuestos!C:C,C154)</f>
        <v/>
      </c>
      <c r="F154" s="8">
        <f>D154-E154</f>
        <v/>
      </c>
      <c r="G154" s="11">
        <f>IFERROR(F154/D154,0)</f>
        <v/>
      </c>
      <c r="H154" s="2">
        <f>COUNTIFS(Cotizaciones!J:J,"Enviada",Cotizaciones!B:B,"&gt;="&amp;DATE(C154,B154,1),Cotizaciones!B:B,"&lt;"&amp;EDATE(DATE(C154,B154,1),1))</f>
        <v/>
      </c>
      <c r="I154" s="2">
        <f>COUNTIFS(Cotizaciones!J:J,"Aprobada",Cotizaciones!B:B,"&gt;="&amp;DATE(C154,B154,1),Cotizaciones!B:B,"&lt;"&amp;EDATE(DATE(C154,B154,1),1))</f>
        <v/>
      </c>
      <c r="J154" s="11">
        <f>IFERROR(I154/H154,0)</f>
        <v/>
      </c>
      <c r="K154" s="8">
        <f>MAX(0,SUM($F$2:F154))</f>
        <v/>
      </c>
      <c r="L154" s="11">
        <f>IFERROR(K154/Configuracion!$K$2,0)</f>
        <v/>
      </c>
      <c r="M154" s="8">
        <f>SUMIFS(Flujo_Caja!H:H,Flujo_Caja!B:B,B154,Flujo_Caja!C:C,C154)</f>
        <v/>
      </c>
      <c r="N154" s="2" t="n"/>
    </row>
    <row r="155">
      <c r="A155" s="2" t="n"/>
      <c r="B155" s="2" t="n"/>
      <c r="C155" s="2" t="n"/>
      <c r="D155" s="8">
        <f>SUMIFS(Ingresos!J:J,Ingresos!D:D,"&gt;="&amp;DATE(C155,B155,1),Ingresos!D:D,"&lt;"&amp;EDATE(DATE(C155,B155,1),1))</f>
        <v/>
      </c>
      <c r="E155" s="8">
        <f>SUMIFS(Egresos!H:H,Egresos!B:B,"&gt;="&amp;DATE(C155,B155,1),Egresos!B:B,"&lt;"&amp;EDATE(DATE(C155,B155,1),1))+SUMIFS(Gastos_Mensuales!H:H,Gastos_Mensuales!B:B,B155,Gastos_Mensuales!C:C,C155)+SUMIFS(Impuestos!I:I,Impuestos!B:B,B155,Impuestos!C:C,C155)</f>
        <v/>
      </c>
      <c r="F155" s="8">
        <f>D155-E155</f>
        <v/>
      </c>
      <c r="G155" s="11">
        <f>IFERROR(F155/D155,0)</f>
        <v/>
      </c>
      <c r="H155" s="2">
        <f>COUNTIFS(Cotizaciones!J:J,"Enviada",Cotizaciones!B:B,"&gt;="&amp;DATE(C155,B155,1),Cotizaciones!B:B,"&lt;"&amp;EDATE(DATE(C155,B155,1),1))</f>
        <v/>
      </c>
      <c r="I155" s="2">
        <f>COUNTIFS(Cotizaciones!J:J,"Aprobada",Cotizaciones!B:B,"&gt;="&amp;DATE(C155,B155,1),Cotizaciones!B:B,"&lt;"&amp;EDATE(DATE(C155,B155,1),1))</f>
        <v/>
      </c>
      <c r="J155" s="11">
        <f>IFERROR(I155/H155,0)</f>
        <v/>
      </c>
      <c r="K155" s="8">
        <f>MAX(0,SUM($F$2:F155))</f>
        <v/>
      </c>
      <c r="L155" s="11">
        <f>IFERROR(K155/Configuracion!$K$2,0)</f>
        <v/>
      </c>
      <c r="M155" s="8">
        <f>SUMIFS(Flujo_Caja!H:H,Flujo_Caja!B:B,B155,Flujo_Caja!C:C,C155)</f>
        <v/>
      </c>
      <c r="N155" s="2" t="n"/>
    </row>
    <row r="156">
      <c r="A156" s="2" t="n"/>
      <c r="B156" s="2" t="n"/>
      <c r="C156" s="2" t="n"/>
      <c r="D156" s="8">
        <f>SUMIFS(Ingresos!J:J,Ingresos!D:D,"&gt;="&amp;DATE(C156,B156,1),Ingresos!D:D,"&lt;"&amp;EDATE(DATE(C156,B156,1),1))</f>
        <v/>
      </c>
      <c r="E156" s="8">
        <f>SUMIFS(Egresos!H:H,Egresos!B:B,"&gt;="&amp;DATE(C156,B156,1),Egresos!B:B,"&lt;"&amp;EDATE(DATE(C156,B156,1),1))+SUMIFS(Gastos_Mensuales!H:H,Gastos_Mensuales!B:B,B156,Gastos_Mensuales!C:C,C156)+SUMIFS(Impuestos!I:I,Impuestos!B:B,B156,Impuestos!C:C,C156)</f>
        <v/>
      </c>
      <c r="F156" s="8">
        <f>D156-E156</f>
        <v/>
      </c>
      <c r="G156" s="11">
        <f>IFERROR(F156/D156,0)</f>
        <v/>
      </c>
      <c r="H156" s="2">
        <f>COUNTIFS(Cotizaciones!J:J,"Enviada",Cotizaciones!B:B,"&gt;="&amp;DATE(C156,B156,1),Cotizaciones!B:B,"&lt;"&amp;EDATE(DATE(C156,B156,1),1))</f>
        <v/>
      </c>
      <c r="I156" s="2">
        <f>COUNTIFS(Cotizaciones!J:J,"Aprobada",Cotizaciones!B:B,"&gt;="&amp;DATE(C156,B156,1),Cotizaciones!B:B,"&lt;"&amp;EDATE(DATE(C156,B156,1),1))</f>
        <v/>
      </c>
      <c r="J156" s="11">
        <f>IFERROR(I156/H156,0)</f>
        <v/>
      </c>
      <c r="K156" s="8">
        <f>MAX(0,SUM($F$2:F156))</f>
        <v/>
      </c>
      <c r="L156" s="11">
        <f>IFERROR(K156/Configuracion!$K$2,0)</f>
        <v/>
      </c>
      <c r="M156" s="8">
        <f>SUMIFS(Flujo_Caja!H:H,Flujo_Caja!B:B,B156,Flujo_Caja!C:C,C156)</f>
        <v/>
      </c>
      <c r="N156" s="2" t="n"/>
    </row>
    <row r="157">
      <c r="A157" s="2" t="n"/>
      <c r="B157" s="2" t="n"/>
      <c r="C157" s="2" t="n"/>
      <c r="D157" s="8">
        <f>SUMIFS(Ingresos!J:J,Ingresos!D:D,"&gt;="&amp;DATE(C157,B157,1),Ingresos!D:D,"&lt;"&amp;EDATE(DATE(C157,B157,1),1))</f>
        <v/>
      </c>
      <c r="E157" s="8">
        <f>SUMIFS(Egresos!H:H,Egresos!B:B,"&gt;="&amp;DATE(C157,B157,1),Egresos!B:B,"&lt;"&amp;EDATE(DATE(C157,B157,1),1))+SUMIFS(Gastos_Mensuales!H:H,Gastos_Mensuales!B:B,B157,Gastos_Mensuales!C:C,C157)+SUMIFS(Impuestos!I:I,Impuestos!B:B,B157,Impuestos!C:C,C157)</f>
        <v/>
      </c>
      <c r="F157" s="8">
        <f>D157-E157</f>
        <v/>
      </c>
      <c r="G157" s="11">
        <f>IFERROR(F157/D157,0)</f>
        <v/>
      </c>
      <c r="H157" s="2">
        <f>COUNTIFS(Cotizaciones!J:J,"Enviada",Cotizaciones!B:B,"&gt;="&amp;DATE(C157,B157,1),Cotizaciones!B:B,"&lt;"&amp;EDATE(DATE(C157,B157,1),1))</f>
        <v/>
      </c>
      <c r="I157" s="2">
        <f>COUNTIFS(Cotizaciones!J:J,"Aprobada",Cotizaciones!B:B,"&gt;="&amp;DATE(C157,B157,1),Cotizaciones!B:B,"&lt;"&amp;EDATE(DATE(C157,B157,1),1))</f>
        <v/>
      </c>
      <c r="J157" s="11">
        <f>IFERROR(I157/H157,0)</f>
        <v/>
      </c>
      <c r="K157" s="8">
        <f>MAX(0,SUM($F$2:F157))</f>
        <v/>
      </c>
      <c r="L157" s="11">
        <f>IFERROR(K157/Configuracion!$K$2,0)</f>
        <v/>
      </c>
      <c r="M157" s="8">
        <f>SUMIFS(Flujo_Caja!H:H,Flujo_Caja!B:B,B157,Flujo_Caja!C:C,C157)</f>
        <v/>
      </c>
      <c r="N157" s="2" t="n"/>
    </row>
    <row r="158">
      <c r="A158" s="2" t="n"/>
      <c r="B158" s="2" t="n"/>
      <c r="C158" s="2" t="n"/>
      <c r="D158" s="8">
        <f>SUMIFS(Ingresos!J:J,Ingresos!D:D,"&gt;="&amp;DATE(C158,B158,1),Ingresos!D:D,"&lt;"&amp;EDATE(DATE(C158,B158,1),1))</f>
        <v/>
      </c>
      <c r="E158" s="8">
        <f>SUMIFS(Egresos!H:H,Egresos!B:B,"&gt;="&amp;DATE(C158,B158,1),Egresos!B:B,"&lt;"&amp;EDATE(DATE(C158,B158,1),1))+SUMIFS(Gastos_Mensuales!H:H,Gastos_Mensuales!B:B,B158,Gastos_Mensuales!C:C,C158)+SUMIFS(Impuestos!I:I,Impuestos!B:B,B158,Impuestos!C:C,C158)</f>
        <v/>
      </c>
      <c r="F158" s="8">
        <f>D158-E158</f>
        <v/>
      </c>
      <c r="G158" s="11">
        <f>IFERROR(F158/D158,0)</f>
        <v/>
      </c>
      <c r="H158" s="2">
        <f>COUNTIFS(Cotizaciones!J:J,"Enviada",Cotizaciones!B:B,"&gt;="&amp;DATE(C158,B158,1),Cotizaciones!B:B,"&lt;"&amp;EDATE(DATE(C158,B158,1),1))</f>
        <v/>
      </c>
      <c r="I158" s="2">
        <f>COUNTIFS(Cotizaciones!J:J,"Aprobada",Cotizaciones!B:B,"&gt;="&amp;DATE(C158,B158,1),Cotizaciones!B:B,"&lt;"&amp;EDATE(DATE(C158,B158,1),1))</f>
        <v/>
      </c>
      <c r="J158" s="11">
        <f>IFERROR(I158/H158,0)</f>
        <v/>
      </c>
      <c r="K158" s="8">
        <f>MAX(0,SUM($F$2:F158))</f>
        <v/>
      </c>
      <c r="L158" s="11">
        <f>IFERROR(K158/Configuracion!$K$2,0)</f>
        <v/>
      </c>
      <c r="M158" s="8">
        <f>SUMIFS(Flujo_Caja!H:H,Flujo_Caja!B:B,B158,Flujo_Caja!C:C,C158)</f>
        <v/>
      </c>
      <c r="N158" s="2" t="n"/>
    </row>
    <row r="159">
      <c r="A159" s="2" t="n"/>
      <c r="B159" s="2" t="n"/>
      <c r="C159" s="2" t="n"/>
      <c r="D159" s="8">
        <f>SUMIFS(Ingresos!J:J,Ingresos!D:D,"&gt;="&amp;DATE(C159,B159,1),Ingresos!D:D,"&lt;"&amp;EDATE(DATE(C159,B159,1),1))</f>
        <v/>
      </c>
      <c r="E159" s="8">
        <f>SUMIFS(Egresos!H:H,Egresos!B:B,"&gt;="&amp;DATE(C159,B159,1),Egresos!B:B,"&lt;"&amp;EDATE(DATE(C159,B159,1),1))+SUMIFS(Gastos_Mensuales!H:H,Gastos_Mensuales!B:B,B159,Gastos_Mensuales!C:C,C159)+SUMIFS(Impuestos!I:I,Impuestos!B:B,B159,Impuestos!C:C,C159)</f>
        <v/>
      </c>
      <c r="F159" s="8">
        <f>D159-E159</f>
        <v/>
      </c>
      <c r="G159" s="11">
        <f>IFERROR(F159/D159,0)</f>
        <v/>
      </c>
      <c r="H159" s="2">
        <f>COUNTIFS(Cotizaciones!J:J,"Enviada",Cotizaciones!B:B,"&gt;="&amp;DATE(C159,B159,1),Cotizaciones!B:B,"&lt;"&amp;EDATE(DATE(C159,B159,1),1))</f>
        <v/>
      </c>
      <c r="I159" s="2">
        <f>COUNTIFS(Cotizaciones!J:J,"Aprobada",Cotizaciones!B:B,"&gt;="&amp;DATE(C159,B159,1),Cotizaciones!B:B,"&lt;"&amp;EDATE(DATE(C159,B159,1),1))</f>
        <v/>
      </c>
      <c r="J159" s="11">
        <f>IFERROR(I159/H159,0)</f>
        <v/>
      </c>
      <c r="K159" s="8">
        <f>MAX(0,SUM($F$2:F159))</f>
        <v/>
      </c>
      <c r="L159" s="11">
        <f>IFERROR(K159/Configuracion!$K$2,0)</f>
        <v/>
      </c>
      <c r="M159" s="8">
        <f>SUMIFS(Flujo_Caja!H:H,Flujo_Caja!B:B,B159,Flujo_Caja!C:C,C159)</f>
        <v/>
      </c>
      <c r="N159" s="2" t="n"/>
    </row>
    <row r="160">
      <c r="A160" s="2" t="n"/>
      <c r="B160" s="2" t="n"/>
      <c r="C160" s="2" t="n"/>
      <c r="D160" s="8">
        <f>SUMIFS(Ingresos!J:J,Ingresos!D:D,"&gt;="&amp;DATE(C160,B160,1),Ingresos!D:D,"&lt;"&amp;EDATE(DATE(C160,B160,1),1))</f>
        <v/>
      </c>
      <c r="E160" s="8">
        <f>SUMIFS(Egresos!H:H,Egresos!B:B,"&gt;="&amp;DATE(C160,B160,1),Egresos!B:B,"&lt;"&amp;EDATE(DATE(C160,B160,1),1))+SUMIFS(Gastos_Mensuales!H:H,Gastos_Mensuales!B:B,B160,Gastos_Mensuales!C:C,C160)+SUMIFS(Impuestos!I:I,Impuestos!B:B,B160,Impuestos!C:C,C160)</f>
        <v/>
      </c>
      <c r="F160" s="8">
        <f>D160-E160</f>
        <v/>
      </c>
      <c r="G160" s="11">
        <f>IFERROR(F160/D160,0)</f>
        <v/>
      </c>
      <c r="H160" s="2">
        <f>COUNTIFS(Cotizaciones!J:J,"Enviada",Cotizaciones!B:B,"&gt;="&amp;DATE(C160,B160,1),Cotizaciones!B:B,"&lt;"&amp;EDATE(DATE(C160,B160,1),1))</f>
        <v/>
      </c>
      <c r="I160" s="2">
        <f>COUNTIFS(Cotizaciones!J:J,"Aprobada",Cotizaciones!B:B,"&gt;="&amp;DATE(C160,B160,1),Cotizaciones!B:B,"&lt;"&amp;EDATE(DATE(C160,B160,1),1))</f>
        <v/>
      </c>
      <c r="J160" s="11">
        <f>IFERROR(I160/H160,0)</f>
        <v/>
      </c>
      <c r="K160" s="8">
        <f>MAX(0,SUM($F$2:F160))</f>
        <v/>
      </c>
      <c r="L160" s="11">
        <f>IFERROR(K160/Configuracion!$K$2,0)</f>
        <v/>
      </c>
      <c r="M160" s="8">
        <f>SUMIFS(Flujo_Caja!H:H,Flujo_Caja!B:B,B160,Flujo_Caja!C:C,C160)</f>
        <v/>
      </c>
      <c r="N160" s="2" t="n"/>
    </row>
    <row r="161">
      <c r="A161" s="2" t="n"/>
      <c r="B161" s="2" t="n"/>
      <c r="C161" s="2" t="n"/>
      <c r="D161" s="8">
        <f>SUMIFS(Ingresos!J:J,Ingresos!D:D,"&gt;="&amp;DATE(C161,B161,1),Ingresos!D:D,"&lt;"&amp;EDATE(DATE(C161,B161,1),1))</f>
        <v/>
      </c>
      <c r="E161" s="8">
        <f>SUMIFS(Egresos!H:H,Egresos!B:B,"&gt;="&amp;DATE(C161,B161,1),Egresos!B:B,"&lt;"&amp;EDATE(DATE(C161,B161,1),1))+SUMIFS(Gastos_Mensuales!H:H,Gastos_Mensuales!B:B,B161,Gastos_Mensuales!C:C,C161)+SUMIFS(Impuestos!I:I,Impuestos!B:B,B161,Impuestos!C:C,C161)</f>
        <v/>
      </c>
      <c r="F161" s="8">
        <f>D161-E161</f>
        <v/>
      </c>
      <c r="G161" s="11">
        <f>IFERROR(F161/D161,0)</f>
        <v/>
      </c>
      <c r="H161" s="2">
        <f>COUNTIFS(Cotizaciones!J:J,"Enviada",Cotizaciones!B:B,"&gt;="&amp;DATE(C161,B161,1),Cotizaciones!B:B,"&lt;"&amp;EDATE(DATE(C161,B161,1),1))</f>
        <v/>
      </c>
      <c r="I161" s="2">
        <f>COUNTIFS(Cotizaciones!J:J,"Aprobada",Cotizaciones!B:B,"&gt;="&amp;DATE(C161,B161,1),Cotizaciones!B:B,"&lt;"&amp;EDATE(DATE(C161,B161,1),1))</f>
        <v/>
      </c>
      <c r="J161" s="11">
        <f>IFERROR(I161/H161,0)</f>
        <v/>
      </c>
      <c r="K161" s="8">
        <f>MAX(0,SUM($F$2:F161))</f>
        <v/>
      </c>
      <c r="L161" s="11">
        <f>IFERROR(K161/Configuracion!$K$2,0)</f>
        <v/>
      </c>
      <c r="M161" s="8">
        <f>SUMIFS(Flujo_Caja!H:H,Flujo_Caja!B:B,B161,Flujo_Caja!C:C,C161)</f>
        <v/>
      </c>
      <c r="N161" s="2" t="n"/>
    </row>
    <row r="162">
      <c r="A162" s="2" t="n"/>
      <c r="B162" s="2" t="n"/>
      <c r="C162" s="2" t="n"/>
      <c r="D162" s="8">
        <f>SUMIFS(Ingresos!J:J,Ingresos!D:D,"&gt;="&amp;DATE(C162,B162,1),Ingresos!D:D,"&lt;"&amp;EDATE(DATE(C162,B162,1),1))</f>
        <v/>
      </c>
      <c r="E162" s="8">
        <f>SUMIFS(Egresos!H:H,Egresos!B:B,"&gt;="&amp;DATE(C162,B162,1),Egresos!B:B,"&lt;"&amp;EDATE(DATE(C162,B162,1),1))+SUMIFS(Gastos_Mensuales!H:H,Gastos_Mensuales!B:B,B162,Gastos_Mensuales!C:C,C162)+SUMIFS(Impuestos!I:I,Impuestos!B:B,B162,Impuestos!C:C,C162)</f>
        <v/>
      </c>
      <c r="F162" s="8">
        <f>D162-E162</f>
        <v/>
      </c>
      <c r="G162" s="11">
        <f>IFERROR(F162/D162,0)</f>
        <v/>
      </c>
      <c r="H162" s="2">
        <f>COUNTIFS(Cotizaciones!J:J,"Enviada",Cotizaciones!B:B,"&gt;="&amp;DATE(C162,B162,1),Cotizaciones!B:B,"&lt;"&amp;EDATE(DATE(C162,B162,1),1))</f>
        <v/>
      </c>
      <c r="I162" s="2">
        <f>COUNTIFS(Cotizaciones!J:J,"Aprobada",Cotizaciones!B:B,"&gt;="&amp;DATE(C162,B162,1),Cotizaciones!B:B,"&lt;"&amp;EDATE(DATE(C162,B162,1),1))</f>
        <v/>
      </c>
      <c r="J162" s="11">
        <f>IFERROR(I162/H162,0)</f>
        <v/>
      </c>
      <c r="K162" s="8">
        <f>MAX(0,SUM($F$2:F162))</f>
        <v/>
      </c>
      <c r="L162" s="11">
        <f>IFERROR(K162/Configuracion!$K$2,0)</f>
        <v/>
      </c>
      <c r="M162" s="8">
        <f>SUMIFS(Flujo_Caja!H:H,Flujo_Caja!B:B,B162,Flujo_Caja!C:C,C162)</f>
        <v/>
      </c>
      <c r="N162" s="2" t="n"/>
    </row>
    <row r="163">
      <c r="A163" s="2" t="n"/>
      <c r="B163" s="2" t="n"/>
      <c r="C163" s="2" t="n"/>
      <c r="D163" s="8">
        <f>SUMIFS(Ingresos!J:J,Ingresos!D:D,"&gt;="&amp;DATE(C163,B163,1),Ingresos!D:D,"&lt;"&amp;EDATE(DATE(C163,B163,1),1))</f>
        <v/>
      </c>
      <c r="E163" s="8">
        <f>SUMIFS(Egresos!H:H,Egresos!B:B,"&gt;="&amp;DATE(C163,B163,1),Egresos!B:B,"&lt;"&amp;EDATE(DATE(C163,B163,1),1))+SUMIFS(Gastos_Mensuales!H:H,Gastos_Mensuales!B:B,B163,Gastos_Mensuales!C:C,C163)+SUMIFS(Impuestos!I:I,Impuestos!B:B,B163,Impuestos!C:C,C163)</f>
        <v/>
      </c>
      <c r="F163" s="8">
        <f>D163-E163</f>
        <v/>
      </c>
      <c r="G163" s="11">
        <f>IFERROR(F163/D163,0)</f>
        <v/>
      </c>
      <c r="H163" s="2">
        <f>COUNTIFS(Cotizaciones!J:J,"Enviada",Cotizaciones!B:B,"&gt;="&amp;DATE(C163,B163,1),Cotizaciones!B:B,"&lt;"&amp;EDATE(DATE(C163,B163,1),1))</f>
        <v/>
      </c>
      <c r="I163" s="2">
        <f>COUNTIFS(Cotizaciones!J:J,"Aprobada",Cotizaciones!B:B,"&gt;="&amp;DATE(C163,B163,1),Cotizaciones!B:B,"&lt;"&amp;EDATE(DATE(C163,B163,1),1))</f>
        <v/>
      </c>
      <c r="J163" s="11">
        <f>IFERROR(I163/H163,0)</f>
        <v/>
      </c>
      <c r="K163" s="8">
        <f>MAX(0,SUM($F$2:F163))</f>
        <v/>
      </c>
      <c r="L163" s="11">
        <f>IFERROR(K163/Configuracion!$K$2,0)</f>
        <v/>
      </c>
      <c r="M163" s="8">
        <f>SUMIFS(Flujo_Caja!H:H,Flujo_Caja!B:B,B163,Flujo_Caja!C:C,C163)</f>
        <v/>
      </c>
      <c r="N163" s="2" t="n"/>
    </row>
    <row r="164">
      <c r="A164" s="2" t="n"/>
      <c r="B164" s="2" t="n"/>
      <c r="C164" s="2" t="n"/>
      <c r="D164" s="8">
        <f>SUMIFS(Ingresos!J:J,Ingresos!D:D,"&gt;="&amp;DATE(C164,B164,1),Ingresos!D:D,"&lt;"&amp;EDATE(DATE(C164,B164,1),1))</f>
        <v/>
      </c>
      <c r="E164" s="8">
        <f>SUMIFS(Egresos!H:H,Egresos!B:B,"&gt;="&amp;DATE(C164,B164,1),Egresos!B:B,"&lt;"&amp;EDATE(DATE(C164,B164,1),1))+SUMIFS(Gastos_Mensuales!H:H,Gastos_Mensuales!B:B,B164,Gastos_Mensuales!C:C,C164)+SUMIFS(Impuestos!I:I,Impuestos!B:B,B164,Impuestos!C:C,C164)</f>
        <v/>
      </c>
      <c r="F164" s="8">
        <f>D164-E164</f>
        <v/>
      </c>
      <c r="G164" s="11">
        <f>IFERROR(F164/D164,0)</f>
        <v/>
      </c>
      <c r="H164" s="2">
        <f>COUNTIFS(Cotizaciones!J:J,"Enviada",Cotizaciones!B:B,"&gt;="&amp;DATE(C164,B164,1),Cotizaciones!B:B,"&lt;"&amp;EDATE(DATE(C164,B164,1),1))</f>
        <v/>
      </c>
      <c r="I164" s="2">
        <f>COUNTIFS(Cotizaciones!J:J,"Aprobada",Cotizaciones!B:B,"&gt;="&amp;DATE(C164,B164,1),Cotizaciones!B:B,"&lt;"&amp;EDATE(DATE(C164,B164,1),1))</f>
        <v/>
      </c>
      <c r="J164" s="11">
        <f>IFERROR(I164/H164,0)</f>
        <v/>
      </c>
      <c r="K164" s="8">
        <f>MAX(0,SUM($F$2:F164))</f>
        <v/>
      </c>
      <c r="L164" s="11">
        <f>IFERROR(K164/Configuracion!$K$2,0)</f>
        <v/>
      </c>
      <c r="M164" s="8">
        <f>SUMIFS(Flujo_Caja!H:H,Flujo_Caja!B:B,B164,Flujo_Caja!C:C,C164)</f>
        <v/>
      </c>
      <c r="N164" s="2" t="n"/>
    </row>
    <row r="165">
      <c r="A165" s="2" t="n"/>
      <c r="B165" s="2" t="n"/>
      <c r="C165" s="2" t="n"/>
      <c r="D165" s="8">
        <f>SUMIFS(Ingresos!J:J,Ingresos!D:D,"&gt;="&amp;DATE(C165,B165,1),Ingresos!D:D,"&lt;"&amp;EDATE(DATE(C165,B165,1),1))</f>
        <v/>
      </c>
      <c r="E165" s="8">
        <f>SUMIFS(Egresos!H:H,Egresos!B:B,"&gt;="&amp;DATE(C165,B165,1),Egresos!B:B,"&lt;"&amp;EDATE(DATE(C165,B165,1),1))+SUMIFS(Gastos_Mensuales!H:H,Gastos_Mensuales!B:B,B165,Gastos_Mensuales!C:C,C165)+SUMIFS(Impuestos!I:I,Impuestos!B:B,B165,Impuestos!C:C,C165)</f>
        <v/>
      </c>
      <c r="F165" s="8">
        <f>D165-E165</f>
        <v/>
      </c>
      <c r="G165" s="11">
        <f>IFERROR(F165/D165,0)</f>
        <v/>
      </c>
      <c r="H165" s="2">
        <f>COUNTIFS(Cotizaciones!J:J,"Enviada",Cotizaciones!B:B,"&gt;="&amp;DATE(C165,B165,1),Cotizaciones!B:B,"&lt;"&amp;EDATE(DATE(C165,B165,1),1))</f>
        <v/>
      </c>
      <c r="I165" s="2">
        <f>COUNTIFS(Cotizaciones!J:J,"Aprobada",Cotizaciones!B:B,"&gt;="&amp;DATE(C165,B165,1),Cotizaciones!B:B,"&lt;"&amp;EDATE(DATE(C165,B165,1),1))</f>
        <v/>
      </c>
      <c r="J165" s="11">
        <f>IFERROR(I165/H165,0)</f>
        <v/>
      </c>
      <c r="K165" s="8">
        <f>MAX(0,SUM($F$2:F165))</f>
        <v/>
      </c>
      <c r="L165" s="11">
        <f>IFERROR(K165/Configuracion!$K$2,0)</f>
        <v/>
      </c>
      <c r="M165" s="8">
        <f>SUMIFS(Flujo_Caja!H:H,Flujo_Caja!B:B,B165,Flujo_Caja!C:C,C165)</f>
        <v/>
      </c>
      <c r="N165" s="2" t="n"/>
    </row>
    <row r="166">
      <c r="A166" s="2" t="n"/>
      <c r="B166" s="2" t="n"/>
      <c r="C166" s="2" t="n"/>
      <c r="D166" s="8">
        <f>SUMIFS(Ingresos!J:J,Ingresos!D:D,"&gt;="&amp;DATE(C166,B166,1),Ingresos!D:D,"&lt;"&amp;EDATE(DATE(C166,B166,1),1))</f>
        <v/>
      </c>
      <c r="E166" s="8">
        <f>SUMIFS(Egresos!H:H,Egresos!B:B,"&gt;="&amp;DATE(C166,B166,1),Egresos!B:B,"&lt;"&amp;EDATE(DATE(C166,B166,1),1))+SUMIFS(Gastos_Mensuales!H:H,Gastos_Mensuales!B:B,B166,Gastos_Mensuales!C:C,C166)+SUMIFS(Impuestos!I:I,Impuestos!B:B,B166,Impuestos!C:C,C166)</f>
        <v/>
      </c>
      <c r="F166" s="8">
        <f>D166-E166</f>
        <v/>
      </c>
      <c r="G166" s="11">
        <f>IFERROR(F166/D166,0)</f>
        <v/>
      </c>
      <c r="H166" s="2">
        <f>COUNTIFS(Cotizaciones!J:J,"Enviada",Cotizaciones!B:B,"&gt;="&amp;DATE(C166,B166,1),Cotizaciones!B:B,"&lt;"&amp;EDATE(DATE(C166,B166,1),1))</f>
        <v/>
      </c>
      <c r="I166" s="2">
        <f>COUNTIFS(Cotizaciones!J:J,"Aprobada",Cotizaciones!B:B,"&gt;="&amp;DATE(C166,B166,1),Cotizaciones!B:B,"&lt;"&amp;EDATE(DATE(C166,B166,1),1))</f>
        <v/>
      </c>
      <c r="J166" s="11">
        <f>IFERROR(I166/H166,0)</f>
        <v/>
      </c>
      <c r="K166" s="8">
        <f>MAX(0,SUM($F$2:F166))</f>
        <v/>
      </c>
      <c r="L166" s="11">
        <f>IFERROR(K166/Configuracion!$K$2,0)</f>
        <v/>
      </c>
      <c r="M166" s="8">
        <f>SUMIFS(Flujo_Caja!H:H,Flujo_Caja!B:B,B166,Flujo_Caja!C:C,C166)</f>
        <v/>
      </c>
      <c r="N166" s="2" t="n"/>
    </row>
    <row r="167">
      <c r="A167" s="2" t="n"/>
      <c r="B167" s="2" t="n"/>
      <c r="C167" s="2" t="n"/>
      <c r="D167" s="8">
        <f>SUMIFS(Ingresos!J:J,Ingresos!D:D,"&gt;="&amp;DATE(C167,B167,1),Ingresos!D:D,"&lt;"&amp;EDATE(DATE(C167,B167,1),1))</f>
        <v/>
      </c>
      <c r="E167" s="8">
        <f>SUMIFS(Egresos!H:H,Egresos!B:B,"&gt;="&amp;DATE(C167,B167,1),Egresos!B:B,"&lt;"&amp;EDATE(DATE(C167,B167,1),1))+SUMIFS(Gastos_Mensuales!H:H,Gastos_Mensuales!B:B,B167,Gastos_Mensuales!C:C,C167)+SUMIFS(Impuestos!I:I,Impuestos!B:B,B167,Impuestos!C:C,C167)</f>
        <v/>
      </c>
      <c r="F167" s="8">
        <f>D167-E167</f>
        <v/>
      </c>
      <c r="G167" s="11">
        <f>IFERROR(F167/D167,0)</f>
        <v/>
      </c>
      <c r="H167" s="2">
        <f>COUNTIFS(Cotizaciones!J:J,"Enviada",Cotizaciones!B:B,"&gt;="&amp;DATE(C167,B167,1),Cotizaciones!B:B,"&lt;"&amp;EDATE(DATE(C167,B167,1),1))</f>
        <v/>
      </c>
      <c r="I167" s="2">
        <f>COUNTIFS(Cotizaciones!J:J,"Aprobada",Cotizaciones!B:B,"&gt;="&amp;DATE(C167,B167,1),Cotizaciones!B:B,"&lt;"&amp;EDATE(DATE(C167,B167,1),1))</f>
        <v/>
      </c>
      <c r="J167" s="11">
        <f>IFERROR(I167/H167,0)</f>
        <v/>
      </c>
      <c r="K167" s="8">
        <f>MAX(0,SUM($F$2:F167))</f>
        <v/>
      </c>
      <c r="L167" s="11">
        <f>IFERROR(K167/Configuracion!$K$2,0)</f>
        <v/>
      </c>
      <c r="M167" s="8">
        <f>SUMIFS(Flujo_Caja!H:H,Flujo_Caja!B:B,B167,Flujo_Caja!C:C,C167)</f>
        <v/>
      </c>
      <c r="N167" s="2" t="n"/>
    </row>
    <row r="168">
      <c r="A168" s="2" t="n"/>
      <c r="B168" s="2" t="n"/>
      <c r="C168" s="2" t="n"/>
      <c r="D168" s="8">
        <f>SUMIFS(Ingresos!J:J,Ingresos!D:D,"&gt;="&amp;DATE(C168,B168,1),Ingresos!D:D,"&lt;"&amp;EDATE(DATE(C168,B168,1),1))</f>
        <v/>
      </c>
      <c r="E168" s="8">
        <f>SUMIFS(Egresos!H:H,Egresos!B:B,"&gt;="&amp;DATE(C168,B168,1),Egresos!B:B,"&lt;"&amp;EDATE(DATE(C168,B168,1),1))+SUMIFS(Gastos_Mensuales!H:H,Gastos_Mensuales!B:B,B168,Gastos_Mensuales!C:C,C168)+SUMIFS(Impuestos!I:I,Impuestos!B:B,B168,Impuestos!C:C,C168)</f>
        <v/>
      </c>
      <c r="F168" s="8">
        <f>D168-E168</f>
        <v/>
      </c>
      <c r="G168" s="11">
        <f>IFERROR(F168/D168,0)</f>
        <v/>
      </c>
      <c r="H168" s="2">
        <f>COUNTIFS(Cotizaciones!J:J,"Enviada",Cotizaciones!B:B,"&gt;="&amp;DATE(C168,B168,1),Cotizaciones!B:B,"&lt;"&amp;EDATE(DATE(C168,B168,1),1))</f>
        <v/>
      </c>
      <c r="I168" s="2">
        <f>COUNTIFS(Cotizaciones!J:J,"Aprobada",Cotizaciones!B:B,"&gt;="&amp;DATE(C168,B168,1),Cotizaciones!B:B,"&lt;"&amp;EDATE(DATE(C168,B168,1),1))</f>
        <v/>
      </c>
      <c r="J168" s="11">
        <f>IFERROR(I168/H168,0)</f>
        <v/>
      </c>
      <c r="K168" s="8">
        <f>MAX(0,SUM($F$2:F168))</f>
        <v/>
      </c>
      <c r="L168" s="11">
        <f>IFERROR(K168/Configuracion!$K$2,0)</f>
        <v/>
      </c>
      <c r="M168" s="8">
        <f>SUMIFS(Flujo_Caja!H:H,Flujo_Caja!B:B,B168,Flujo_Caja!C:C,C168)</f>
        <v/>
      </c>
      <c r="N168" s="2" t="n"/>
    </row>
    <row r="169">
      <c r="A169" s="2" t="n"/>
      <c r="B169" s="2" t="n"/>
      <c r="C169" s="2" t="n"/>
      <c r="D169" s="8">
        <f>SUMIFS(Ingresos!J:J,Ingresos!D:D,"&gt;="&amp;DATE(C169,B169,1),Ingresos!D:D,"&lt;"&amp;EDATE(DATE(C169,B169,1),1))</f>
        <v/>
      </c>
      <c r="E169" s="8">
        <f>SUMIFS(Egresos!H:H,Egresos!B:B,"&gt;="&amp;DATE(C169,B169,1),Egresos!B:B,"&lt;"&amp;EDATE(DATE(C169,B169,1),1))+SUMIFS(Gastos_Mensuales!H:H,Gastos_Mensuales!B:B,B169,Gastos_Mensuales!C:C,C169)+SUMIFS(Impuestos!I:I,Impuestos!B:B,B169,Impuestos!C:C,C169)</f>
        <v/>
      </c>
      <c r="F169" s="8">
        <f>D169-E169</f>
        <v/>
      </c>
      <c r="G169" s="11">
        <f>IFERROR(F169/D169,0)</f>
        <v/>
      </c>
      <c r="H169" s="2">
        <f>COUNTIFS(Cotizaciones!J:J,"Enviada",Cotizaciones!B:B,"&gt;="&amp;DATE(C169,B169,1),Cotizaciones!B:B,"&lt;"&amp;EDATE(DATE(C169,B169,1),1))</f>
        <v/>
      </c>
      <c r="I169" s="2">
        <f>COUNTIFS(Cotizaciones!J:J,"Aprobada",Cotizaciones!B:B,"&gt;="&amp;DATE(C169,B169,1),Cotizaciones!B:B,"&lt;"&amp;EDATE(DATE(C169,B169,1),1))</f>
        <v/>
      </c>
      <c r="J169" s="11">
        <f>IFERROR(I169/H169,0)</f>
        <v/>
      </c>
      <c r="K169" s="8">
        <f>MAX(0,SUM($F$2:F169))</f>
        <v/>
      </c>
      <c r="L169" s="11">
        <f>IFERROR(K169/Configuracion!$K$2,0)</f>
        <v/>
      </c>
      <c r="M169" s="8">
        <f>SUMIFS(Flujo_Caja!H:H,Flujo_Caja!B:B,B169,Flujo_Caja!C:C,C169)</f>
        <v/>
      </c>
      <c r="N169" s="2" t="n"/>
    </row>
    <row r="170">
      <c r="A170" s="2" t="n"/>
      <c r="B170" s="2" t="n"/>
      <c r="C170" s="2" t="n"/>
      <c r="D170" s="8">
        <f>SUMIFS(Ingresos!J:J,Ingresos!D:D,"&gt;="&amp;DATE(C170,B170,1),Ingresos!D:D,"&lt;"&amp;EDATE(DATE(C170,B170,1),1))</f>
        <v/>
      </c>
      <c r="E170" s="8">
        <f>SUMIFS(Egresos!H:H,Egresos!B:B,"&gt;="&amp;DATE(C170,B170,1),Egresos!B:B,"&lt;"&amp;EDATE(DATE(C170,B170,1),1))+SUMIFS(Gastos_Mensuales!H:H,Gastos_Mensuales!B:B,B170,Gastos_Mensuales!C:C,C170)+SUMIFS(Impuestos!I:I,Impuestos!B:B,B170,Impuestos!C:C,C170)</f>
        <v/>
      </c>
      <c r="F170" s="8">
        <f>D170-E170</f>
        <v/>
      </c>
      <c r="G170" s="11">
        <f>IFERROR(F170/D170,0)</f>
        <v/>
      </c>
      <c r="H170" s="2">
        <f>COUNTIFS(Cotizaciones!J:J,"Enviada",Cotizaciones!B:B,"&gt;="&amp;DATE(C170,B170,1),Cotizaciones!B:B,"&lt;"&amp;EDATE(DATE(C170,B170,1),1))</f>
        <v/>
      </c>
      <c r="I170" s="2">
        <f>COUNTIFS(Cotizaciones!J:J,"Aprobada",Cotizaciones!B:B,"&gt;="&amp;DATE(C170,B170,1),Cotizaciones!B:B,"&lt;"&amp;EDATE(DATE(C170,B170,1),1))</f>
        <v/>
      </c>
      <c r="J170" s="11">
        <f>IFERROR(I170/H170,0)</f>
        <v/>
      </c>
      <c r="K170" s="8">
        <f>MAX(0,SUM($F$2:F170))</f>
        <v/>
      </c>
      <c r="L170" s="11">
        <f>IFERROR(K170/Configuracion!$K$2,0)</f>
        <v/>
      </c>
      <c r="M170" s="8">
        <f>SUMIFS(Flujo_Caja!H:H,Flujo_Caja!B:B,B170,Flujo_Caja!C:C,C170)</f>
        <v/>
      </c>
      <c r="N170" s="2" t="n"/>
    </row>
    <row r="171">
      <c r="A171" s="2" t="n"/>
      <c r="B171" s="2" t="n"/>
      <c r="C171" s="2" t="n"/>
      <c r="D171" s="8">
        <f>SUMIFS(Ingresos!J:J,Ingresos!D:D,"&gt;="&amp;DATE(C171,B171,1),Ingresos!D:D,"&lt;"&amp;EDATE(DATE(C171,B171,1),1))</f>
        <v/>
      </c>
      <c r="E171" s="8">
        <f>SUMIFS(Egresos!H:H,Egresos!B:B,"&gt;="&amp;DATE(C171,B171,1),Egresos!B:B,"&lt;"&amp;EDATE(DATE(C171,B171,1),1))+SUMIFS(Gastos_Mensuales!H:H,Gastos_Mensuales!B:B,B171,Gastos_Mensuales!C:C,C171)+SUMIFS(Impuestos!I:I,Impuestos!B:B,B171,Impuestos!C:C,C171)</f>
        <v/>
      </c>
      <c r="F171" s="8">
        <f>D171-E171</f>
        <v/>
      </c>
      <c r="G171" s="11">
        <f>IFERROR(F171/D171,0)</f>
        <v/>
      </c>
      <c r="H171" s="2">
        <f>COUNTIFS(Cotizaciones!J:J,"Enviada",Cotizaciones!B:B,"&gt;="&amp;DATE(C171,B171,1),Cotizaciones!B:B,"&lt;"&amp;EDATE(DATE(C171,B171,1),1))</f>
        <v/>
      </c>
      <c r="I171" s="2">
        <f>COUNTIFS(Cotizaciones!J:J,"Aprobada",Cotizaciones!B:B,"&gt;="&amp;DATE(C171,B171,1),Cotizaciones!B:B,"&lt;"&amp;EDATE(DATE(C171,B171,1),1))</f>
        <v/>
      </c>
      <c r="J171" s="11">
        <f>IFERROR(I171/H171,0)</f>
        <v/>
      </c>
      <c r="K171" s="8">
        <f>MAX(0,SUM($F$2:F171))</f>
        <v/>
      </c>
      <c r="L171" s="11">
        <f>IFERROR(K171/Configuracion!$K$2,0)</f>
        <v/>
      </c>
      <c r="M171" s="8">
        <f>SUMIFS(Flujo_Caja!H:H,Flujo_Caja!B:B,B171,Flujo_Caja!C:C,C171)</f>
        <v/>
      </c>
      <c r="N171" s="2" t="n"/>
    </row>
    <row r="172">
      <c r="A172" s="2" t="n"/>
      <c r="B172" s="2" t="n"/>
      <c r="C172" s="2" t="n"/>
      <c r="D172" s="8">
        <f>SUMIFS(Ingresos!J:J,Ingresos!D:D,"&gt;="&amp;DATE(C172,B172,1),Ingresos!D:D,"&lt;"&amp;EDATE(DATE(C172,B172,1),1))</f>
        <v/>
      </c>
      <c r="E172" s="8">
        <f>SUMIFS(Egresos!H:H,Egresos!B:B,"&gt;="&amp;DATE(C172,B172,1),Egresos!B:B,"&lt;"&amp;EDATE(DATE(C172,B172,1),1))+SUMIFS(Gastos_Mensuales!H:H,Gastos_Mensuales!B:B,B172,Gastos_Mensuales!C:C,C172)+SUMIFS(Impuestos!I:I,Impuestos!B:B,B172,Impuestos!C:C,C172)</f>
        <v/>
      </c>
      <c r="F172" s="8">
        <f>D172-E172</f>
        <v/>
      </c>
      <c r="G172" s="11">
        <f>IFERROR(F172/D172,0)</f>
        <v/>
      </c>
      <c r="H172" s="2">
        <f>COUNTIFS(Cotizaciones!J:J,"Enviada",Cotizaciones!B:B,"&gt;="&amp;DATE(C172,B172,1),Cotizaciones!B:B,"&lt;"&amp;EDATE(DATE(C172,B172,1),1))</f>
        <v/>
      </c>
      <c r="I172" s="2">
        <f>COUNTIFS(Cotizaciones!J:J,"Aprobada",Cotizaciones!B:B,"&gt;="&amp;DATE(C172,B172,1),Cotizaciones!B:B,"&lt;"&amp;EDATE(DATE(C172,B172,1),1))</f>
        <v/>
      </c>
      <c r="J172" s="11">
        <f>IFERROR(I172/H172,0)</f>
        <v/>
      </c>
      <c r="K172" s="8">
        <f>MAX(0,SUM($F$2:F172))</f>
        <v/>
      </c>
      <c r="L172" s="11">
        <f>IFERROR(K172/Configuracion!$K$2,0)</f>
        <v/>
      </c>
      <c r="M172" s="8">
        <f>SUMIFS(Flujo_Caja!H:H,Flujo_Caja!B:B,B172,Flujo_Caja!C:C,C172)</f>
        <v/>
      </c>
      <c r="N172" s="2" t="n"/>
    </row>
    <row r="173">
      <c r="A173" s="2" t="n"/>
      <c r="B173" s="2" t="n"/>
      <c r="C173" s="2" t="n"/>
      <c r="D173" s="8">
        <f>SUMIFS(Ingresos!J:J,Ingresos!D:D,"&gt;="&amp;DATE(C173,B173,1),Ingresos!D:D,"&lt;"&amp;EDATE(DATE(C173,B173,1),1))</f>
        <v/>
      </c>
      <c r="E173" s="8">
        <f>SUMIFS(Egresos!H:H,Egresos!B:B,"&gt;="&amp;DATE(C173,B173,1),Egresos!B:B,"&lt;"&amp;EDATE(DATE(C173,B173,1),1))+SUMIFS(Gastos_Mensuales!H:H,Gastos_Mensuales!B:B,B173,Gastos_Mensuales!C:C,C173)+SUMIFS(Impuestos!I:I,Impuestos!B:B,B173,Impuestos!C:C,C173)</f>
        <v/>
      </c>
      <c r="F173" s="8">
        <f>D173-E173</f>
        <v/>
      </c>
      <c r="G173" s="11">
        <f>IFERROR(F173/D173,0)</f>
        <v/>
      </c>
      <c r="H173" s="2">
        <f>COUNTIFS(Cotizaciones!J:J,"Enviada",Cotizaciones!B:B,"&gt;="&amp;DATE(C173,B173,1),Cotizaciones!B:B,"&lt;"&amp;EDATE(DATE(C173,B173,1),1))</f>
        <v/>
      </c>
      <c r="I173" s="2">
        <f>COUNTIFS(Cotizaciones!J:J,"Aprobada",Cotizaciones!B:B,"&gt;="&amp;DATE(C173,B173,1),Cotizaciones!B:B,"&lt;"&amp;EDATE(DATE(C173,B173,1),1))</f>
        <v/>
      </c>
      <c r="J173" s="11">
        <f>IFERROR(I173/H173,0)</f>
        <v/>
      </c>
      <c r="K173" s="8">
        <f>MAX(0,SUM($F$2:F173))</f>
        <v/>
      </c>
      <c r="L173" s="11">
        <f>IFERROR(K173/Configuracion!$K$2,0)</f>
        <v/>
      </c>
      <c r="M173" s="8">
        <f>SUMIFS(Flujo_Caja!H:H,Flujo_Caja!B:B,B173,Flujo_Caja!C:C,C173)</f>
        <v/>
      </c>
      <c r="N173" s="2" t="n"/>
    </row>
    <row r="174">
      <c r="A174" s="2" t="n"/>
      <c r="B174" s="2" t="n"/>
      <c r="C174" s="2" t="n"/>
      <c r="D174" s="8">
        <f>SUMIFS(Ingresos!J:J,Ingresos!D:D,"&gt;="&amp;DATE(C174,B174,1),Ingresos!D:D,"&lt;"&amp;EDATE(DATE(C174,B174,1),1))</f>
        <v/>
      </c>
      <c r="E174" s="8">
        <f>SUMIFS(Egresos!H:H,Egresos!B:B,"&gt;="&amp;DATE(C174,B174,1),Egresos!B:B,"&lt;"&amp;EDATE(DATE(C174,B174,1),1))+SUMIFS(Gastos_Mensuales!H:H,Gastos_Mensuales!B:B,B174,Gastos_Mensuales!C:C,C174)+SUMIFS(Impuestos!I:I,Impuestos!B:B,B174,Impuestos!C:C,C174)</f>
        <v/>
      </c>
      <c r="F174" s="8">
        <f>D174-E174</f>
        <v/>
      </c>
      <c r="G174" s="11">
        <f>IFERROR(F174/D174,0)</f>
        <v/>
      </c>
      <c r="H174" s="2">
        <f>COUNTIFS(Cotizaciones!J:J,"Enviada",Cotizaciones!B:B,"&gt;="&amp;DATE(C174,B174,1),Cotizaciones!B:B,"&lt;"&amp;EDATE(DATE(C174,B174,1),1))</f>
        <v/>
      </c>
      <c r="I174" s="2">
        <f>COUNTIFS(Cotizaciones!J:J,"Aprobada",Cotizaciones!B:B,"&gt;="&amp;DATE(C174,B174,1),Cotizaciones!B:B,"&lt;"&amp;EDATE(DATE(C174,B174,1),1))</f>
        <v/>
      </c>
      <c r="J174" s="11">
        <f>IFERROR(I174/H174,0)</f>
        <v/>
      </c>
      <c r="K174" s="8">
        <f>MAX(0,SUM($F$2:F174))</f>
        <v/>
      </c>
      <c r="L174" s="11">
        <f>IFERROR(K174/Configuracion!$K$2,0)</f>
        <v/>
      </c>
      <c r="M174" s="8">
        <f>SUMIFS(Flujo_Caja!H:H,Flujo_Caja!B:B,B174,Flujo_Caja!C:C,C174)</f>
        <v/>
      </c>
      <c r="N174" s="2" t="n"/>
    </row>
    <row r="175">
      <c r="A175" s="2" t="n"/>
      <c r="B175" s="2" t="n"/>
      <c r="C175" s="2" t="n"/>
      <c r="D175" s="8">
        <f>SUMIFS(Ingresos!J:J,Ingresos!D:D,"&gt;="&amp;DATE(C175,B175,1),Ingresos!D:D,"&lt;"&amp;EDATE(DATE(C175,B175,1),1))</f>
        <v/>
      </c>
      <c r="E175" s="8">
        <f>SUMIFS(Egresos!H:H,Egresos!B:B,"&gt;="&amp;DATE(C175,B175,1),Egresos!B:B,"&lt;"&amp;EDATE(DATE(C175,B175,1),1))+SUMIFS(Gastos_Mensuales!H:H,Gastos_Mensuales!B:B,B175,Gastos_Mensuales!C:C,C175)+SUMIFS(Impuestos!I:I,Impuestos!B:B,B175,Impuestos!C:C,C175)</f>
        <v/>
      </c>
      <c r="F175" s="8">
        <f>D175-E175</f>
        <v/>
      </c>
      <c r="G175" s="11">
        <f>IFERROR(F175/D175,0)</f>
        <v/>
      </c>
      <c r="H175" s="2">
        <f>COUNTIFS(Cotizaciones!J:J,"Enviada",Cotizaciones!B:B,"&gt;="&amp;DATE(C175,B175,1),Cotizaciones!B:B,"&lt;"&amp;EDATE(DATE(C175,B175,1),1))</f>
        <v/>
      </c>
      <c r="I175" s="2">
        <f>COUNTIFS(Cotizaciones!J:J,"Aprobada",Cotizaciones!B:B,"&gt;="&amp;DATE(C175,B175,1),Cotizaciones!B:B,"&lt;"&amp;EDATE(DATE(C175,B175,1),1))</f>
        <v/>
      </c>
      <c r="J175" s="11">
        <f>IFERROR(I175/H175,0)</f>
        <v/>
      </c>
      <c r="K175" s="8">
        <f>MAX(0,SUM($F$2:F175))</f>
        <v/>
      </c>
      <c r="L175" s="11">
        <f>IFERROR(K175/Configuracion!$K$2,0)</f>
        <v/>
      </c>
      <c r="M175" s="8">
        <f>SUMIFS(Flujo_Caja!H:H,Flujo_Caja!B:B,B175,Flujo_Caja!C:C,C175)</f>
        <v/>
      </c>
      <c r="N175" s="2" t="n"/>
    </row>
    <row r="176">
      <c r="A176" s="2" t="n"/>
      <c r="B176" s="2" t="n"/>
      <c r="C176" s="2" t="n"/>
      <c r="D176" s="8">
        <f>SUMIFS(Ingresos!J:J,Ingresos!D:D,"&gt;="&amp;DATE(C176,B176,1),Ingresos!D:D,"&lt;"&amp;EDATE(DATE(C176,B176,1),1))</f>
        <v/>
      </c>
      <c r="E176" s="8">
        <f>SUMIFS(Egresos!H:H,Egresos!B:B,"&gt;="&amp;DATE(C176,B176,1),Egresos!B:B,"&lt;"&amp;EDATE(DATE(C176,B176,1),1))+SUMIFS(Gastos_Mensuales!H:H,Gastos_Mensuales!B:B,B176,Gastos_Mensuales!C:C,C176)+SUMIFS(Impuestos!I:I,Impuestos!B:B,B176,Impuestos!C:C,C176)</f>
        <v/>
      </c>
      <c r="F176" s="8">
        <f>D176-E176</f>
        <v/>
      </c>
      <c r="G176" s="11">
        <f>IFERROR(F176/D176,0)</f>
        <v/>
      </c>
      <c r="H176" s="2">
        <f>COUNTIFS(Cotizaciones!J:J,"Enviada",Cotizaciones!B:B,"&gt;="&amp;DATE(C176,B176,1),Cotizaciones!B:B,"&lt;"&amp;EDATE(DATE(C176,B176,1),1))</f>
        <v/>
      </c>
      <c r="I176" s="2">
        <f>COUNTIFS(Cotizaciones!J:J,"Aprobada",Cotizaciones!B:B,"&gt;="&amp;DATE(C176,B176,1),Cotizaciones!B:B,"&lt;"&amp;EDATE(DATE(C176,B176,1),1))</f>
        <v/>
      </c>
      <c r="J176" s="11">
        <f>IFERROR(I176/H176,0)</f>
        <v/>
      </c>
      <c r="K176" s="8">
        <f>MAX(0,SUM($F$2:F176))</f>
        <v/>
      </c>
      <c r="L176" s="11">
        <f>IFERROR(K176/Configuracion!$K$2,0)</f>
        <v/>
      </c>
      <c r="M176" s="8">
        <f>SUMIFS(Flujo_Caja!H:H,Flujo_Caja!B:B,B176,Flujo_Caja!C:C,C176)</f>
        <v/>
      </c>
      <c r="N176" s="2" t="n"/>
    </row>
    <row r="177">
      <c r="A177" s="2" t="n"/>
      <c r="B177" s="2" t="n"/>
      <c r="C177" s="2" t="n"/>
      <c r="D177" s="8">
        <f>SUMIFS(Ingresos!J:J,Ingresos!D:D,"&gt;="&amp;DATE(C177,B177,1),Ingresos!D:D,"&lt;"&amp;EDATE(DATE(C177,B177,1),1))</f>
        <v/>
      </c>
      <c r="E177" s="8">
        <f>SUMIFS(Egresos!H:H,Egresos!B:B,"&gt;="&amp;DATE(C177,B177,1),Egresos!B:B,"&lt;"&amp;EDATE(DATE(C177,B177,1),1))+SUMIFS(Gastos_Mensuales!H:H,Gastos_Mensuales!B:B,B177,Gastos_Mensuales!C:C,C177)+SUMIFS(Impuestos!I:I,Impuestos!B:B,B177,Impuestos!C:C,C177)</f>
        <v/>
      </c>
      <c r="F177" s="8">
        <f>D177-E177</f>
        <v/>
      </c>
      <c r="G177" s="11">
        <f>IFERROR(F177/D177,0)</f>
        <v/>
      </c>
      <c r="H177" s="2">
        <f>COUNTIFS(Cotizaciones!J:J,"Enviada",Cotizaciones!B:B,"&gt;="&amp;DATE(C177,B177,1),Cotizaciones!B:B,"&lt;"&amp;EDATE(DATE(C177,B177,1),1))</f>
        <v/>
      </c>
      <c r="I177" s="2">
        <f>COUNTIFS(Cotizaciones!J:J,"Aprobada",Cotizaciones!B:B,"&gt;="&amp;DATE(C177,B177,1),Cotizaciones!B:B,"&lt;"&amp;EDATE(DATE(C177,B177,1),1))</f>
        <v/>
      </c>
      <c r="J177" s="11">
        <f>IFERROR(I177/H177,0)</f>
        <v/>
      </c>
      <c r="K177" s="8">
        <f>MAX(0,SUM($F$2:F177))</f>
        <v/>
      </c>
      <c r="L177" s="11">
        <f>IFERROR(K177/Configuracion!$K$2,0)</f>
        <v/>
      </c>
      <c r="M177" s="8">
        <f>SUMIFS(Flujo_Caja!H:H,Flujo_Caja!B:B,B177,Flujo_Caja!C:C,C177)</f>
        <v/>
      </c>
      <c r="N177" s="2" t="n"/>
    </row>
    <row r="178">
      <c r="A178" s="2" t="n"/>
      <c r="B178" s="2" t="n"/>
      <c r="C178" s="2" t="n"/>
      <c r="D178" s="8">
        <f>SUMIFS(Ingresos!J:J,Ingresos!D:D,"&gt;="&amp;DATE(C178,B178,1),Ingresos!D:D,"&lt;"&amp;EDATE(DATE(C178,B178,1),1))</f>
        <v/>
      </c>
      <c r="E178" s="8">
        <f>SUMIFS(Egresos!H:H,Egresos!B:B,"&gt;="&amp;DATE(C178,B178,1),Egresos!B:B,"&lt;"&amp;EDATE(DATE(C178,B178,1),1))+SUMIFS(Gastos_Mensuales!H:H,Gastos_Mensuales!B:B,B178,Gastos_Mensuales!C:C,C178)+SUMIFS(Impuestos!I:I,Impuestos!B:B,B178,Impuestos!C:C,C178)</f>
        <v/>
      </c>
      <c r="F178" s="8">
        <f>D178-E178</f>
        <v/>
      </c>
      <c r="G178" s="11">
        <f>IFERROR(F178/D178,0)</f>
        <v/>
      </c>
      <c r="H178" s="2">
        <f>COUNTIFS(Cotizaciones!J:J,"Enviada",Cotizaciones!B:B,"&gt;="&amp;DATE(C178,B178,1),Cotizaciones!B:B,"&lt;"&amp;EDATE(DATE(C178,B178,1),1))</f>
        <v/>
      </c>
      <c r="I178" s="2">
        <f>COUNTIFS(Cotizaciones!J:J,"Aprobada",Cotizaciones!B:B,"&gt;="&amp;DATE(C178,B178,1),Cotizaciones!B:B,"&lt;"&amp;EDATE(DATE(C178,B178,1),1))</f>
        <v/>
      </c>
      <c r="J178" s="11">
        <f>IFERROR(I178/H178,0)</f>
        <v/>
      </c>
      <c r="K178" s="8">
        <f>MAX(0,SUM($F$2:F178))</f>
        <v/>
      </c>
      <c r="L178" s="11">
        <f>IFERROR(K178/Configuracion!$K$2,0)</f>
        <v/>
      </c>
      <c r="M178" s="8">
        <f>SUMIFS(Flujo_Caja!H:H,Flujo_Caja!B:B,B178,Flujo_Caja!C:C,C178)</f>
        <v/>
      </c>
      <c r="N178" s="2" t="n"/>
    </row>
    <row r="179">
      <c r="A179" s="2" t="n"/>
      <c r="B179" s="2" t="n"/>
      <c r="C179" s="2" t="n"/>
      <c r="D179" s="8">
        <f>SUMIFS(Ingresos!J:J,Ingresos!D:D,"&gt;="&amp;DATE(C179,B179,1),Ingresos!D:D,"&lt;"&amp;EDATE(DATE(C179,B179,1),1))</f>
        <v/>
      </c>
      <c r="E179" s="8">
        <f>SUMIFS(Egresos!H:H,Egresos!B:B,"&gt;="&amp;DATE(C179,B179,1),Egresos!B:B,"&lt;"&amp;EDATE(DATE(C179,B179,1),1))+SUMIFS(Gastos_Mensuales!H:H,Gastos_Mensuales!B:B,B179,Gastos_Mensuales!C:C,C179)+SUMIFS(Impuestos!I:I,Impuestos!B:B,B179,Impuestos!C:C,C179)</f>
        <v/>
      </c>
      <c r="F179" s="8">
        <f>D179-E179</f>
        <v/>
      </c>
      <c r="G179" s="11">
        <f>IFERROR(F179/D179,0)</f>
        <v/>
      </c>
      <c r="H179" s="2">
        <f>COUNTIFS(Cotizaciones!J:J,"Enviada",Cotizaciones!B:B,"&gt;="&amp;DATE(C179,B179,1),Cotizaciones!B:B,"&lt;"&amp;EDATE(DATE(C179,B179,1),1))</f>
        <v/>
      </c>
      <c r="I179" s="2">
        <f>COUNTIFS(Cotizaciones!J:J,"Aprobada",Cotizaciones!B:B,"&gt;="&amp;DATE(C179,B179,1),Cotizaciones!B:B,"&lt;"&amp;EDATE(DATE(C179,B179,1),1))</f>
        <v/>
      </c>
      <c r="J179" s="11">
        <f>IFERROR(I179/H179,0)</f>
        <v/>
      </c>
      <c r="K179" s="8">
        <f>MAX(0,SUM($F$2:F179))</f>
        <v/>
      </c>
      <c r="L179" s="11">
        <f>IFERROR(K179/Configuracion!$K$2,0)</f>
        <v/>
      </c>
      <c r="M179" s="8">
        <f>SUMIFS(Flujo_Caja!H:H,Flujo_Caja!B:B,B179,Flujo_Caja!C:C,C179)</f>
        <v/>
      </c>
      <c r="N179" s="2" t="n"/>
    </row>
    <row r="180">
      <c r="A180" s="2" t="n"/>
      <c r="B180" s="2" t="n"/>
      <c r="C180" s="2" t="n"/>
      <c r="D180" s="8">
        <f>SUMIFS(Ingresos!J:J,Ingresos!D:D,"&gt;="&amp;DATE(C180,B180,1),Ingresos!D:D,"&lt;"&amp;EDATE(DATE(C180,B180,1),1))</f>
        <v/>
      </c>
      <c r="E180" s="8">
        <f>SUMIFS(Egresos!H:H,Egresos!B:B,"&gt;="&amp;DATE(C180,B180,1),Egresos!B:B,"&lt;"&amp;EDATE(DATE(C180,B180,1),1))+SUMIFS(Gastos_Mensuales!H:H,Gastos_Mensuales!B:B,B180,Gastos_Mensuales!C:C,C180)+SUMIFS(Impuestos!I:I,Impuestos!B:B,B180,Impuestos!C:C,C180)</f>
        <v/>
      </c>
      <c r="F180" s="8">
        <f>D180-E180</f>
        <v/>
      </c>
      <c r="G180" s="11">
        <f>IFERROR(F180/D180,0)</f>
        <v/>
      </c>
      <c r="H180" s="2">
        <f>COUNTIFS(Cotizaciones!J:J,"Enviada",Cotizaciones!B:B,"&gt;="&amp;DATE(C180,B180,1),Cotizaciones!B:B,"&lt;"&amp;EDATE(DATE(C180,B180,1),1))</f>
        <v/>
      </c>
      <c r="I180" s="2">
        <f>COUNTIFS(Cotizaciones!J:J,"Aprobada",Cotizaciones!B:B,"&gt;="&amp;DATE(C180,B180,1),Cotizaciones!B:B,"&lt;"&amp;EDATE(DATE(C180,B180,1),1))</f>
        <v/>
      </c>
      <c r="J180" s="11">
        <f>IFERROR(I180/H180,0)</f>
        <v/>
      </c>
      <c r="K180" s="8">
        <f>MAX(0,SUM($F$2:F180))</f>
        <v/>
      </c>
      <c r="L180" s="11">
        <f>IFERROR(K180/Configuracion!$K$2,0)</f>
        <v/>
      </c>
      <c r="M180" s="8">
        <f>SUMIFS(Flujo_Caja!H:H,Flujo_Caja!B:B,B180,Flujo_Caja!C:C,C180)</f>
        <v/>
      </c>
      <c r="N180" s="2" t="n"/>
    </row>
    <row r="181">
      <c r="A181" s="2" t="n"/>
      <c r="B181" s="2" t="n"/>
      <c r="C181" s="2" t="n"/>
      <c r="D181" s="8">
        <f>SUMIFS(Ingresos!J:J,Ingresos!D:D,"&gt;="&amp;DATE(C181,B181,1),Ingresos!D:D,"&lt;"&amp;EDATE(DATE(C181,B181,1),1))</f>
        <v/>
      </c>
      <c r="E181" s="8">
        <f>SUMIFS(Egresos!H:H,Egresos!B:B,"&gt;="&amp;DATE(C181,B181,1),Egresos!B:B,"&lt;"&amp;EDATE(DATE(C181,B181,1),1))+SUMIFS(Gastos_Mensuales!H:H,Gastos_Mensuales!B:B,B181,Gastos_Mensuales!C:C,C181)+SUMIFS(Impuestos!I:I,Impuestos!B:B,B181,Impuestos!C:C,C181)</f>
        <v/>
      </c>
      <c r="F181" s="8">
        <f>D181-E181</f>
        <v/>
      </c>
      <c r="G181" s="11">
        <f>IFERROR(F181/D181,0)</f>
        <v/>
      </c>
      <c r="H181" s="2">
        <f>COUNTIFS(Cotizaciones!J:J,"Enviada",Cotizaciones!B:B,"&gt;="&amp;DATE(C181,B181,1),Cotizaciones!B:B,"&lt;"&amp;EDATE(DATE(C181,B181,1),1))</f>
        <v/>
      </c>
      <c r="I181" s="2">
        <f>COUNTIFS(Cotizaciones!J:J,"Aprobada",Cotizaciones!B:B,"&gt;="&amp;DATE(C181,B181,1),Cotizaciones!B:B,"&lt;"&amp;EDATE(DATE(C181,B181,1),1))</f>
        <v/>
      </c>
      <c r="J181" s="11">
        <f>IFERROR(I181/H181,0)</f>
        <v/>
      </c>
      <c r="K181" s="8">
        <f>MAX(0,SUM($F$2:F181))</f>
        <v/>
      </c>
      <c r="L181" s="11">
        <f>IFERROR(K181/Configuracion!$K$2,0)</f>
        <v/>
      </c>
      <c r="M181" s="8">
        <f>SUMIFS(Flujo_Caja!H:H,Flujo_Caja!B:B,B181,Flujo_Caja!C:C,C181)</f>
        <v/>
      </c>
      <c r="N181" s="2" t="n"/>
    </row>
    <row r="182">
      <c r="A182" s="2" t="n"/>
      <c r="B182" s="2" t="n"/>
      <c r="C182" s="2" t="n"/>
      <c r="D182" s="8">
        <f>SUMIFS(Ingresos!J:J,Ingresos!D:D,"&gt;="&amp;DATE(C182,B182,1),Ingresos!D:D,"&lt;"&amp;EDATE(DATE(C182,B182,1),1))</f>
        <v/>
      </c>
      <c r="E182" s="8">
        <f>SUMIFS(Egresos!H:H,Egresos!B:B,"&gt;="&amp;DATE(C182,B182,1),Egresos!B:B,"&lt;"&amp;EDATE(DATE(C182,B182,1),1))+SUMIFS(Gastos_Mensuales!H:H,Gastos_Mensuales!B:B,B182,Gastos_Mensuales!C:C,C182)+SUMIFS(Impuestos!I:I,Impuestos!B:B,B182,Impuestos!C:C,C182)</f>
        <v/>
      </c>
      <c r="F182" s="8">
        <f>D182-E182</f>
        <v/>
      </c>
      <c r="G182" s="11">
        <f>IFERROR(F182/D182,0)</f>
        <v/>
      </c>
      <c r="H182" s="2">
        <f>COUNTIFS(Cotizaciones!J:J,"Enviada",Cotizaciones!B:B,"&gt;="&amp;DATE(C182,B182,1),Cotizaciones!B:B,"&lt;"&amp;EDATE(DATE(C182,B182,1),1))</f>
        <v/>
      </c>
      <c r="I182" s="2">
        <f>COUNTIFS(Cotizaciones!J:J,"Aprobada",Cotizaciones!B:B,"&gt;="&amp;DATE(C182,B182,1),Cotizaciones!B:B,"&lt;"&amp;EDATE(DATE(C182,B182,1),1))</f>
        <v/>
      </c>
      <c r="J182" s="11">
        <f>IFERROR(I182/H182,0)</f>
        <v/>
      </c>
      <c r="K182" s="8">
        <f>MAX(0,SUM($F$2:F182))</f>
        <v/>
      </c>
      <c r="L182" s="11">
        <f>IFERROR(K182/Configuracion!$K$2,0)</f>
        <v/>
      </c>
      <c r="M182" s="8">
        <f>SUMIFS(Flujo_Caja!H:H,Flujo_Caja!B:B,B182,Flujo_Caja!C:C,C182)</f>
        <v/>
      </c>
      <c r="N182" s="2" t="n"/>
    </row>
    <row r="183">
      <c r="A183" s="2" t="n"/>
      <c r="B183" s="2" t="n"/>
      <c r="C183" s="2" t="n"/>
      <c r="D183" s="8">
        <f>SUMIFS(Ingresos!J:J,Ingresos!D:D,"&gt;="&amp;DATE(C183,B183,1),Ingresos!D:D,"&lt;"&amp;EDATE(DATE(C183,B183,1),1))</f>
        <v/>
      </c>
      <c r="E183" s="8">
        <f>SUMIFS(Egresos!H:H,Egresos!B:B,"&gt;="&amp;DATE(C183,B183,1),Egresos!B:B,"&lt;"&amp;EDATE(DATE(C183,B183,1),1))+SUMIFS(Gastos_Mensuales!H:H,Gastos_Mensuales!B:B,B183,Gastos_Mensuales!C:C,C183)+SUMIFS(Impuestos!I:I,Impuestos!B:B,B183,Impuestos!C:C,C183)</f>
        <v/>
      </c>
      <c r="F183" s="8">
        <f>D183-E183</f>
        <v/>
      </c>
      <c r="G183" s="11">
        <f>IFERROR(F183/D183,0)</f>
        <v/>
      </c>
      <c r="H183" s="2">
        <f>COUNTIFS(Cotizaciones!J:J,"Enviada",Cotizaciones!B:B,"&gt;="&amp;DATE(C183,B183,1),Cotizaciones!B:B,"&lt;"&amp;EDATE(DATE(C183,B183,1),1))</f>
        <v/>
      </c>
      <c r="I183" s="2">
        <f>COUNTIFS(Cotizaciones!J:J,"Aprobada",Cotizaciones!B:B,"&gt;="&amp;DATE(C183,B183,1),Cotizaciones!B:B,"&lt;"&amp;EDATE(DATE(C183,B183,1),1))</f>
        <v/>
      </c>
      <c r="J183" s="11">
        <f>IFERROR(I183/H183,0)</f>
        <v/>
      </c>
      <c r="K183" s="8">
        <f>MAX(0,SUM($F$2:F183))</f>
        <v/>
      </c>
      <c r="L183" s="11">
        <f>IFERROR(K183/Configuracion!$K$2,0)</f>
        <v/>
      </c>
      <c r="M183" s="8">
        <f>SUMIFS(Flujo_Caja!H:H,Flujo_Caja!B:B,B183,Flujo_Caja!C:C,C183)</f>
        <v/>
      </c>
      <c r="N183" s="2" t="n"/>
    </row>
    <row r="184">
      <c r="A184" s="2" t="n"/>
      <c r="B184" s="2" t="n"/>
      <c r="C184" s="2" t="n"/>
      <c r="D184" s="8">
        <f>SUMIFS(Ingresos!J:J,Ingresos!D:D,"&gt;="&amp;DATE(C184,B184,1),Ingresos!D:D,"&lt;"&amp;EDATE(DATE(C184,B184,1),1))</f>
        <v/>
      </c>
      <c r="E184" s="8">
        <f>SUMIFS(Egresos!H:H,Egresos!B:B,"&gt;="&amp;DATE(C184,B184,1),Egresos!B:B,"&lt;"&amp;EDATE(DATE(C184,B184,1),1))+SUMIFS(Gastos_Mensuales!H:H,Gastos_Mensuales!B:B,B184,Gastos_Mensuales!C:C,C184)+SUMIFS(Impuestos!I:I,Impuestos!B:B,B184,Impuestos!C:C,C184)</f>
        <v/>
      </c>
      <c r="F184" s="8">
        <f>D184-E184</f>
        <v/>
      </c>
      <c r="G184" s="11">
        <f>IFERROR(F184/D184,0)</f>
        <v/>
      </c>
      <c r="H184" s="2">
        <f>COUNTIFS(Cotizaciones!J:J,"Enviada",Cotizaciones!B:B,"&gt;="&amp;DATE(C184,B184,1),Cotizaciones!B:B,"&lt;"&amp;EDATE(DATE(C184,B184,1),1))</f>
        <v/>
      </c>
      <c r="I184" s="2">
        <f>COUNTIFS(Cotizaciones!J:J,"Aprobada",Cotizaciones!B:B,"&gt;="&amp;DATE(C184,B184,1),Cotizaciones!B:B,"&lt;"&amp;EDATE(DATE(C184,B184,1),1))</f>
        <v/>
      </c>
      <c r="J184" s="11">
        <f>IFERROR(I184/H184,0)</f>
        <v/>
      </c>
      <c r="K184" s="8">
        <f>MAX(0,SUM($F$2:F184))</f>
        <v/>
      </c>
      <c r="L184" s="11">
        <f>IFERROR(K184/Configuracion!$K$2,0)</f>
        <v/>
      </c>
      <c r="M184" s="8">
        <f>SUMIFS(Flujo_Caja!H:H,Flujo_Caja!B:B,B184,Flujo_Caja!C:C,C184)</f>
        <v/>
      </c>
      <c r="N184" s="2" t="n"/>
    </row>
    <row r="185">
      <c r="A185" s="2" t="n"/>
      <c r="B185" s="2" t="n"/>
      <c r="C185" s="2" t="n"/>
      <c r="D185" s="8">
        <f>SUMIFS(Ingresos!J:J,Ingresos!D:D,"&gt;="&amp;DATE(C185,B185,1),Ingresos!D:D,"&lt;"&amp;EDATE(DATE(C185,B185,1),1))</f>
        <v/>
      </c>
      <c r="E185" s="8">
        <f>SUMIFS(Egresos!H:H,Egresos!B:B,"&gt;="&amp;DATE(C185,B185,1),Egresos!B:B,"&lt;"&amp;EDATE(DATE(C185,B185,1),1))+SUMIFS(Gastos_Mensuales!H:H,Gastos_Mensuales!B:B,B185,Gastos_Mensuales!C:C,C185)+SUMIFS(Impuestos!I:I,Impuestos!B:B,B185,Impuestos!C:C,C185)</f>
        <v/>
      </c>
      <c r="F185" s="8">
        <f>D185-E185</f>
        <v/>
      </c>
      <c r="G185" s="11">
        <f>IFERROR(F185/D185,0)</f>
        <v/>
      </c>
      <c r="H185" s="2">
        <f>COUNTIFS(Cotizaciones!J:J,"Enviada",Cotizaciones!B:B,"&gt;="&amp;DATE(C185,B185,1),Cotizaciones!B:B,"&lt;"&amp;EDATE(DATE(C185,B185,1),1))</f>
        <v/>
      </c>
      <c r="I185" s="2">
        <f>COUNTIFS(Cotizaciones!J:J,"Aprobada",Cotizaciones!B:B,"&gt;="&amp;DATE(C185,B185,1),Cotizaciones!B:B,"&lt;"&amp;EDATE(DATE(C185,B185,1),1))</f>
        <v/>
      </c>
      <c r="J185" s="11">
        <f>IFERROR(I185/H185,0)</f>
        <v/>
      </c>
      <c r="K185" s="8">
        <f>MAX(0,SUM($F$2:F185))</f>
        <v/>
      </c>
      <c r="L185" s="11">
        <f>IFERROR(K185/Configuracion!$K$2,0)</f>
        <v/>
      </c>
      <c r="M185" s="8">
        <f>SUMIFS(Flujo_Caja!H:H,Flujo_Caja!B:B,B185,Flujo_Caja!C:C,C185)</f>
        <v/>
      </c>
      <c r="N185" s="2" t="n"/>
    </row>
    <row r="186">
      <c r="A186" s="2" t="n"/>
      <c r="B186" s="2" t="n"/>
      <c r="C186" s="2" t="n"/>
      <c r="D186" s="8">
        <f>SUMIFS(Ingresos!J:J,Ingresos!D:D,"&gt;="&amp;DATE(C186,B186,1),Ingresos!D:D,"&lt;"&amp;EDATE(DATE(C186,B186,1),1))</f>
        <v/>
      </c>
      <c r="E186" s="8">
        <f>SUMIFS(Egresos!H:H,Egresos!B:B,"&gt;="&amp;DATE(C186,B186,1),Egresos!B:B,"&lt;"&amp;EDATE(DATE(C186,B186,1),1))+SUMIFS(Gastos_Mensuales!H:H,Gastos_Mensuales!B:B,B186,Gastos_Mensuales!C:C,C186)+SUMIFS(Impuestos!I:I,Impuestos!B:B,B186,Impuestos!C:C,C186)</f>
        <v/>
      </c>
      <c r="F186" s="8">
        <f>D186-E186</f>
        <v/>
      </c>
      <c r="G186" s="11">
        <f>IFERROR(F186/D186,0)</f>
        <v/>
      </c>
      <c r="H186" s="2">
        <f>COUNTIFS(Cotizaciones!J:J,"Enviada",Cotizaciones!B:B,"&gt;="&amp;DATE(C186,B186,1),Cotizaciones!B:B,"&lt;"&amp;EDATE(DATE(C186,B186,1),1))</f>
        <v/>
      </c>
      <c r="I186" s="2">
        <f>COUNTIFS(Cotizaciones!J:J,"Aprobada",Cotizaciones!B:B,"&gt;="&amp;DATE(C186,B186,1),Cotizaciones!B:B,"&lt;"&amp;EDATE(DATE(C186,B186,1),1))</f>
        <v/>
      </c>
      <c r="J186" s="11">
        <f>IFERROR(I186/H186,0)</f>
        <v/>
      </c>
      <c r="K186" s="8">
        <f>MAX(0,SUM($F$2:F186))</f>
        <v/>
      </c>
      <c r="L186" s="11">
        <f>IFERROR(K186/Configuracion!$K$2,0)</f>
        <v/>
      </c>
      <c r="M186" s="8">
        <f>SUMIFS(Flujo_Caja!H:H,Flujo_Caja!B:B,B186,Flujo_Caja!C:C,C186)</f>
        <v/>
      </c>
      <c r="N186" s="2" t="n"/>
    </row>
    <row r="187">
      <c r="A187" s="2" t="n"/>
      <c r="B187" s="2" t="n"/>
      <c r="C187" s="2" t="n"/>
      <c r="D187" s="8">
        <f>SUMIFS(Ingresos!J:J,Ingresos!D:D,"&gt;="&amp;DATE(C187,B187,1),Ingresos!D:D,"&lt;"&amp;EDATE(DATE(C187,B187,1),1))</f>
        <v/>
      </c>
      <c r="E187" s="8">
        <f>SUMIFS(Egresos!H:H,Egresos!B:B,"&gt;="&amp;DATE(C187,B187,1),Egresos!B:B,"&lt;"&amp;EDATE(DATE(C187,B187,1),1))+SUMIFS(Gastos_Mensuales!H:H,Gastos_Mensuales!B:B,B187,Gastos_Mensuales!C:C,C187)+SUMIFS(Impuestos!I:I,Impuestos!B:B,B187,Impuestos!C:C,C187)</f>
        <v/>
      </c>
      <c r="F187" s="8">
        <f>D187-E187</f>
        <v/>
      </c>
      <c r="G187" s="11">
        <f>IFERROR(F187/D187,0)</f>
        <v/>
      </c>
      <c r="H187" s="2">
        <f>COUNTIFS(Cotizaciones!J:J,"Enviada",Cotizaciones!B:B,"&gt;="&amp;DATE(C187,B187,1),Cotizaciones!B:B,"&lt;"&amp;EDATE(DATE(C187,B187,1),1))</f>
        <v/>
      </c>
      <c r="I187" s="2">
        <f>COUNTIFS(Cotizaciones!J:J,"Aprobada",Cotizaciones!B:B,"&gt;="&amp;DATE(C187,B187,1),Cotizaciones!B:B,"&lt;"&amp;EDATE(DATE(C187,B187,1),1))</f>
        <v/>
      </c>
      <c r="J187" s="11">
        <f>IFERROR(I187/H187,0)</f>
        <v/>
      </c>
      <c r="K187" s="8">
        <f>MAX(0,SUM($F$2:F187))</f>
        <v/>
      </c>
      <c r="L187" s="11">
        <f>IFERROR(K187/Configuracion!$K$2,0)</f>
        <v/>
      </c>
      <c r="M187" s="8">
        <f>SUMIFS(Flujo_Caja!H:H,Flujo_Caja!B:B,B187,Flujo_Caja!C:C,C187)</f>
        <v/>
      </c>
      <c r="N187" s="2" t="n"/>
    </row>
    <row r="188">
      <c r="A188" s="2" t="n"/>
      <c r="B188" s="2" t="n"/>
      <c r="C188" s="2" t="n"/>
      <c r="D188" s="8">
        <f>SUMIFS(Ingresos!J:J,Ingresos!D:D,"&gt;="&amp;DATE(C188,B188,1),Ingresos!D:D,"&lt;"&amp;EDATE(DATE(C188,B188,1),1))</f>
        <v/>
      </c>
      <c r="E188" s="8">
        <f>SUMIFS(Egresos!H:H,Egresos!B:B,"&gt;="&amp;DATE(C188,B188,1),Egresos!B:B,"&lt;"&amp;EDATE(DATE(C188,B188,1),1))+SUMIFS(Gastos_Mensuales!H:H,Gastos_Mensuales!B:B,B188,Gastos_Mensuales!C:C,C188)+SUMIFS(Impuestos!I:I,Impuestos!B:B,B188,Impuestos!C:C,C188)</f>
        <v/>
      </c>
      <c r="F188" s="8">
        <f>D188-E188</f>
        <v/>
      </c>
      <c r="G188" s="11">
        <f>IFERROR(F188/D188,0)</f>
        <v/>
      </c>
      <c r="H188" s="2">
        <f>COUNTIFS(Cotizaciones!J:J,"Enviada",Cotizaciones!B:B,"&gt;="&amp;DATE(C188,B188,1),Cotizaciones!B:B,"&lt;"&amp;EDATE(DATE(C188,B188,1),1))</f>
        <v/>
      </c>
      <c r="I188" s="2">
        <f>COUNTIFS(Cotizaciones!J:J,"Aprobada",Cotizaciones!B:B,"&gt;="&amp;DATE(C188,B188,1),Cotizaciones!B:B,"&lt;"&amp;EDATE(DATE(C188,B188,1),1))</f>
        <v/>
      </c>
      <c r="J188" s="11">
        <f>IFERROR(I188/H188,0)</f>
        <v/>
      </c>
      <c r="K188" s="8">
        <f>MAX(0,SUM($F$2:F188))</f>
        <v/>
      </c>
      <c r="L188" s="11">
        <f>IFERROR(K188/Configuracion!$K$2,0)</f>
        <v/>
      </c>
      <c r="M188" s="8">
        <f>SUMIFS(Flujo_Caja!H:H,Flujo_Caja!B:B,B188,Flujo_Caja!C:C,C188)</f>
        <v/>
      </c>
      <c r="N188" s="2" t="n"/>
    </row>
    <row r="189">
      <c r="A189" s="2" t="n"/>
      <c r="B189" s="2" t="n"/>
      <c r="C189" s="2" t="n"/>
      <c r="D189" s="8">
        <f>SUMIFS(Ingresos!J:J,Ingresos!D:D,"&gt;="&amp;DATE(C189,B189,1),Ingresos!D:D,"&lt;"&amp;EDATE(DATE(C189,B189,1),1))</f>
        <v/>
      </c>
      <c r="E189" s="8">
        <f>SUMIFS(Egresos!H:H,Egresos!B:B,"&gt;="&amp;DATE(C189,B189,1),Egresos!B:B,"&lt;"&amp;EDATE(DATE(C189,B189,1),1))+SUMIFS(Gastos_Mensuales!H:H,Gastos_Mensuales!B:B,B189,Gastos_Mensuales!C:C,C189)+SUMIFS(Impuestos!I:I,Impuestos!B:B,B189,Impuestos!C:C,C189)</f>
        <v/>
      </c>
      <c r="F189" s="8">
        <f>D189-E189</f>
        <v/>
      </c>
      <c r="G189" s="11">
        <f>IFERROR(F189/D189,0)</f>
        <v/>
      </c>
      <c r="H189" s="2">
        <f>COUNTIFS(Cotizaciones!J:J,"Enviada",Cotizaciones!B:B,"&gt;="&amp;DATE(C189,B189,1),Cotizaciones!B:B,"&lt;"&amp;EDATE(DATE(C189,B189,1),1))</f>
        <v/>
      </c>
      <c r="I189" s="2">
        <f>COUNTIFS(Cotizaciones!J:J,"Aprobada",Cotizaciones!B:B,"&gt;="&amp;DATE(C189,B189,1),Cotizaciones!B:B,"&lt;"&amp;EDATE(DATE(C189,B189,1),1))</f>
        <v/>
      </c>
      <c r="J189" s="11">
        <f>IFERROR(I189/H189,0)</f>
        <v/>
      </c>
      <c r="K189" s="8">
        <f>MAX(0,SUM($F$2:F189))</f>
        <v/>
      </c>
      <c r="L189" s="11">
        <f>IFERROR(K189/Configuracion!$K$2,0)</f>
        <v/>
      </c>
      <c r="M189" s="8">
        <f>SUMIFS(Flujo_Caja!H:H,Flujo_Caja!B:B,B189,Flujo_Caja!C:C,C189)</f>
        <v/>
      </c>
      <c r="N189" s="2" t="n"/>
    </row>
    <row r="190">
      <c r="A190" s="2" t="n"/>
      <c r="B190" s="2" t="n"/>
      <c r="C190" s="2" t="n"/>
      <c r="D190" s="8">
        <f>SUMIFS(Ingresos!J:J,Ingresos!D:D,"&gt;="&amp;DATE(C190,B190,1),Ingresos!D:D,"&lt;"&amp;EDATE(DATE(C190,B190,1),1))</f>
        <v/>
      </c>
      <c r="E190" s="8">
        <f>SUMIFS(Egresos!H:H,Egresos!B:B,"&gt;="&amp;DATE(C190,B190,1),Egresos!B:B,"&lt;"&amp;EDATE(DATE(C190,B190,1),1))+SUMIFS(Gastos_Mensuales!H:H,Gastos_Mensuales!B:B,B190,Gastos_Mensuales!C:C,C190)+SUMIFS(Impuestos!I:I,Impuestos!B:B,B190,Impuestos!C:C,C190)</f>
        <v/>
      </c>
      <c r="F190" s="8">
        <f>D190-E190</f>
        <v/>
      </c>
      <c r="G190" s="11">
        <f>IFERROR(F190/D190,0)</f>
        <v/>
      </c>
      <c r="H190" s="2">
        <f>COUNTIFS(Cotizaciones!J:J,"Enviada",Cotizaciones!B:B,"&gt;="&amp;DATE(C190,B190,1),Cotizaciones!B:B,"&lt;"&amp;EDATE(DATE(C190,B190,1),1))</f>
        <v/>
      </c>
      <c r="I190" s="2">
        <f>COUNTIFS(Cotizaciones!J:J,"Aprobada",Cotizaciones!B:B,"&gt;="&amp;DATE(C190,B190,1),Cotizaciones!B:B,"&lt;"&amp;EDATE(DATE(C190,B190,1),1))</f>
        <v/>
      </c>
      <c r="J190" s="11">
        <f>IFERROR(I190/H190,0)</f>
        <v/>
      </c>
      <c r="K190" s="8">
        <f>MAX(0,SUM($F$2:F190))</f>
        <v/>
      </c>
      <c r="L190" s="11">
        <f>IFERROR(K190/Configuracion!$K$2,0)</f>
        <v/>
      </c>
      <c r="M190" s="8">
        <f>SUMIFS(Flujo_Caja!H:H,Flujo_Caja!B:B,B190,Flujo_Caja!C:C,C190)</f>
        <v/>
      </c>
      <c r="N190" s="2" t="n"/>
    </row>
    <row r="191">
      <c r="A191" s="2" t="n"/>
      <c r="B191" s="2" t="n"/>
      <c r="C191" s="2" t="n"/>
      <c r="D191" s="8">
        <f>SUMIFS(Ingresos!J:J,Ingresos!D:D,"&gt;="&amp;DATE(C191,B191,1),Ingresos!D:D,"&lt;"&amp;EDATE(DATE(C191,B191,1),1))</f>
        <v/>
      </c>
      <c r="E191" s="8">
        <f>SUMIFS(Egresos!H:H,Egresos!B:B,"&gt;="&amp;DATE(C191,B191,1),Egresos!B:B,"&lt;"&amp;EDATE(DATE(C191,B191,1),1))+SUMIFS(Gastos_Mensuales!H:H,Gastos_Mensuales!B:B,B191,Gastos_Mensuales!C:C,C191)+SUMIFS(Impuestos!I:I,Impuestos!B:B,B191,Impuestos!C:C,C191)</f>
        <v/>
      </c>
      <c r="F191" s="8">
        <f>D191-E191</f>
        <v/>
      </c>
      <c r="G191" s="11">
        <f>IFERROR(F191/D191,0)</f>
        <v/>
      </c>
      <c r="H191" s="2">
        <f>COUNTIFS(Cotizaciones!J:J,"Enviada",Cotizaciones!B:B,"&gt;="&amp;DATE(C191,B191,1),Cotizaciones!B:B,"&lt;"&amp;EDATE(DATE(C191,B191,1),1))</f>
        <v/>
      </c>
      <c r="I191" s="2">
        <f>COUNTIFS(Cotizaciones!J:J,"Aprobada",Cotizaciones!B:B,"&gt;="&amp;DATE(C191,B191,1),Cotizaciones!B:B,"&lt;"&amp;EDATE(DATE(C191,B191,1),1))</f>
        <v/>
      </c>
      <c r="J191" s="11">
        <f>IFERROR(I191/H191,0)</f>
        <v/>
      </c>
      <c r="K191" s="8">
        <f>MAX(0,SUM($F$2:F191))</f>
        <v/>
      </c>
      <c r="L191" s="11">
        <f>IFERROR(K191/Configuracion!$K$2,0)</f>
        <v/>
      </c>
      <c r="M191" s="8">
        <f>SUMIFS(Flujo_Caja!H:H,Flujo_Caja!B:B,B191,Flujo_Caja!C:C,C191)</f>
        <v/>
      </c>
      <c r="N191" s="2" t="n"/>
    </row>
    <row r="192">
      <c r="A192" s="2" t="n"/>
      <c r="B192" s="2" t="n"/>
      <c r="C192" s="2" t="n"/>
      <c r="D192" s="8">
        <f>SUMIFS(Ingresos!J:J,Ingresos!D:D,"&gt;="&amp;DATE(C192,B192,1),Ingresos!D:D,"&lt;"&amp;EDATE(DATE(C192,B192,1),1))</f>
        <v/>
      </c>
      <c r="E192" s="8">
        <f>SUMIFS(Egresos!H:H,Egresos!B:B,"&gt;="&amp;DATE(C192,B192,1),Egresos!B:B,"&lt;"&amp;EDATE(DATE(C192,B192,1),1))+SUMIFS(Gastos_Mensuales!H:H,Gastos_Mensuales!B:B,B192,Gastos_Mensuales!C:C,C192)+SUMIFS(Impuestos!I:I,Impuestos!B:B,B192,Impuestos!C:C,C192)</f>
        <v/>
      </c>
      <c r="F192" s="8">
        <f>D192-E192</f>
        <v/>
      </c>
      <c r="G192" s="11">
        <f>IFERROR(F192/D192,0)</f>
        <v/>
      </c>
      <c r="H192" s="2">
        <f>COUNTIFS(Cotizaciones!J:J,"Enviada",Cotizaciones!B:B,"&gt;="&amp;DATE(C192,B192,1),Cotizaciones!B:B,"&lt;"&amp;EDATE(DATE(C192,B192,1),1))</f>
        <v/>
      </c>
      <c r="I192" s="2">
        <f>COUNTIFS(Cotizaciones!J:J,"Aprobada",Cotizaciones!B:B,"&gt;="&amp;DATE(C192,B192,1),Cotizaciones!B:B,"&lt;"&amp;EDATE(DATE(C192,B192,1),1))</f>
        <v/>
      </c>
      <c r="J192" s="11">
        <f>IFERROR(I192/H192,0)</f>
        <v/>
      </c>
      <c r="K192" s="8">
        <f>MAX(0,SUM($F$2:F192))</f>
        <v/>
      </c>
      <c r="L192" s="11">
        <f>IFERROR(K192/Configuracion!$K$2,0)</f>
        <v/>
      </c>
      <c r="M192" s="8">
        <f>SUMIFS(Flujo_Caja!H:H,Flujo_Caja!B:B,B192,Flujo_Caja!C:C,C192)</f>
        <v/>
      </c>
      <c r="N192" s="2" t="n"/>
    </row>
    <row r="193">
      <c r="A193" s="2" t="n"/>
      <c r="B193" s="2" t="n"/>
      <c r="C193" s="2" t="n"/>
      <c r="D193" s="8">
        <f>SUMIFS(Ingresos!J:J,Ingresos!D:D,"&gt;="&amp;DATE(C193,B193,1),Ingresos!D:D,"&lt;"&amp;EDATE(DATE(C193,B193,1),1))</f>
        <v/>
      </c>
      <c r="E193" s="8">
        <f>SUMIFS(Egresos!H:H,Egresos!B:B,"&gt;="&amp;DATE(C193,B193,1),Egresos!B:B,"&lt;"&amp;EDATE(DATE(C193,B193,1),1))+SUMIFS(Gastos_Mensuales!H:H,Gastos_Mensuales!B:B,B193,Gastos_Mensuales!C:C,C193)+SUMIFS(Impuestos!I:I,Impuestos!B:B,B193,Impuestos!C:C,C193)</f>
        <v/>
      </c>
      <c r="F193" s="8">
        <f>D193-E193</f>
        <v/>
      </c>
      <c r="G193" s="11">
        <f>IFERROR(F193/D193,0)</f>
        <v/>
      </c>
      <c r="H193" s="2">
        <f>COUNTIFS(Cotizaciones!J:J,"Enviada",Cotizaciones!B:B,"&gt;="&amp;DATE(C193,B193,1),Cotizaciones!B:B,"&lt;"&amp;EDATE(DATE(C193,B193,1),1))</f>
        <v/>
      </c>
      <c r="I193" s="2">
        <f>COUNTIFS(Cotizaciones!J:J,"Aprobada",Cotizaciones!B:B,"&gt;="&amp;DATE(C193,B193,1),Cotizaciones!B:B,"&lt;"&amp;EDATE(DATE(C193,B193,1),1))</f>
        <v/>
      </c>
      <c r="J193" s="11">
        <f>IFERROR(I193/H193,0)</f>
        <v/>
      </c>
      <c r="K193" s="8">
        <f>MAX(0,SUM($F$2:F193))</f>
        <v/>
      </c>
      <c r="L193" s="11">
        <f>IFERROR(K193/Configuracion!$K$2,0)</f>
        <v/>
      </c>
      <c r="M193" s="8">
        <f>SUMIFS(Flujo_Caja!H:H,Flujo_Caja!B:B,B193,Flujo_Caja!C:C,C193)</f>
        <v/>
      </c>
      <c r="N193" s="2" t="n"/>
    </row>
    <row r="194">
      <c r="A194" s="2" t="n"/>
      <c r="B194" s="2" t="n"/>
      <c r="C194" s="2" t="n"/>
      <c r="D194" s="8">
        <f>SUMIFS(Ingresos!J:J,Ingresos!D:D,"&gt;="&amp;DATE(C194,B194,1),Ingresos!D:D,"&lt;"&amp;EDATE(DATE(C194,B194,1),1))</f>
        <v/>
      </c>
      <c r="E194" s="8">
        <f>SUMIFS(Egresos!H:H,Egresos!B:B,"&gt;="&amp;DATE(C194,B194,1),Egresos!B:B,"&lt;"&amp;EDATE(DATE(C194,B194,1),1))+SUMIFS(Gastos_Mensuales!H:H,Gastos_Mensuales!B:B,B194,Gastos_Mensuales!C:C,C194)+SUMIFS(Impuestos!I:I,Impuestos!B:B,B194,Impuestos!C:C,C194)</f>
        <v/>
      </c>
      <c r="F194" s="8">
        <f>D194-E194</f>
        <v/>
      </c>
      <c r="G194" s="11">
        <f>IFERROR(F194/D194,0)</f>
        <v/>
      </c>
      <c r="H194" s="2">
        <f>COUNTIFS(Cotizaciones!J:J,"Enviada",Cotizaciones!B:B,"&gt;="&amp;DATE(C194,B194,1),Cotizaciones!B:B,"&lt;"&amp;EDATE(DATE(C194,B194,1),1))</f>
        <v/>
      </c>
      <c r="I194" s="2">
        <f>COUNTIFS(Cotizaciones!J:J,"Aprobada",Cotizaciones!B:B,"&gt;="&amp;DATE(C194,B194,1),Cotizaciones!B:B,"&lt;"&amp;EDATE(DATE(C194,B194,1),1))</f>
        <v/>
      </c>
      <c r="J194" s="11">
        <f>IFERROR(I194/H194,0)</f>
        <v/>
      </c>
      <c r="K194" s="8">
        <f>MAX(0,SUM($F$2:F194))</f>
        <v/>
      </c>
      <c r="L194" s="11">
        <f>IFERROR(K194/Configuracion!$K$2,0)</f>
        <v/>
      </c>
      <c r="M194" s="8">
        <f>SUMIFS(Flujo_Caja!H:H,Flujo_Caja!B:B,B194,Flujo_Caja!C:C,C194)</f>
        <v/>
      </c>
      <c r="N194" s="2" t="n"/>
    </row>
    <row r="195">
      <c r="A195" s="2" t="n"/>
      <c r="B195" s="2" t="n"/>
      <c r="C195" s="2" t="n"/>
      <c r="D195" s="8">
        <f>SUMIFS(Ingresos!J:J,Ingresos!D:D,"&gt;="&amp;DATE(C195,B195,1),Ingresos!D:D,"&lt;"&amp;EDATE(DATE(C195,B195,1),1))</f>
        <v/>
      </c>
      <c r="E195" s="8">
        <f>SUMIFS(Egresos!H:H,Egresos!B:B,"&gt;="&amp;DATE(C195,B195,1),Egresos!B:B,"&lt;"&amp;EDATE(DATE(C195,B195,1),1))+SUMIFS(Gastos_Mensuales!H:H,Gastos_Mensuales!B:B,B195,Gastos_Mensuales!C:C,C195)+SUMIFS(Impuestos!I:I,Impuestos!B:B,B195,Impuestos!C:C,C195)</f>
        <v/>
      </c>
      <c r="F195" s="8">
        <f>D195-E195</f>
        <v/>
      </c>
      <c r="G195" s="11">
        <f>IFERROR(F195/D195,0)</f>
        <v/>
      </c>
      <c r="H195" s="2">
        <f>COUNTIFS(Cotizaciones!J:J,"Enviada",Cotizaciones!B:B,"&gt;="&amp;DATE(C195,B195,1),Cotizaciones!B:B,"&lt;"&amp;EDATE(DATE(C195,B195,1),1))</f>
        <v/>
      </c>
      <c r="I195" s="2">
        <f>COUNTIFS(Cotizaciones!J:J,"Aprobada",Cotizaciones!B:B,"&gt;="&amp;DATE(C195,B195,1),Cotizaciones!B:B,"&lt;"&amp;EDATE(DATE(C195,B195,1),1))</f>
        <v/>
      </c>
      <c r="J195" s="11">
        <f>IFERROR(I195/H195,0)</f>
        <v/>
      </c>
      <c r="K195" s="8">
        <f>MAX(0,SUM($F$2:F195))</f>
        <v/>
      </c>
      <c r="L195" s="11">
        <f>IFERROR(K195/Configuracion!$K$2,0)</f>
        <v/>
      </c>
      <c r="M195" s="8">
        <f>SUMIFS(Flujo_Caja!H:H,Flujo_Caja!B:B,B195,Flujo_Caja!C:C,C195)</f>
        <v/>
      </c>
      <c r="N195" s="2" t="n"/>
    </row>
    <row r="196">
      <c r="A196" s="2" t="n"/>
      <c r="B196" s="2" t="n"/>
      <c r="C196" s="2" t="n"/>
      <c r="D196" s="8">
        <f>SUMIFS(Ingresos!J:J,Ingresos!D:D,"&gt;="&amp;DATE(C196,B196,1),Ingresos!D:D,"&lt;"&amp;EDATE(DATE(C196,B196,1),1))</f>
        <v/>
      </c>
      <c r="E196" s="8">
        <f>SUMIFS(Egresos!H:H,Egresos!B:B,"&gt;="&amp;DATE(C196,B196,1),Egresos!B:B,"&lt;"&amp;EDATE(DATE(C196,B196,1),1))+SUMIFS(Gastos_Mensuales!H:H,Gastos_Mensuales!B:B,B196,Gastos_Mensuales!C:C,C196)+SUMIFS(Impuestos!I:I,Impuestos!B:B,B196,Impuestos!C:C,C196)</f>
        <v/>
      </c>
      <c r="F196" s="8">
        <f>D196-E196</f>
        <v/>
      </c>
      <c r="G196" s="11">
        <f>IFERROR(F196/D196,0)</f>
        <v/>
      </c>
      <c r="H196" s="2">
        <f>COUNTIFS(Cotizaciones!J:J,"Enviada",Cotizaciones!B:B,"&gt;="&amp;DATE(C196,B196,1),Cotizaciones!B:B,"&lt;"&amp;EDATE(DATE(C196,B196,1),1))</f>
        <v/>
      </c>
      <c r="I196" s="2">
        <f>COUNTIFS(Cotizaciones!J:J,"Aprobada",Cotizaciones!B:B,"&gt;="&amp;DATE(C196,B196,1),Cotizaciones!B:B,"&lt;"&amp;EDATE(DATE(C196,B196,1),1))</f>
        <v/>
      </c>
      <c r="J196" s="11">
        <f>IFERROR(I196/H196,0)</f>
        <v/>
      </c>
      <c r="K196" s="8">
        <f>MAX(0,SUM($F$2:F196))</f>
        <v/>
      </c>
      <c r="L196" s="11">
        <f>IFERROR(K196/Configuracion!$K$2,0)</f>
        <v/>
      </c>
      <c r="M196" s="8">
        <f>SUMIFS(Flujo_Caja!H:H,Flujo_Caja!B:B,B196,Flujo_Caja!C:C,C196)</f>
        <v/>
      </c>
      <c r="N196" s="2" t="n"/>
    </row>
    <row r="197">
      <c r="A197" s="2" t="n"/>
      <c r="B197" s="2" t="n"/>
      <c r="C197" s="2" t="n"/>
      <c r="D197" s="8">
        <f>SUMIFS(Ingresos!J:J,Ingresos!D:D,"&gt;="&amp;DATE(C197,B197,1),Ingresos!D:D,"&lt;"&amp;EDATE(DATE(C197,B197,1),1))</f>
        <v/>
      </c>
      <c r="E197" s="8">
        <f>SUMIFS(Egresos!H:H,Egresos!B:B,"&gt;="&amp;DATE(C197,B197,1),Egresos!B:B,"&lt;"&amp;EDATE(DATE(C197,B197,1),1))+SUMIFS(Gastos_Mensuales!H:H,Gastos_Mensuales!B:B,B197,Gastos_Mensuales!C:C,C197)+SUMIFS(Impuestos!I:I,Impuestos!B:B,B197,Impuestos!C:C,C197)</f>
        <v/>
      </c>
      <c r="F197" s="8">
        <f>D197-E197</f>
        <v/>
      </c>
      <c r="G197" s="11">
        <f>IFERROR(F197/D197,0)</f>
        <v/>
      </c>
      <c r="H197" s="2">
        <f>COUNTIFS(Cotizaciones!J:J,"Enviada",Cotizaciones!B:B,"&gt;="&amp;DATE(C197,B197,1),Cotizaciones!B:B,"&lt;"&amp;EDATE(DATE(C197,B197,1),1))</f>
        <v/>
      </c>
      <c r="I197" s="2">
        <f>COUNTIFS(Cotizaciones!J:J,"Aprobada",Cotizaciones!B:B,"&gt;="&amp;DATE(C197,B197,1),Cotizaciones!B:B,"&lt;"&amp;EDATE(DATE(C197,B197,1),1))</f>
        <v/>
      </c>
      <c r="J197" s="11">
        <f>IFERROR(I197/H197,0)</f>
        <v/>
      </c>
      <c r="K197" s="8">
        <f>MAX(0,SUM($F$2:F197))</f>
        <v/>
      </c>
      <c r="L197" s="11">
        <f>IFERROR(K197/Configuracion!$K$2,0)</f>
        <v/>
      </c>
      <c r="M197" s="8">
        <f>SUMIFS(Flujo_Caja!H:H,Flujo_Caja!B:B,B197,Flujo_Caja!C:C,C197)</f>
        <v/>
      </c>
      <c r="N197" s="2" t="n"/>
    </row>
    <row r="198">
      <c r="A198" s="2" t="n"/>
      <c r="B198" s="2" t="n"/>
      <c r="C198" s="2" t="n"/>
      <c r="D198" s="8">
        <f>SUMIFS(Ingresos!J:J,Ingresos!D:D,"&gt;="&amp;DATE(C198,B198,1),Ingresos!D:D,"&lt;"&amp;EDATE(DATE(C198,B198,1),1))</f>
        <v/>
      </c>
      <c r="E198" s="8">
        <f>SUMIFS(Egresos!H:H,Egresos!B:B,"&gt;="&amp;DATE(C198,B198,1),Egresos!B:B,"&lt;"&amp;EDATE(DATE(C198,B198,1),1))+SUMIFS(Gastos_Mensuales!H:H,Gastos_Mensuales!B:B,B198,Gastos_Mensuales!C:C,C198)+SUMIFS(Impuestos!I:I,Impuestos!B:B,B198,Impuestos!C:C,C198)</f>
        <v/>
      </c>
      <c r="F198" s="8">
        <f>D198-E198</f>
        <v/>
      </c>
      <c r="G198" s="11">
        <f>IFERROR(F198/D198,0)</f>
        <v/>
      </c>
      <c r="H198" s="2">
        <f>COUNTIFS(Cotizaciones!J:J,"Enviada",Cotizaciones!B:B,"&gt;="&amp;DATE(C198,B198,1),Cotizaciones!B:B,"&lt;"&amp;EDATE(DATE(C198,B198,1),1))</f>
        <v/>
      </c>
      <c r="I198" s="2">
        <f>COUNTIFS(Cotizaciones!J:J,"Aprobada",Cotizaciones!B:B,"&gt;="&amp;DATE(C198,B198,1),Cotizaciones!B:B,"&lt;"&amp;EDATE(DATE(C198,B198,1),1))</f>
        <v/>
      </c>
      <c r="J198" s="11">
        <f>IFERROR(I198/H198,0)</f>
        <v/>
      </c>
      <c r="K198" s="8">
        <f>MAX(0,SUM($F$2:F198))</f>
        <v/>
      </c>
      <c r="L198" s="11">
        <f>IFERROR(K198/Configuracion!$K$2,0)</f>
        <v/>
      </c>
      <c r="M198" s="8">
        <f>SUMIFS(Flujo_Caja!H:H,Flujo_Caja!B:B,B198,Flujo_Caja!C:C,C198)</f>
        <v/>
      </c>
      <c r="N198" s="2" t="n"/>
    </row>
    <row r="199">
      <c r="A199" s="2" t="n"/>
      <c r="B199" s="2" t="n"/>
      <c r="C199" s="2" t="n"/>
      <c r="D199" s="8">
        <f>SUMIFS(Ingresos!J:J,Ingresos!D:D,"&gt;="&amp;DATE(C199,B199,1),Ingresos!D:D,"&lt;"&amp;EDATE(DATE(C199,B199,1),1))</f>
        <v/>
      </c>
      <c r="E199" s="8">
        <f>SUMIFS(Egresos!H:H,Egresos!B:B,"&gt;="&amp;DATE(C199,B199,1),Egresos!B:B,"&lt;"&amp;EDATE(DATE(C199,B199,1),1))+SUMIFS(Gastos_Mensuales!H:H,Gastos_Mensuales!B:B,B199,Gastos_Mensuales!C:C,C199)+SUMIFS(Impuestos!I:I,Impuestos!B:B,B199,Impuestos!C:C,C199)</f>
        <v/>
      </c>
      <c r="F199" s="8">
        <f>D199-E199</f>
        <v/>
      </c>
      <c r="G199" s="11">
        <f>IFERROR(F199/D199,0)</f>
        <v/>
      </c>
      <c r="H199" s="2">
        <f>COUNTIFS(Cotizaciones!J:J,"Enviada",Cotizaciones!B:B,"&gt;="&amp;DATE(C199,B199,1),Cotizaciones!B:B,"&lt;"&amp;EDATE(DATE(C199,B199,1),1))</f>
        <v/>
      </c>
      <c r="I199" s="2">
        <f>COUNTIFS(Cotizaciones!J:J,"Aprobada",Cotizaciones!B:B,"&gt;="&amp;DATE(C199,B199,1),Cotizaciones!B:B,"&lt;"&amp;EDATE(DATE(C199,B199,1),1))</f>
        <v/>
      </c>
      <c r="J199" s="11">
        <f>IFERROR(I199/H199,0)</f>
        <v/>
      </c>
      <c r="K199" s="8">
        <f>MAX(0,SUM($F$2:F199))</f>
        <v/>
      </c>
      <c r="L199" s="11">
        <f>IFERROR(K199/Configuracion!$K$2,0)</f>
        <v/>
      </c>
      <c r="M199" s="8">
        <f>SUMIFS(Flujo_Caja!H:H,Flujo_Caja!B:B,B199,Flujo_Caja!C:C,C199)</f>
        <v/>
      </c>
      <c r="N199" s="2" t="n"/>
    </row>
    <row r="200">
      <c r="A200" s="2" t="n"/>
      <c r="B200" s="2" t="n"/>
      <c r="C200" s="2" t="n"/>
      <c r="D200" s="8">
        <f>SUMIFS(Ingresos!J:J,Ingresos!D:D,"&gt;="&amp;DATE(C200,B200,1),Ingresos!D:D,"&lt;"&amp;EDATE(DATE(C200,B200,1),1))</f>
        <v/>
      </c>
      <c r="E200" s="8">
        <f>SUMIFS(Egresos!H:H,Egresos!B:B,"&gt;="&amp;DATE(C200,B200,1),Egresos!B:B,"&lt;"&amp;EDATE(DATE(C200,B200,1),1))+SUMIFS(Gastos_Mensuales!H:H,Gastos_Mensuales!B:B,B200,Gastos_Mensuales!C:C,C200)+SUMIFS(Impuestos!I:I,Impuestos!B:B,B200,Impuestos!C:C,C200)</f>
        <v/>
      </c>
      <c r="F200" s="8">
        <f>D200-E200</f>
        <v/>
      </c>
      <c r="G200" s="11">
        <f>IFERROR(F200/D200,0)</f>
        <v/>
      </c>
      <c r="H200" s="2">
        <f>COUNTIFS(Cotizaciones!J:J,"Enviada",Cotizaciones!B:B,"&gt;="&amp;DATE(C200,B200,1),Cotizaciones!B:B,"&lt;"&amp;EDATE(DATE(C200,B200,1),1))</f>
        <v/>
      </c>
      <c r="I200" s="2">
        <f>COUNTIFS(Cotizaciones!J:J,"Aprobada",Cotizaciones!B:B,"&gt;="&amp;DATE(C200,B200,1),Cotizaciones!B:B,"&lt;"&amp;EDATE(DATE(C200,B200,1),1))</f>
        <v/>
      </c>
      <c r="J200" s="11">
        <f>IFERROR(I200/H200,0)</f>
        <v/>
      </c>
      <c r="K200" s="8">
        <f>MAX(0,SUM($F$2:F200))</f>
        <v/>
      </c>
      <c r="L200" s="11">
        <f>IFERROR(K200/Configuracion!$K$2,0)</f>
        <v/>
      </c>
      <c r="M200" s="8">
        <f>SUMIFS(Flujo_Caja!H:H,Flujo_Caja!B:B,B200,Flujo_Caja!C:C,C200)</f>
        <v/>
      </c>
      <c r="N200" s="2" t="n"/>
    </row>
    <row r="201">
      <c r="A201" s="2" t="n"/>
      <c r="B201" s="2" t="n"/>
      <c r="C201" s="2" t="n"/>
      <c r="D201" s="8">
        <f>SUMIFS(Ingresos!J:J,Ingresos!D:D,"&gt;="&amp;DATE(C201,B201,1),Ingresos!D:D,"&lt;"&amp;EDATE(DATE(C201,B201,1),1))</f>
        <v/>
      </c>
      <c r="E201" s="8">
        <f>SUMIFS(Egresos!H:H,Egresos!B:B,"&gt;="&amp;DATE(C201,B201,1),Egresos!B:B,"&lt;"&amp;EDATE(DATE(C201,B201,1),1))+SUMIFS(Gastos_Mensuales!H:H,Gastos_Mensuales!B:B,B201,Gastos_Mensuales!C:C,C201)+SUMIFS(Impuestos!I:I,Impuestos!B:B,B201,Impuestos!C:C,C201)</f>
        <v/>
      </c>
      <c r="F201" s="8">
        <f>D201-E201</f>
        <v/>
      </c>
      <c r="G201" s="11">
        <f>IFERROR(F201/D201,0)</f>
        <v/>
      </c>
      <c r="H201" s="2">
        <f>COUNTIFS(Cotizaciones!J:J,"Enviada",Cotizaciones!B:B,"&gt;="&amp;DATE(C201,B201,1),Cotizaciones!B:B,"&lt;"&amp;EDATE(DATE(C201,B201,1),1))</f>
        <v/>
      </c>
      <c r="I201" s="2">
        <f>COUNTIFS(Cotizaciones!J:J,"Aprobada",Cotizaciones!B:B,"&gt;="&amp;DATE(C201,B201,1),Cotizaciones!B:B,"&lt;"&amp;EDATE(DATE(C201,B201,1),1))</f>
        <v/>
      </c>
      <c r="J201" s="11">
        <f>IFERROR(I201/H201,0)</f>
        <v/>
      </c>
      <c r="K201" s="8">
        <f>MAX(0,SUM($F$2:F201))</f>
        <v/>
      </c>
      <c r="L201" s="11">
        <f>IFERROR(K201/Configuracion!$K$2,0)</f>
        <v/>
      </c>
      <c r="M201" s="8">
        <f>SUMIFS(Flujo_Caja!H:H,Flujo_Caja!B:B,B201,Flujo_Caja!C:C,C201)</f>
        <v/>
      </c>
      <c r="N201" s="2" t="n"/>
    </row>
    <row r="202">
      <c r="A202" s="2" t="n"/>
      <c r="B202" s="2" t="n"/>
      <c r="C202" s="2" t="n"/>
      <c r="D202" s="8">
        <f>SUMIFS(Ingresos!J:J,Ingresos!D:D,"&gt;="&amp;DATE(C202,B202,1),Ingresos!D:D,"&lt;"&amp;EDATE(DATE(C202,B202,1),1))</f>
        <v/>
      </c>
      <c r="E202" s="8">
        <f>SUMIFS(Egresos!H:H,Egresos!B:B,"&gt;="&amp;DATE(C202,B202,1),Egresos!B:B,"&lt;"&amp;EDATE(DATE(C202,B202,1),1))+SUMIFS(Gastos_Mensuales!H:H,Gastos_Mensuales!B:B,B202,Gastos_Mensuales!C:C,C202)+SUMIFS(Impuestos!I:I,Impuestos!B:B,B202,Impuestos!C:C,C202)</f>
        <v/>
      </c>
      <c r="F202" s="8">
        <f>D202-E202</f>
        <v/>
      </c>
      <c r="G202" s="11">
        <f>IFERROR(F202/D202,0)</f>
        <v/>
      </c>
      <c r="H202" s="2">
        <f>COUNTIFS(Cotizaciones!J:J,"Enviada",Cotizaciones!B:B,"&gt;="&amp;DATE(C202,B202,1),Cotizaciones!B:B,"&lt;"&amp;EDATE(DATE(C202,B202,1),1))</f>
        <v/>
      </c>
      <c r="I202" s="2">
        <f>COUNTIFS(Cotizaciones!J:J,"Aprobada",Cotizaciones!B:B,"&gt;="&amp;DATE(C202,B202,1),Cotizaciones!B:B,"&lt;"&amp;EDATE(DATE(C202,B202,1),1))</f>
        <v/>
      </c>
      <c r="J202" s="11">
        <f>IFERROR(I202/H202,0)</f>
        <v/>
      </c>
      <c r="K202" s="8">
        <f>MAX(0,SUM($F$2:F202))</f>
        <v/>
      </c>
      <c r="L202" s="11">
        <f>IFERROR(K202/Configuracion!$K$2,0)</f>
        <v/>
      </c>
      <c r="M202" s="8">
        <f>SUMIFS(Flujo_Caja!H:H,Flujo_Caja!B:B,B202,Flujo_Caja!C:C,C202)</f>
        <v/>
      </c>
      <c r="N202" s="2" t="n"/>
    </row>
    <row r="203">
      <c r="A203" s="2" t="n"/>
      <c r="B203" s="2" t="n"/>
      <c r="C203" s="2" t="n"/>
      <c r="D203" s="8">
        <f>SUMIFS(Ingresos!J:J,Ingresos!D:D,"&gt;="&amp;DATE(C203,B203,1),Ingresos!D:D,"&lt;"&amp;EDATE(DATE(C203,B203,1),1))</f>
        <v/>
      </c>
      <c r="E203" s="8">
        <f>SUMIFS(Egresos!H:H,Egresos!B:B,"&gt;="&amp;DATE(C203,B203,1),Egresos!B:B,"&lt;"&amp;EDATE(DATE(C203,B203,1),1))+SUMIFS(Gastos_Mensuales!H:H,Gastos_Mensuales!B:B,B203,Gastos_Mensuales!C:C,C203)+SUMIFS(Impuestos!I:I,Impuestos!B:B,B203,Impuestos!C:C,C203)</f>
        <v/>
      </c>
      <c r="F203" s="8">
        <f>D203-E203</f>
        <v/>
      </c>
      <c r="G203" s="11">
        <f>IFERROR(F203/D203,0)</f>
        <v/>
      </c>
      <c r="H203" s="2">
        <f>COUNTIFS(Cotizaciones!J:J,"Enviada",Cotizaciones!B:B,"&gt;="&amp;DATE(C203,B203,1),Cotizaciones!B:B,"&lt;"&amp;EDATE(DATE(C203,B203,1),1))</f>
        <v/>
      </c>
      <c r="I203" s="2">
        <f>COUNTIFS(Cotizaciones!J:J,"Aprobada",Cotizaciones!B:B,"&gt;="&amp;DATE(C203,B203,1),Cotizaciones!B:B,"&lt;"&amp;EDATE(DATE(C203,B203,1),1))</f>
        <v/>
      </c>
      <c r="J203" s="11">
        <f>IFERROR(I203/H203,0)</f>
        <v/>
      </c>
      <c r="K203" s="8">
        <f>MAX(0,SUM($F$2:F203))</f>
        <v/>
      </c>
      <c r="L203" s="11">
        <f>IFERROR(K203/Configuracion!$K$2,0)</f>
        <v/>
      </c>
      <c r="M203" s="8">
        <f>SUMIFS(Flujo_Caja!H:H,Flujo_Caja!B:B,B203,Flujo_Caja!C:C,C203)</f>
        <v/>
      </c>
      <c r="N203" s="2" t="n"/>
    </row>
    <row r="204">
      <c r="A204" s="2" t="n"/>
      <c r="B204" s="2" t="n"/>
      <c r="C204" s="2" t="n"/>
      <c r="D204" s="8">
        <f>SUMIFS(Ingresos!J:J,Ingresos!D:D,"&gt;="&amp;DATE(C204,B204,1),Ingresos!D:D,"&lt;"&amp;EDATE(DATE(C204,B204,1),1))</f>
        <v/>
      </c>
      <c r="E204" s="8">
        <f>SUMIFS(Egresos!H:H,Egresos!B:B,"&gt;="&amp;DATE(C204,B204,1),Egresos!B:B,"&lt;"&amp;EDATE(DATE(C204,B204,1),1))+SUMIFS(Gastos_Mensuales!H:H,Gastos_Mensuales!B:B,B204,Gastos_Mensuales!C:C,C204)+SUMIFS(Impuestos!I:I,Impuestos!B:B,B204,Impuestos!C:C,C204)</f>
        <v/>
      </c>
      <c r="F204" s="8">
        <f>D204-E204</f>
        <v/>
      </c>
      <c r="G204" s="11">
        <f>IFERROR(F204/D204,0)</f>
        <v/>
      </c>
      <c r="H204" s="2">
        <f>COUNTIFS(Cotizaciones!J:J,"Enviada",Cotizaciones!B:B,"&gt;="&amp;DATE(C204,B204,1),Cotizaciones!B:B,"&lt;"&amp;EDATE(DATE(C204,B204,1),1))</f>
        <v/>
      </c>
      <c r="I204" s="2">
        <f>COUNTIFS(Cotizaciones!J:J,"Aprobada",Cotizaciones!B:B,"&gt;="&amp;DATE(C204,B204,1),Cotizaciones!B:B,"&lt;"&amp;EDATE(DATE(C204,B204,1),1))</f>
        <v/>
      </c>
      <c r="J204" s="11">
        <f>IFERROR(I204/H204,0)</f>
        <v/>
      </c>
      <c r="K204" s="8">
        <f>MAX(0,SUM($F$2:F204))</f>
        <v/>
      </c>
      <c r="L204" s="11">
        <f>IFERROR(K204/Configuracion!$K$2,0)</f>
        <v/>
      </c>
      <c r="M204" s="8">
        <f>SUMIFS(Flujo_Caja!H:H,Flujo_Caja!B:B,B204,Flujo_Caja!C:C,C204)</f>
        <v/>
      </c>
      <c r="N204" s="2" t="n"/>
    </row>
    <row r="205">
      <c r="A205" s="2" t="n"/>
      <c r="B205" s="2" t="n"/>
      <c r="C205" s="2" t="n"/>
      <c r="D205" s="8">
        <f>SUMIFS(Ingresos!J:J,Ingresos!D:D,"&gt;="&amp;DATE(C205,B205,1),Ingresos!D:D,"&lt;"&amp;EDATE(DATE(C205,B205,1),1))</f>
        <v/>
      </c>
      <c r="E205" s="8">
        <f>SUMIFS(Egresos!H:H,Egresos!B:B,"&gt;="&amp;DATE(C205,B205,1),Egresos!B:B,"&lt;"&amp;EDATE(DATE(C205,B205,1),1))+SUMIFS(Gastos_Mensuales!H:H,Gastos_Mensuales!B:B,B205,Gastos_Mensuales!C:C,C205)+SUMIFS(Impuestos!I:I,Impuestos!B:B,B205,Impuestos!C:C,C205)</f>
        <v/>
      </c>
      <c r="F205" s="8">
        <f>D205-E205</f>
        <v/>
      </c>
      <c r="G205" s="11">
        <f>IFERROR(F205/D205,0)</f>
        <v/>
      </c>
      <c r="H205" s="2">
        <f>COUNTIFS(Cotizaciones!J:J,"Enviada",Cotizaciones!B:B,"&gt;="&amp;DATE(C205,B205,1),Cotizaciones!B:B,"&lt;"&amp;EDATE(DATE(C205,B205,1),1))</f>
        <v/>
      </c>
      <c r="I205" s="2">
        <f>COUNTIFS(Cotizaciones!J:J,"Aprobada",Cotizaciones!B:B,"&gt;="&amp;DATE(C205,B205,1),Cotizaciones!B:B,"&lt;"&amp;EDATE(DATE(C205,B205,1),1))</f>
        <v/>
      </c>
      <c r="J205" s="11">
        <f>IFERROR(I205/H205,0)</f>
        <v/>
      </c>
      <c r="K205" s="8">
        <f>MAX(0,SUM($F$2:F205))</f>
        <v/>
      </c>
      <c r="L205" s="11">
        <f>IFERROR(K205/Configuracion!$K$2,0)</f>
        <v/>
      </c>
      <c r="M205" s="8">
        <f>SUMIFS(Flujo_Caja!H:H,Flujo_Caja!B:B,B205,Flujo_Caja!C:C,C205)</f>
        <v/>
      </c>
      <c r="N205" s="2" t="n"/>
    </row>
    <row r="206">
      <c r="A206" s="2" t="n"/>
      <c r="B206" s="2" t="n"/>
      <c r="C206" s="2" t="n"/>
      <c r="D206" s="8">
        <f>SUMIFS(Ingresos!J:J,Ingresos!D:D,"&gt;="&amp;DATE(C206,B206,1),Ingresos!D:D,"&lt;"&amp;EDATE(DATE(C206,B206,1),1))</f>
        <v/>
      </c>
      <c r="E206" s="8">
        <f>SUMIFS(Egresos!H:H,Egresos!B:B,"&gt;="&amp;DATE(C206,B206,1),Egresos!B:B,"&lt;"&amp;EDATE(DATE(C206,B206,1),1))+SUMIFS(Gastos_Mensuales!H:H,Gastos_Mensuales!B:B,B206,Gastos_Mensuales!C:C,C206)+SUMIFS(Impuestos!I:I,Impuestos!B:B,B206,Impuestos!C:C,C206)</f>
        <v/>
      </c>
      <c r="F206" s="8">
        <f>D206-E206</f>
        <v/>
      </c>
      <c r="G206" s="11">
        <f>IFERROR(F206/D206,0)</f>
        <v/>
      </c>
      <c r="H206" s="2">
        <f>COUNTIFS(Cotizaciones!J:J,"Enviada",Cotizaciones!B:B,"&gt;="&amp;DATE(C206,B206,1),Cotizaciones!B:B,"&lt;"&amp;EDATE(DATE(C206,B206,1),1))</f>
        <v/>
      </c>
      <c r="I206" s="2">
        <f>COUNTIFS(Cotizaciones!J:J,"Aprobada",Cotizaciones!B:B,"&gt;="&amp;DATE(C206,B206,1),Cotizaciones!B:B,"&lt;"&amp;EDATE(DATE(C206,B206,1),1))</f>
        <v/>
      </c>
      <c r="J206" s="11">
        <f>IFERROR(I206/H206,0)</f>
        <v/>
      </c>
      <c r="K206" s="8">
        <f>MAX(0,SUM($F$2:F206))</f>
        <v/>
      </c>
      <c r="L206" s="11">
        <f>IFERROR(K206/Configuracion!$K$2,0)</f>
        <v/>
      </c>
      <c r="M206" s="8">
        <f>SUMIFS(Flujo_Caja!H:H,Flujo_Caja!B:B,B206,Flujo_Caja!C:C,C206)</f>
        <v/>
      </c>
      <c r="N206" s="2" t="n"/>
    </row>
    <row r="207">
      <c r="A207" s="2" t="n"/>
      <c r="B207" s="2" t="n"/>
      <c r="C207" s="2" t="n"/>
      <c r="D207" s="8">
        <f>SUMIFS(Ingresos!J:J,Ingresos!D:D,"&gt;="&amp;DATE(C207,B207,1),Ingresos!D:D,"&lt;"&amp;EDATE(DATE(C207,B207,1),1))</f>
        <v/>
      </c>
      <c r="E207" s="8">
        <f>SUMIFS(Egresos!H:H,Egresos!B:B,"&gt;="&amp;DATE(C207,B207,1),Egresos!B:B,"&lt;"&amp;EDATE(DATE(C207,B207,1),1))+SUMIFS(Gastos_Mensuales!H:H,Gastos_Mensuales!B:B,B207,Gastos_Mensuales!C:C,C207)+SUMIFS(Impuestos!I:I,Impuestos!B:B,B207,Impuestos!C:C,C207)</f>
        <v/>
      </c>
      <c r="F207" s="8">
        <f>D207-E207</f>
        <v/>
      </c>
      <c r="G207" s="11">
        <f>IFERROR(F207/D207,0)</f>
        <v/>
      </c>
      <c r="H207" s="2">
        <f>COUNTIFS(Cotizaciones!J:J,"Enviada",Cotizaciones!B:B,"&gt;="&amp;DATE(C207,B207,1),Cotizaciones!B:B,"&lt;"&amp;EDATE(DATE(C207,B207,1),1))</f>
        <v/>
      </c>
      <c r="I207" s="2">
        <f>COUNTIFS(Cotizaciones!J:J,"Aprobada",Cotizaciones!B:B,"&gt;="&amp;DATE(C207,B207,1),Cotizaciones!B:B,"&lt;"&amp;EDATE(DATE(C207,B207,1),1))</f>
        <v/>
      </c>
      <c r="J207" s="11">
        <f>IFERROR(I207/H207,0)</f>
        <v/>
      </c>
      <c r="K207" s="8">
        <f>MAX(0,SUM($F$2:F207))</f>
        <v/>
      </c>
      <c r="L207" s="11">
        <f>IFERROR(K207/Configuracion!$K$2,0)</f>
        <v/>
      </c>
      <c r="M207" s="8">
        <f>SUMIFS(Flujo_Caja!H:H,Flujo_Caja!B:B,B207,Flujo_Caja!C:C,C207)</f>
        <v/>
      </c>
      <c r="N207" s="2" t="n"/>
    </row>
    <row r="208">
      <c r="A208" s="2" t="n"/>
      <c r="B208" s="2" t="n"/>
      <c r="C208" s="2" t="n"/>
      <c r="D208" s="8">
        <f>SUMIFS(Ingresos!J:J,Ingresos!D:D,"&gt;="&amp;DATE(C208,B208,1),Ingresos!D:D,"&lt;"&amp;EDATE(DATE(C208,B208,1),1))</f>
        <v/>
      </c>
      <c r="E208" s="8">
        <f>SUMIFS(Egresos!H:H,Egresos!B:B,"&gt;="&amp;DATE(C208,B208,1),Egresos!B:B,"&lt;"&amp;EDATE(DATE(C208,B208,1),1))+SUMIFS(Gastos_Mensuales!H:H,Gastos_Mensuales!B:B,B208,Gastos_Mensuales!C:C,C208)+SUMIFS(Impuestos!I:I,Impuestos!B:B,B208,Impuestos!C:C,C208)</f>
        <v/>
      </c>
      <c r="F208" s="8">
        <f>D208-E208</f>
        <v/>
      </c>
      <c r="G208" s="11">
        <f>IFERROR(F208/D208,0)</f>
        <v/>
      </c>
      <c r="H208" s="2">
        <f>COUNTIFS(Cotizaciones!J:J,"Enviada",Cotizaciones!B:B,"&gt;="&amp;DATE(C208,B208,1),Cotizaciones!B:B,"&lt;"&amp;EDATE(DATE(C208,B208,1),1))</f>
        <v/>
      </c>
      <c r="I208" s="2">
        <f>COUNTIFS(Cotizaciones!J:J,"Aprobada",Cotizaciones!B:B,"&gt;="&amp;DATE(C208,B208,1),Cotizaciones!B:B,"&lt;"&amp;EDATE(DATE(C208,B208,1),1))</f>
        <v/>
      </c>
      <c r="J208" s="11">
        <f>IFERROR(I208/H208,0)</f>
        <v/>
      </c>
      <c r="K208" s="8">
        <f>MAX(0,SUM($F$2:F208))</f>
        <v/>
      </c>
      <c r="L208" s="11">
        <f>IFERROR(K208/Configuracion!$K$2,0)</f>
        <v/>
      </c>
      <c r="M208" s="8">
        <f>SUMIFS(Flujo_Caja!H:H,Flujo_Caja!B:B,B208,Flujo_Caja!C:C,C208)</f>
        <v/>
      </c>
      <c r="N208" s="2" t="n"/>
    </row>
    <row r="209">
      <c r="A209" s="2" t="n"/>
      <c r="B209" s="2" t="n"/>
      <c r="C209" s="2" t="n"/>
      <c r="D209" s="8">
        <f>SUMIFS(Ingresos!J:J,Ingresos!D:D,"&gt;="&amp;DATE(C209,B209,1),Ingresos!D:D,"&lt;"&amp;EDATE(DATE(C209,B209,1),1))</f>
        <v/>
      </c>
      <c r="E209" s="8">
        <f>SUMIFS(Egresos!H:H,Egresos!B:B,"&gt;="&amp;DATE(C209,B209,1),Egresos!B:B,"&lt;"&amp;EDATE(DATE(C209,B209,1),1))+SUMIFS(Gastos_Mensuales!H:H,Gastos_Mensuales!B:B,B209,Gastos_Mensuales!C:C,C209)+SUMIFS(Impuestos!I:I,Impuestos!B:B,B209,Impuestos!C:C,C209)</f>
        <v/>
      </c>
      <c r="F209" s="8">
        <f>D209-E209</f>
        <v/>
      </c>
      <c r="G209" s="11">
        <f>IFERROR(F209/D209,0)</f>
        <v/>
      </c>
      <c r="H209" s="2">
        <f>COUNTIFS(Cotizaciones!J:J,"Enviada",Cotizaciones!B:B,"&gt;="&amp;DATE(C209,B209,1),Cotizaciones!B:B,"&lt;"&amp;EDATE(DATE(C209,B209,1),1))</f>
        <v/>
      </c>
      <c r="I209" s="2">
        <f>COUNTIFS(Cotizaciones!J:J,"Aprobada",Cotizaciones!B:B,"&gt;="&amp;DATE(C209,B209,1),Cotizaciones!B:B,"&lt;"&amp;EDATE(DATE(C209,B209,1),1))</f>
        <v/>
      </c>
      <c r="J209" s="11">
        <f>IFERROR(I209/H209,0)</f>
        <v/>
      </c>
      <c r="K209" s="8">
        <f>MAX(0,SUM($F$2:F209))</f>
        <v/>
      </c>
      <c r="L209" s="11">
        <f>IFERROR(K209/Configuracion!$K$2,0)</f>
        <v/>
      </c>
      <c r="M209" s="8">
        <f>SUMIFS(Flujo_Caja!H:H,Flujo_Caja!B:B,B209,Flujo_Caja!C:C,C209)</f>
        <v/>
      </c>
      <c r="N209" s="2" t="n"/>
    </row>
    <row r="210">
      <c r="A210" s="2" t="n"/>
      <c r="B210" s="2" t="n"/>
      <c r="C210" s="2" t="n"/>
      <c r="D210" s="8">
        <f>SUMIFS(Ingresos!J:J,Ingresos!D:D,"&gt;="&amp;DATE(C210,B210,1),Ingresos!D:D,"&lt;"&amp;EDATE(DATE(C210,B210,1),1))</f>
        <v/>
      </c>
      <c r="E210" s="8">
        <f>SUMIFS(Egresos!H:H,Egresos!B:B,"&gt;="&amp;DATE(C210,B210,1),Egresos!B:B,"&lt;"&amp;EDATE(DATE(C210,B210,1),1))+SUMIFS(Gastos_Mensuales!H:H,Gastos_Mensuales!B:B,B210,Gastos_Mensuales!C:C,C210)+SUMIFS(Impuestos!I:I,Impuestos!B:B,B210,Impuestos!C:C,C210)</f>
        <v/>
      </c>
      <c r="F210" s="8">
        <f>D210-E210</f>
        <v/>
      </c>
      <c r="G210" s="11">
        <f>IFERROR(F210/D210,0)</f>
        <v/>
      </c>
      <c r="H210" s="2">
        <f>COUNTIFS(Cotizaciones!J:J,"Enviada",Cotizaciones!B:B,"&gt;="&amp;DATE(C210,B210,1),Cotizaciones!B:B,"&lt;"&amp;EDATE(DATE(C210,B210,1),1))</f>
        <v/>
      </c>
      <c r="I210" s="2">
        <f>COUNTIFS(Cotizaciones!J:J,"Aprobada",Cotizaciones!B:B,"&gt;="&amp;DATE(C210,B210,1),Cotizaciones!B:B,"&lt;"&amp;EDATE(DATE(C210,B210,1),1))</f>
        <v/>
      </c>
      <c r="J210" s="11">
        <f>IFERROR(I210/H210,0)</f>
        <v/>
      </c>
      <c r="K210" s="8">
        <f>MAX(0,SUM($F$2:F210))</f>
        <v/>
      </c>
      <c r="L210" s="11">
        <f>IFERROR(K210/Configuracion!$K$2,0)</f>
        <v/>
      </c>
      <c r="M210" s="8">
        <f>SUMIFS(Flujo_Caja!H:H,Flujo_Caja!B:B,B210,Flujo_Caja!C:C,C210)</f>
        <v/>
      </c>
      <c r="N210" s="2" t="n"/>
    </row>
    <row r="211">
      <c r="A211" s="2" t="n"/>
      <c r="B211" s="2" t="n"/>
      <c r="C211" s="2" t="n"/>
      <c r="D211" s="8">
        <f>SUMIFS(Ingresos!J:J,Ingresos!D:D,"&gt;="&amp;DATE(C211,B211,1),Ingresos!D:D,"&lt;"&amp;EDATE(DATE(C211,B211,1),1))</f>
        <v/>
      </c>
      <c r="E211" s="8">
        <f>SUMIFS(Egresos!H:H,Egresos!B:B,"&gt;="&amp;DATE(C211,B211,1),Egresos!B:B,"&lt;"&amp;EDATE(DATE(C211,B211,1),1))+SUMIFS(Gastos_Mensuales!H:H,Gastos_Mensuales!B:B,B211,Gastos_Mensuales!C:C,C211)+SUMIFS(Impuestos!I:I,Impuestos!B:B,B211,Impuestos!C:C,C211)</f>
        <v/>
      </c>
      <c r="F211" s="8">
        <f>D211-E211</f>
        <v/>
      </c>
      <c r="G211" s="11">
        <f>IFERROR(F211/D211,0)</f>
        <v/>
      </c>
      <c r="H211" s="2">
        <f>COUNTIFS(Cotizaciones!J:J,"Enviada",Cotizaciones!B:B,"&gt;="&amp;DATE(C211,B211,1),Cotizaciones!B:B,"&lt;"&amp;EDATE(DATE(C211,B211,1),1))</f>
        <v/>
      </c>
      <c r="I211" s="2">
        <f>COUNTIFS(Cotizaciones!J:J,"Aprobada",Cotizaciones!B:B,"&gt;="&amp;DATE(C211,B211,1),Cotizaciones!B:B,"&lt;"&amp;EDATE(DATE(C211,B211,1),1))</f>
        <v/>
      </c>
      <c r="J211" s="11">
        <f>IFERROR(I211/H211,0)</f>
        <v/>
      </c>
      <c r="K211" s="8">
        <f>MAX(0,SUM($F$2:F211))</f>
        <v/>
      </c>
      <c r="L211" s="11">
        <f>IFERROR(K211/Configuracion!$K$2,0)</f>
        <v/>
      </c>
      <c r="M211" s="8">
        <f>SUMIFS(Flujo_Caja!H:H,Flujo_Caja!B:B,B211,Flujo_Caja!C:C,C211)</f>
        <v/>
      </c>
      <c r="N211" s="2" t="n"/>
    </row>
    <row r="212">
      <c r="A212" s="2" t="n"/>
      <c r="B212" s="2" t="n"/>
      <c r="C212" s="2" t="n"/>
      <c r="D212" s="8">
        <f>SUMIFS(Ingresos!J:J,Ingresos!D:D,"&gt;="&amp;DATE(C212,B212,1),Ingresos!D:D,"&lt;"&amp;EDATE(DATE(C212,B212,1),1))</f>
        <v/>
      </c>
      <c r="E212" s="8">
        <f>SUMIFS(Egresos!H:H,Egresos!B:B,"&gt;="&amp;DATE(C212,B212,1),Egresos!B:B,"&lt;"&amp;EDATE(DATE(C212,B212,1),1))+SUMIFS(Gastos_Mensuales!H:H,Gastos_Mensuales!B:B,B212,Gastos_Mensuales!C:C,C212)+SUMIFS(Impuestos!I:I,Impuestos!B:B,B212,Impuestos!C:C,C212)</f>
        <v/>
      </c>
      <c r="F212" s="8">
        <f>D212-E212</f>
        <v/>
      </c>
      <c r="G212" s="11">
        <f>IFERROR(F212/D212,0)</f>
        <v/>
      </c>
      <c r="H212" s="2">
        <f>COUNTIFS(Cotizaciones!J:J,"Enviada",Cotizaciones!B:B,"&gt;="&amp;DATE(C212,B212,1),Cotizaciones!B:B,"&lt;"&amp;EDATE(DATE(C212,B212,1),1))</f>
        <v/>
      </c>
      <c r="I212" s="2">
        <f>COUNTIFS(Cotizaciones!J:J,"Aprobada",Cotizaciones!B:B,"&gt;="&amp;DATE(C212,B212,1),Cotizaciones!B:B,"&lt;"&amp;EDATE(DATE(C212,B212,1),1))</f>
        <v/>
      </c>
      <c r="J212" s="11">
        <f>IFERROR(I212/H212,0)</f>
        <v/>
      </c>
      <c r="K212" s="8">
        <f>MAX(0,SUM($F$2:F212))</f>
        <v/>
      </c>
      <c r="L212" s="11">
        <f>IFERROR(K212/Configuracion!$K$2,0)</f>
        <v/>
      </c>
      <c r="M212" s="8">
        <f>SUMIFS(Flujo_Caja!H:H,Flujo_Caja!B:B,B212,Flujo_Caja!C:C,C212)</f>
        <v/>
      </c>
      <c r="N212" s="2" t="n"/>
    </row>
    <row r="213">
      <c r="A213" s="2" t="n"/>
      <c r="B213" s="2" t="n"/>
      <c r="C213" s="2" t="n"/>
      <c r="D213" s="8">
        <f>SUMIFS(Ingresos!J:J,Ingresos!D:D,"&gt;="&amp;DATE(C213,B213,1),Ingresos!D:D,"&lt;"&amp;EDATE(DATE(C213,B213,1),1))</f>
        <v/>
      </c>
      <c r="E213" s="8">
        <f>SUMIFS(Egresos!H:H,Egresos!B:B,"&gt;="&amp;DATE(C213,B213,1),Egresos!B:B,"&lt;"&amp;EDATE(DATE(C213,B213,1),1))+SUMIFS(Gastos_Mensuales!H:H,Gastos_Mensuales!B:B,B213,Gastos_Mensuales!C:C,C213)+SUMIFS(Impuestos!I:I,Impuestos!B:B,B213,Impuestos!C:C,C213)</f>
        <v/>
      </c>
      <c r="F213" s="8">
        <f>D213-E213</f>
        <v/>
      </c>
      <c r="G213" s="11">
        <f>IFERROR(F213/D213,0)</f>
        <v/>
      </c>
      <c r="H213" s="2">
        <f>COUNTIFS(Cotizaciones!J:J,"Enviada",Cotizaciones!B:B,"&gt;="&amp;DATE(C213,B213,1),Cotizaciones!B:B,"&lt;"&amp;EDATE(DATE(C213,B213,1),1))</f>
        <v/>
      </c>
      <c r="I213" s="2">
        <f>COUNTIFS(Cotizaciones!J:J,"Aprobada",Cotizaciones!B:B,"&gt;="&amp;DATE(C213,B213,1),Cotizaciones!B:B,"&lt;"&amp;EDATE(DATE(C213,B213,1),1))</f>
        <v/>
      </c>
      <c r="J213" s="11">
        <f>IFERROR(I213/H213,0)</f>
        <v/>
      </c>
      <c r="K213" s="8">
        <f>MAX(0,SUM($F$2:F213))</f>
        <v/>
      </c>
      <c r="L213" s="11">
        <f>IFERROR(K213/Configuracion!$K$2,0)</f>
        <v/>
      </c>
      <c r="M213" s="8">
        <f>SUMIFS(Flujo_Caja!H:H,Flujo_Caja!B:B,B213,Flujo_Caja!C:C,C213)</f>
        <v/>
      </c>
      <c r="N213" s="2" t="n"/>
    </row>
    <row r="214">
      <c r="A214" s="2" t="n"/>
      <c r="B214" s="2" t="n"/>
      <c r="C214" s="2" t="n"/>
      <c r="D214" s="8">
        <f>SUMIFS(Ingresos!J:J,Ingresos!D:D,"&gt;="&amp;DATE(C214,B214,1),Ingresos!D:D,"&lt;"&amp;EDATE(DATE(C214,B214,1),1))</f>
        <v/>
      </c>
      <c r="E214" s="8">
        <f>SUMIFS(Egresos!H:H,Egresos!B:B,"&gt;="&amp;DATE(C214,B214,1),Egresos!B:B,"&lt;"&amp;EDATE(DATE(C214,B214,1),1))+SUMIFS(Gastos_Mensuales!H:H,Gastos_Mensuales!B:B,B214,Gastos_Mensuales!C:C,C214)+SUMIFS(Impuestos!I:I,Impuestos!B:B,B214,Impuestos!C:C,C214)</f>
        <v/>
      </c>
      <c r="F214" s="8">
        <f>D214-E214</f>
        <v/>
      </c>
      <c r="G214" s="11">
        <f>IFERROR(F214/D214,0)</f>
        <v/>
      </c>
      <c r="H214" s="2">
        <f>COUNTIFS(Cotizaciones!J:J,"Enviada",Cotizaciones!B:B,"&gt;="&amp;DATE(C214,B214,1),Cotizaciones!B:B,"&lt;"&amp;EDATE(DATE(C214,B214,1),1))</f>
        <v/>
      </c>
      <c r="I214" s="2">
        <f>COUNTIFS(Cotizaciones!J:J,"Aprobada",Cotizaciones!B:B,"&gt;="&amp;DATE(C214,B214,1),Cotizaciones!B:B,"&lt;"&amp;EDATE(DATE(C214,B214,1),1))</f>
        <v/>
      </c>
      <c r="J214" s="11">
        <f>IFERROR(I214/H214,0)</f>
        <v/>
      </c>
      <c r="K214" s="8">
        <f>MAX(0,SUM($F$2:F214))</f>
        <v/>
      </c>
      <c r="L214" s="11">
        <f>IFERROR(K214/Configuracion!$K$2,0)</f>
        <v/>
      </c>
      <c r="M214" s="8">
        <f>SUMIFS(Flujo_Caja!H:H,Flujo_Caja!B:B,B214,Flujo_Caja!C:C,C214)</f>
        <v/>
      </c>
      <c r="N214" s="2" t="n"/>
    </row>
    <row r="215">
      <c r="A215" s="2" t="n"/>
      <c r="B215" s="2" t="n"/>
      <c r="C215" s="2" t="n"/>
      <c r="D215" s="8">
        <f>SUMIFS(Ingresos!J:J,Ingresos!D:D,"&gt;="&amp;DATE(C215,B215,1),Ingresos!D:D,"&lt;"&amp;EDATE(DATE(C215,B215,1),1))</f>
        <v/>
      </c>
      <c r="E215" s="8">
        <f>SUMIFS(Egresos!H:H,Egresos!B:B,"&gt;="&amp;DATE(C215,B215,1),Egresos!B:B,"&lt;"&amp;EDATE(DATE(C215,B215,1),1))+SUMIFS(Gastos_Mensuales!H:H,Gastos_Mensuales!B:B,B215,Gastos_Mensuales!C:C,C215)+SUMIFS(Impuestos!I:I,Impuestos!B:B,B215,Impuestos!C:C,C215)</f>
        <v/>
      </c>
      <c r="F215" s="8">
        <f>D215-E215</f>
        <v/>
      </c>
      <c r="G215" s="11">
        <f>IFERROR(F215/D215,0)</f>
        <v/>
      </c>
      <c r="H215" s="2">
        <f>COUNTIFS(Cotizaciones!J:J,"Enviada",Cotizaciones!B:B,"&gt;="&amp;DATE(C215,B215,1),Cotizaciones!B:B,"&lt;"&amp;EDATE(DATE(C215,B215,1),1))</f>
        <v/>
      </c>
      <c r="I215" s="2">
        <f>COUNTIFS(Cotizaciones!J:J,"Aprobada",Cotizaciones!B:B,"&gt;="&amp;DATE(C215,B215,1),Cotizaciones!B:B,"&lt;"&amp;EDATE(DATE(C215,B215,1),1))</f>
        <v/>
      </c>
      <c r="J215" s="11">
        <f>IFERROR(I215/H215,0)</f>
        <v/>
      </c>
      <c r="K215" s="8">
        <f>MAX(0,SUM($F$2:F215))</f>
        <v/>
      </c>
      <c r="L215" s="11">
        <f>IFERROR(K215/Configuracion!$K$2,0)</f>
        <v/>
      </c>
      <c r="M215" s="8">
        <f>SUMIFS(Flujo_Caja!H:H,Flujo_Caja!B:B,B215,Flujo_Caja!C:C,C215)</f>
        <v/>
      </c>
      <c r="N215" s="2" t="n"/>
    </row>
    <row r="216">
      <c r="A216" s="2" t="n"/>
      <c r="B216" s="2" t="n"/>
      <c r="C216" s="2" t="n"/>
      <c r="D216" s="8">
        <f>SUMIFS(Ingresos!J:J,Ingresos!D:D,"&gt;="&amp;DATE(C216,B216,1),Ingresos!D:D,"&lt;"&amp;EDATE(DATE(C216,B216,1),1))</f>
        <v/>
      </c>
      <c r="E216" s="8">
        <f>SUMIFS(Egresos!H:H,Egresos!B:B,"&gt;="&amp;DATE(C216,B216,1),Egresos!B:B,"&lt;"&amp;EDATE(DATE(C216,B216,1),1))+SUMIFS(Gastos_Mensuales!H:H,Gastos_Mensuales!B:B,B216,Gastos_Mensuales!C:C,C216)+SUMIFS(Impuestos!I:I,Impuestos!B:B,B216,Impuestos!C:C,C216)</f>
        <v/>
      </c>
      <c r="F216" s="8">
        <f>D216-E216</f>
        <v/>
      </c>
      <c r="G216" s="11">
        <f>IFERROR(F216/D216,0)</f>
        <v/>
      </c>
      <c r="H216" s="2">
        <f>COUNTIFS(Cotizaciones!J:J,"Enviada",Cotizaciones!B:B,"&gt;="&amp;DATE(C216,B216,1),Cotizaciones!B:B,"&lt;"&amp;EDATE(DATE(C216,B216,1),1))</f>
        <v/>
      </c>
      <c r="I216" s="2">
        <f>COUNTIFS(Cotizaciones!J:J,"Aprobada",Cotizaciones!B:B,"&gt;="&amp;DATE(C216,B216,1),Cotizaciones!B:B,"&lt;"&amp;EDATE(DATE(C216,B216,1),1))</f>
        <v/>
      </c>
      <c r="J216" s="11">
        <f>IFERROR(I216/H216,0)</f>
        <v/>
      </c>
      <c r="K216" s="8">
        <f>MAX(0,SUM($F$2:F216))</f>
        <v/>
      </c>
      <c r="L216" s="11">
        <f>IFERROR(K216/Configuracion!$K$2,0)</f>
        <v/>
      </c>
      <c r="M216" s="8">
        <f>SUMIFS(Flujo_Caja!H:H,Flujo_Caja!B:B,B216,Flujo_Caja!C:C,C216)</f>
        <v/>
      </c>
      <c r="N216" s="2" t="n"/>
    </row>
    <row r="217">
      <c r="A217" s="2" t="n"/>
      <c r="B217" s="2" t="n"/>
      <c r="C217" s="2" t="n"/>
      <c r="D217" s="8">
        <f>SUMIFS(Ingresos!J:J,Ingresos!D:D,"&gt;="&amp;DATE(C217,B217,1),Ingresos!D:D,"&lt;"&amp;EDATE(DATE(C217,B217,1),1))</f>
        <v/>
      </c>
      <c r="E217" s="8">
        <f>SUMIFS(Egresos!H:H,Egresos!B:B,"&gt;="&amp;DATE(C217,B217,1),Egresos!B:B,"&lt;"&amp;EDATE(DATE(C217,B217,1),1))+SUMIFS(Gastos_Mensuales!H:H,Gastos_Mensuales!B:B,B217,Gastos_Mensuales!C:C,C217)+SUMIFS(Impuestos!I:I,Impuestos!B:B,B217,Impuestos!C:C,C217)</f>
        <v/>
      </c>
      <c r="F217" s="8">
        <f>D217-E217</f>
        <v/>
      </c>
      <c r="G217" s="11">
        <f>IFERROR(F217/D217,0)</f>
        <v/>
      </c>
      <c r="H217" s="2">
        <f>COUNTIFS(Cotizaciones!J:J,"Enviada",Cotizaciones!B:B,"&gt;="&amp;DATE(C217,B217,1),Cotizaciones!B:B,"&lt;"&amp;EDATE(DATE(C217,B217,1),1))</f>
        <v/>
      </c>
      <c r="I217" s="2">
        <f>COUNTIFS(Cotizaciones!J:J,"Aprobada",Cotizaciones!B:B,"&gt;="&amp;DATE(C217,B217,1),Cotizaciones!B:B,"&lt;"&amp;EDATE(DATE(C217,B217,1),1))</f>
        <v/>
      </c>
      <c r="J217" s="11">
        <f>IFERROR(I217/H217,0)</f>
        <v/>
      </c>
      <c r="K217" s="8">
        <f>MAX(0,SUM($F$2:F217))</f>
        <v/>
      </c>
      <c r="L217" s="11">
        <f>IFERROR(K217/Configuracion!$K$2,0)</f>
        <v/>
      </c>
      <c r="M217" s="8">
        <f>SUMIFS(Flujo_Caja!H:H,Flujo_Caja!B:B,B217,Flujo_Caja!C:C,C217)</f>
        <v/>
      </c>
      <c r="N217" s="2" t="n"/>
    </row>
    <row r="218">
      <c r="A218" s="2" t="n"/>
      <c r="B218" s="2" t="n"/>
      <c r="C218" s="2" t="n"/>
      <c r="D218" s="8">
        <f>SUMIFS(Ingresos!J:J,Ingresos!D:D,"&gt;="&amp;DATE(C218,B218,1),Ingresos!D:D,"&lt;"&amp;EDATE(DATE(C218,B218,1),1))</f>
        <v/>
      </c>
      <c r="E218" s="8">
        <f>SUMIFS(Egresos!H:H,Egresos!B:B,"&gt;="&amp;DATE(C218,B218,1),Egresos!B:B,"&lt;"&amp;EDATE(DATE(C218,B218,1),1))+SUMIFS(Gastos_Mensuales!H:H,Gastos_Mensuales!B:B,B218,Gastos_Mensuales!C:C,C218)+SUMIFS(Impuestos!I:I,Impuestos!B:B,B218,Impuestos!C:C,C218)</f>
        <v/>
      </c>
      <c r="F218" s="8">
        <f>D218-E218</f>
        <v/>
      </c>
      <c r="G218" s="11">
        <f>IFERROR(F218/D218,0)</f>
        <v/>
      </c>
      <c r="H218" s="2">
        <f>COUNTIFS(Cotizaciones!J:J,"Enviada",Cotizaciones!B:B,"&gt;="&amp;DATE(C218,B218,1),Cotizaciones!B:B,"&lt;"&amp;EDATE(DATE(C218,B218,1),1))</f>
        <v/>
      </c>
      <c r="I218" s="2">
        <f>COUNTIFS(Cotizaciones!J:J,"Aprobada",Cotizaciones!B:B,"&gt;="&amp;DATE(C218,B218,1),Cotizaciones!B:B,"&lt;"&amp;EDATE(DATE(C218,B218,1),1))</f>
        <v/>
      </c>
      <c r="J218" s="11">
        <f>IFERROR(I218/H218,0)</f>
        <v/>
      </c>
      <c r="K218" s="8">
        <f>MAX(0,SUM($F$2:F218))</f>
        <v/>
      </c>
      <c r="L218" s="11">
        <f>IFERROR(K218/Configuracion!$K$2,0)</f>
        <v/>
      </c>
      <c r="M218" s="8">
        <f>SUMIFS(Flujo_Caja!H:H,Flujo_Caja!B:B,B218,Flujo_Caja!C:C,C218)</f>
        <v/>
      </c>
      <c r="N218" s="2" t="n"/>
    </row>
    <row r="219">
      <c r="A219" s="2" t="n"/>
      <c r="B219" s="2" t="n"/>
      <c r="C219" s="2" t="n"/>
      <c r="D219" s="8">
        <f>SUMIFS(Ingresos!J:J,Ingresos!D:D,"&gt;="&amp;DATE(C219,B219,1),Ingresos!D:D,"&lt;"&amp;EDATE(DATE(C219,B219,1),1))</f>
        <v/>
      </c>
      <c r="E219" s="8">
        <f>SUMIFS(Egresos!H:H,Egresos!B:B,"&gt;="&amp;DATE(C219,B219,1),Egresos!B:B,"&lt;"&amp;EDATE(DATE(C219,B219,1),1))+SUMIFS(Gastos_Mensuales!H:H,Gastos_Mensuales!B:B,B219,Gastos_Mensuales!C:C,C219)+SUMIFS(Impuestos!I:I,Impuestos!B:B,B219,Impuestos!C:C,C219)</f>
        <v/>
      </c>
      <c r="F219" s="8">
        <f>D219-E219</f>
        <v/>
      </c>
      <c r="G219" s="11">
        <f>IFERROR(F219/D219,0)</f>
        <v/>
      </c>
      <c r="H219" s="2">
        <f>COUNTIFS(Cotizaciones!J:J,"Enviada",Cotizaciones!B:B,"&gt;="&amp;DATE(C219,B219,1),Cotizaciones!B:B,"&lt;"&amp;EDATE(DATE(C219,B219,1),1))</f>
        <v/>
      </c>
      <c r="I219" s="2">
        <f>COUNTIFS(Cotizaciones!J:J,"Aprobada",Cotizaciones!B:B,"&gt;="&amp;DATE(C219,B219,1),Cotizaciones!B:B,"&lt;"&amp;EDATE(DATE(C219,B219,1),1))</f>
        <v/>
      </c>
      <c r="J219" s="11">
        <f>IFERROR(I219/H219,0)</f>
        <v/>
      </c>
      <c r="K219" s="8">
        <f>MAX(0,SUM($F$2:F219))</f>
        <v/>
      </c>
      <c r="L219" s="11">
        <f>IFERROR(K219/Configuracion!$K$2,0)</f>
        <v/>
      </c>
      <c r="M219" s="8">
        <f>SUMIFS(Flujo_Caja!H:H,Flujo_Caja!B:B,B219,Flujo_Caja!C:C,C219)</f>
        <v/>
      </c>
      <c r="N219" s="2" t="n"/>
    </row>
    <row r="220">
      <c r="A220" s="2" t="n"/>
      <c r="B220" s="2" t="n"/>
      <c r="C220" s="2" t="n"/>
      <c r="D220" s="8">
        <f>SUMIFS(Ingresos!J:J,Ingresos!D:D,"&gt;="&amp;DATE(C220,B220,1),Ingresos!D:D,"&lt;"&amp;EDATE(DATE(C220,B220,1),1))</f>
        <v/>
      </c>
      <c r="E220" s="8">
        <f>SUMIFS(Egresos!H:H,Egresos!B:B,"&gt;="&amp;DATE(C220,B220,1),Egresos!B:B,"&lt;"&amp;EDATE(DATE(C220,B220,1),1))+SUMIFS(Gastos_Mensuales!H:H,Gastos_Mensuales!B:B,B220,Gastos_Mensuales!C:C,C220)+SUMIFS(Impuestos!I:I,Impuestos!B:B,B220,Impuestos!C:C,C220)</f>
        <v/>
      </c>
      <c r="F220" s="8">
        <f>D220-E220</f>
        <v/>
      </c>
      <c r="G220" s="11">
        <f>IFERROR(F220/D220,0)</f>
        <v/>
      </c>
      <c r="H220" s="2">
        <f>COUNTIFS(Cotizaciones!J:J,"Enviada",Cotizaciones!B:B,"&gt;="&amp;DATE(C220,B220,1),Cotizaciones!B:B,"&lt;"&amp;EDATE(DATE(C220,B220,1),1))</f>
        <v/>
      </c>
      <c r="I220" s="2">
        <f>COUNTIFS(Cotizaciones!J:J,"Aprobada",Cotizaciones!B:B,"&gt;="&amp;DATE(C220,B220,1),Cotizaciones!B:B,"&lt;"&amp;EDATE(DATE(C220,B220,1),1))</f>
        <v/>
      </c>
      <c r="J220" s="11">
        <f>IFERROR(I220/H220,0)</f>
        <v/>
      </c>
      <c r="K220" s="8">
        <f>MAX(0,SUM($F$2:F220))</f>
        <v/>
      </c>
      <c r="L220" s="11">
        <f>IFERROR(K220/Configuracion!$K$2,0)</f>
        <v/>
      </c>
      <c r="M220" s="8">
        <f>SUMIFS(Flujo_Caja!H:H,Flujo_Caja!B:B,B220,Flujo_Caja!C:C,C220)</f>
        <v/>
      </c>
      <c r="N220" s="2" t="n"/>
    </row>
    <row r="221">
      <c r="A221" s="2" t="n"/>
      <c r="B221" s="2" t="n"/>
      <c r="C221" s="2" t="n"/>
      <c r="D221" s="8">
        <f>SUMIFS(Ingresos!J:J,Ingresos!D:D,"&gt;="&amp;DATE(C221,B221,1),Ingresos!D:D,"&lt;"&amp;EDATE(DATE(C221,B221,1),1))</f>
        <v/>
      </c>
      <c r="E221" s="8">
        <f>SUMIFS(Egresos!H:H,Egresos!B:B,"&gt;="&amp;DATE(C221,B221,1),Egresos!B:B,"&lt;"&amp;EDATE(DATE(C221,B221,1),1))+SUMIFS(Gastos_Mensuales!H:H,Gastos_Mensuales!B:B,B221,Gastos_Mensuales!C:C,C221)+SUMIFS(Impuestos!I:I,Impuestos!B:B,B221,Impuestos!C:C,C221)</f>
        <v/>
      </c>
      <c r="F221" s="8">
        <f>D221-E221</f>
        <v/>
      </c>
      <c r="G221" s="11">
        <f>IFERROR(F221/D221,0)</f>
        <v/>
      </c>
      <c r="H221" s="2">
        <f>COUNTIFS(Cotizaciones!J:J,"Enviada",Cotizaciones!B:B,"&gt;="&amp;DATE(C221,B221,1),Cotizaciones!B:B,"&lt;"&amp;EDATE(DATE(C221,B221,1),1))</f>
        <v/>
      </c>
      <c r="I221" s="2">
        <f>COUNTIFS(Cotizaciones!J:J,"Aprobada",Cotizaciones!B:B,"&gt;="&amp;DATE(C221,B221,1),Cotizaciones!B:B,"&lt;"&amp;EDATE(DATE(C221,B221,1),1))</f>
        <v/>
      </c>
      <c r="J221" s="11">
        <f>IFERROR(I221/H221,0)</f>
        <v/>
      </c>
      <c r="K221" s="8">
        <f>MAX(0,SUM($F$2:F221))</f>
        <v/>
      </c>
      <c r="L221" s="11">
        <f>IFERROR(K221/Configuracion!$K$2,0)</f>
        <v/>
      </c>
      <c r="M221" s="8">
        <f>SUMIFS(Flujo_Caja!H:H,Flujo_Caja!B:B,B221,Flujo_Caja!C:C,C221)</f>
        <v/>
      </c>
      <c r="N221" s="2" t="n"/>
    </row>
    <row r="222">
      <c r="A222" s="2" t="n"/>
      <c r="B222" s="2" t="n"/>
      <c r="C222" s="2" t="n"/>
      <c r="D222" s="8">
        <f>SUMIFS(Ingresos!J:J,Ingresos!D:D,"&gt;="&amp;DATE(C222,B222,1),Ingresos!D:D,"&lt;"&amp;EDATE(DATE(C222,B222,1),1))</f>
        <v/>
      </c>
      <c r="E222" s="8">
        <f>SUMIFS(Egresos!H:H,Egresos!B:B,"&gt;="&amp;DATE(C222,B222,1),Egresos!B:B,"&lt;"&amp;EDATE(DATE(C222,B222,1),1))+SUMIFS(Gastos_Mensuales!H:H,Gastos_Mensuales!B:B,B222,Gastos_Mensuales!C:C,C222)+SUMIFS(Impuestos!I:I,Impuestos!B:B,B222,Impuestos!C:C,C222)</f>
        <v/>
      </c>
      <c r="F222" s="8">
        <f>D222-E222</f>
        <v/>
      </c>
      <c r="G222" s="11">
        <f>IFERROR(F222/D222,0)</f>
        <v/>
      </c>
      <c r="H222" s="2">
        <f>COUNTIFS(Cotizaciones!J:J,"Enviada",Cotizaciones!B:B,"&gt;="&amp;DATE(C222,B222,1),Cotizaciones!B:B,"&lt;"&amp;EDATE(DATE(C222,B222,1),1))</f>
        <v/>
      </c>
      <c r="I222" s="2">
        <f>COUNTIFS(Cotizaciones!J:J,"Aprobada",Cotizaciones!B:B,"&gt;="&amp;DATE(C222,B222,1),Cotizaciones!B:B,"&lt;"&amp;EDATE(DATE(C222,B222,1),1))</f>
        <v/>
      </c>
      <c r="J222" s="11">
        <f>IFERROR(I222/H222,0)</f>
        <v/>
      </c>
      <c r="K222" s="8">
        <f>MAX(0,SUM($F$2:F222))</f>
        <v/>
      </c>
      <c r="L222" s="11">
        <f>IFERROR(K222/Configuracion!$K$2,0)</f>
        <v/>
      </c>
      <c r="M222" s="8">
        <f>SUMIFS(Flujo_Caja!H:H,Flujo_Caja!B:B,B222,Flujo_Caja!C:C,C222)</f>
        <v/>
      </c>
      <c r="N222" s="2" t="n"/>
    </row>
    <row r="223">
      <c r="A223" s="2" t="n"/>
      <c r="B223" s="2" t="n"/>
      <c r="C223" s="2" t="n"/>
      <c r="D223" s="8">
        <f>SUMIFS(Ingresos!J:J,Ingresos!D:D,"&gt;="&amp;DATE(C223,B223,1),Ingresos!D:D,"&lt;"&amp;EDATE(DATE(C223,B223,1),1))</f>
        <v/>
      </c>
      <c r="E223" s="8">
        <f>SUMIFS(Egresos!H:H,Egresos!B:B,"&gt;="&amp;DATE(C223,B223,1),Egresos!B:B,"&lt;"&amp;EDATE(DATE(C223,B223,1),1))+SUMIFS(Gastos_Mensuales!H:H,Gastos_Mensuales!B:B,B223,Gastos_Mensuales!C:C,C223)+SUMIFS(Impuestos!I:I,Impuestos!B:B,B223,Impuestos!C:C,C223)</f>
        <v/>
      </c>
      <c r="F223" s="8">
        <f>D223-E223</f>
        <v/>
      </c>
      <c r="G223" s="11">
        <f>IFERROR(F223/D223,0)</f>
        <v/>
      </c>
      <c r="H223" s="2">
        <f>COUNTIFS(Cotizaciones!J:J,"Enviada",Cotizaciones!B:B,"&gt;="&amp;DATE(C223,B223,1),Cotizaciones!B:B,"&lt;"&amp;EDATE(DATE(C223,B223,1),1))</f>
        <v/>
      </c>
      <c r="I223" s="2">
        <f>COUNTIFS(Cotizaciones!J:J,"Aprobada",Cotizaciones!B:B,"&gt;="&amp;DATE(C223,B223,1),Cotizaciones!B:B,"&lt;"&amp;EDATE(DATE(C223,B223,1),1))</f>
        <v/>
      </c>
      <c r="J223" s="11">
        <f>IFERROR(I223/H223,0)</f>
        <v/>
      </c>
      <c r="K223" s="8">
        <f>MAX(0,SUM($F$2:F223))</f>
        <v/>
      </c>
      <c r="L223" s="11">
        <f>IFERROR(K223/Configuracion!$K$2,0)</f>
        <v/>
      </c>
      <c r="M223" s="8">
        <f>SUMIFS(Flujo_Caja!H:H,Flujo_Caja!B:B,B223,Flujo_Caja!C:C,C223)</f>
        <v/>
      </c>
      <c r="N223" s="2" t="n"/>
    </row>
    <row r="224">
      <c r="A224" s="2" t="n"/>
      <c r="B224" s="2" t="n"/>
      <c r="C224" s="2" t="n"/>
      <c r="D224" s="8">
        <f>SUMIFS(Ingresos!J:J,Ingresos!D:D,"&gt;="&amp;DATE(C224,B224,1),Ingresos!D:D,"&lt;"&amp;EDATE(DATE(C224,B224,1),1))</f>
        <v/>
      </c>
      <c r="E224" s="8">
        <f>SUMIFS(Egresos!H:H,Egresos!B:B,"&gt;="&amp;DATE(C224,B224,1),Egresos!B:B,"&lt;"&amp;EDATE(DATE(C224,B224,1),1))+SUMIFS(Gastos_Mensuales!H:H,Gastos_Mensuales!B:B,B224,Gastos_Mensuales!C:C,C224)+SUMIFS(Impuestos!I:I,Impuestos!B:B,B224,Impuestos!C:C,C224)</f>
        <v/>
      </c>
      <c r="F224" s="8">
        <f>D224-E224</f>
        <v/>
      </c>
      <c r="G224" s="11">
        <f>IFERROR(F224/D224,0)</f>
        <v/>
      </c>
      <c r="H224" s="2">
        <f>COUNTIFS(Cotizaciones!J:J,"Enviada",Cotizaciones!B:B,"&gt;="&amp;DATE(C224,B224,1),Cotizaciones!B:B,"&lt;"&amp;EDATE(DATE(C224,B224,1),1))</f>
        <v/>
      </c>
      <c r="I224" s="2">
        <f>COUNTIFS(Cotizaciones!J:J,"Aprobada",Cotizaciones!B:B,"&gt;="&amp;DATE(C224,B224,1),Cotizaciones!B:B,"&lt;"&amp;EDATE(DATE(C224,B224,1),1))</f>
        <v/>
      </c>
      <c r="J224" s="11">
        <f>IFERROR(I224/H224,0)</f>
        <v/>
      </c>
      <c r="K224" s="8">
        <f>MAX(0,SUM($F$2:F224))</f>
        <v/>
      </c>
      <c r="L224" s="11">
        <f>IFERROR(K224/Configuracion!$K$2,0)</f>
        <v/>
      </c>
      <c r="M224" s="8">
        <f>SUMIFS(Flujo_Caja!H:H,Flujo_Caja!B:B,B224,Flujo_Caja!C:C,C224)</f>
        <v/>
      </c>
      <c r="N224" s="2" t="n"/>
    </row>
    <row r="225">
      <c r="A225" s="2" t="n"/>
      <c r="B225" s="2" t="n"/>
      <c r="C225" s="2" t="n"/>
      <c r="D225" s="8">
        <f>SUMIFS(Ingresos!J:J,Ingresos!D:D,"&gt;="&amp;DATE(C225,B225,1),Ingresos!D:D,"&lt;"&amp;EDATE(DATE(C225,B225,1),1))</f>
        <v/>
      </c>
      <c r="E225" s="8">
        <f>SUMIFS(Egresos!H:H,Egresos!B:B,"&gt;="&amp;DATE(C225,B225,1),Egresos!B:B,"&lt;"&amp;EDATE(DATE(C225,B225,1),1))+SUMIFS(Gastos_Mensuales!H:H,Gastos_Mensuales!B:B,B225,Gastos_Mensuales!C:C,C225)+SUMIFS(Impuestos!I:I,Impuestos!B:B,B225,Impuestos!C:C,C225)</f>
        <v/>
      </c>
      <c r="F225" s="8">
        <f>D225-E225</f>
        <v/>
      </c>
      <c r="G225" s="11">
        <f>IFERROR(F225/D225,0)</f>
        <v/>
      </c>
      <c r="H225" s="2">
        <f>COUNTIFS(Cotizaciones!J:J,"Enviada",Cotizaciones!B:B,"&gt;="&amp;DATE(C225,B225,1),Cotizaciones!B:B,"&lt;"&amp;EDATE(DATE(C225,B225,1),1))</f>
        <v/>
      </c>
      <c r="I225" s="2">
        <f>COUNTIFS(Cotizaciones!J:J,"Aprobada",Cotizaciones!B:B,"&gt;="&amp;DATE(C225,B225,1),Cotizaciones!B:B,"&lt;"&amp;EDATE(DATE(C225,B225,1),1))</f>
        <v/>
      </c>
      <c r="J225" s="11">
        <f>IFERROR(I225/H225,0)</f>
        <v/>
      </c>
      <c r="K225" s="8">
        <f>MAX(0,SUM($F$2:F225))</f>
        <v/>
      </c>
      <c r="L225" s="11">
        <f>IFERROR(K225/Configuracion!$K$2,0)</f>
        <v/>
      </c>
      <c r="M225" s="8">
        <f>SUMIFS(Flujo_Caja!H:H,Flujo_Caja!B:B,B225,Flujo_Caja!C:C,C225)</f>
        <v/>
      </c>
      <c r="N225" s="2" t="n"/>
    </row>
    <row r="226">
      <c r="A226" s="2" t="n"/>
      <c r="B226" s="2" t="n"/>
      <c r="C226" s="2" t="n"/>
      <c r="D226" s="8">
        <f>SUMIFS(Ingresos!J:J,Ingresos!D:D,"&gt;="&amp;DATE(C226,B226,1),Ingresos!D:D,"&lt;"&amp;EDATE(DATE(C226,B226,1),1))</f>
        <v/>
      </c>
      <c r="E226" s="8">
        <f>SUMIFS(Egresos!H:H,Egresos!B:B,"&gt;="&amp;DATE(C226,B226,1),Egresos!B:B,"&lt;"&amp;EDATE(DATE(C226,B226,1),1))+SUMIFS(Gastos_Mensuales!H:H,Gastos_Mensuales!B:B,B226,Gastos_Mensuales!C:C,C226)+SUMIFS(Impuestos!I:I,Impuestos!B:B,B226,Impuestos!C:C,C226)</f>
        <v/>
      </c>
      <c r="F226" s="8">
        <f>D226-E226</f>
        <v/>
      </c>
      <c r="G226" s="11">
        <f>IFERROR(F226/D226,0)</f>
        <v/>
      </c>
      <c r="H226" s="2">
        <f>COUNTIFS(Cotizaciones!J:J,"Enviada",Cotizaciones!B:B,"&gt;="&amp;DATE(C226,B226,1),Cotizaciones!B:B,"&lt;"&amp;EDATE(DATE(C226,B226,1),1))</f>
        <v/>
      </c>
      <c r="I226" s="2">
        <f>COUNTIFS(Cotizaciones!J:J,"Aprobada",Cotizaciones!B:B,"&gt;="&amp;DATE(C226,B226,1),Cotizaciones!B:B,"&lt;"&amp;EDATE(DATE(C226,B226,1),1))</f>
        <v/>
      </c>
      <c r="J226" s="11">
        <f>IFERROR(I226/H226,0)</f>
        <v/>
      </c>
      <c r="K226" s="8">
        <f>MAX(0,SUM($F$2:F226))</f>
        <v/>
      </c>
      <c r="L226" s="11">
        <f>IFERROR(K226/Configuracion!$K$2,0)</f>
        <v/>
      </c>
      <c r="M226" s="8">
        <f>SUMIFS(Flujo_Caja!H:H,Flujo_Caja!B:B,B226,Flujo_Caja!C:C,C226)</f>
        <v/>
      </c>
      <c r="N226" s="2" t="n"/>
    </row>
    <row r="227">
      <c r="A227" s="2" t="n"/>
      <c r="B227" s="2" t="n"/>
      <c r="C227" s="2" t="n"/>
      <c r="D227" s="8">
        <f>SUMIFS(Ingresos!J:J,Ingresos!D:D,"&gt;="&amp;DATE(C227,B227,1),Ingresos!D:D,"&lt;"&amp;EDATE(DATE(C227,B227,1),1))</f>
        <v/>
      </c>
      <c r="E227" s="8">
        <f>SUMIFS(Egresos!H:H,Egresos!B:B,"&gt;="&amp;DATE(C227,B227,1),Egresos!B:B,"&lt;"&amp;EDATE(DATE(C227,B227,1),1))+SUMIFS(Gastos_Mensuales!H:H,Gastos_Mensuales!B:B,B227,Gastos_Mensuales!C:C,C227)+SUMIFS(Impuestos!I:I,Impuestos!B:B,B227,Impuestos!C:C,C227)</f>
        <v/>
      </c>
      <c r="F227" s="8">
        <f>D227-E227</f>
        <v/>
      </c>
      <c r="G227" s="11">
        <f>IFERROR(F227/D227,0)</f>
        <v/>
      </c>
      <c r="H227" s="2">
        <f>COUNTIFS(Cotizaciones!J:J,"Enviada",Cotizaciones!B:B,"&gt;="&amp;DATE(C227,B227,1),Cotizaciones!B:B,"&lt;"&amp;EDATE(DATE(C227,B227,1),1))</f>
        <v/>
      </c>
      <c r="I227" s="2">
        <f>COUNTIFS(Cotizaciones!J:J,"Aprobada",Cotizaciones!B:B,"&gt;="&amp;DATE(C227,B227,1),Cotizaciones!B:B,"&lt;"&amp;EDATE(DATE(C227,B227,1),1))</f>
        <v/>
      </c>
      <c r="J227" s="11">
        <f>IFERROR(I227/H227,0)</f>
        <v/>
      </c>
      <c r="K227" s="8">
        <f>MAX(0,SUM($F$2:F227))</f>
        <v/>
      </c>
      <c r="L227" s="11">
        <f>IFERROR(K227/Configuracion!$K$2,0)</f>
        <v/>
      </c>
      <c r="M227" s="8">
        <f>SUMIFS(Flujo_Caja!H:H,Flujo_Caja!B:B,B227,Flujo_Caja!C:C,C227)</f>
        <v/>
      </c>
      <c r="N227" s="2" t="n"/>
    </row>
    <row r="228">
      <c r="A228" s="2" t="n"/>
      <c r="B228" s="2" t="n"/>
      <c r="C228" s="2" t="n"/>
      <c r="D228" s="8">
        <f>SUMIFS(Ingresos!J:J,Ingresos!D:D,"&gt;="&amp;DATE(C228,B228,1),Ingresos!D:D,"&lt;"&amp;EDATE(DATE(C228,B228,1),1))</f>
        <v/>
      </c>
      <c r="E228" s="8">
        <f>SUMIFS(Egresos!H:H,Egresos!B:B,"&gt;="&amp;DATE(C228,B228,1),Egresos!B:B,"&lt;"&amp;EDATE(DATE(C228,B228,1),1))+SUMIFS(Gastos_Mensuales!H:H,Gastos_Mensuales!B:B,B228,Gastos_Mensuales!C:C,C228)+SUMIFS(Impuestos!I:I,Impuestos!B:B,B228,Impuestos!C:C,C228)</f>
        <v/>
      </c>
      <c r="F228" s="8">
        <f>D228-E228</f>
        <v/>
      </c>
      <c r="G228" s="11">
        <f>IFERROR(F228/D228,0)</f>
        <v/>
      </c>
      <c r="H228" s="2">
        <f>COUNTIFS(Cotizaciones!J:J,"Enviada",Cotizaciones!B:B,"&gt;="&amp;DATE(C228,B228,1),Cotizaciones!B:B,"&lt;"&amp;EDATE(DATE(C228,B228,1),1))</f>
        <v/>
      </c>
      <c r="I228" s="2">
        <f>COUNTIFS(Cotizaciones!J:J,"Aprobada",Cotizaciones!B:B,"&gt;="&amp;DATE(C228,B228,1),Cotizaciones!B:B,"&lt;"&amp;EDATE(DATE(C228,B228,1),1))</f>
        <v/>
      </c>
      <c r="J228" s="11">
        <f>IFERROR(I228/H228,0)</f>
        <v/>
      </c>
      <c r="K228" s="8">
        <f>MAX(0,SUM($F$2:F228))</f>
        <v/>
      </c>
      <c r="L228" s="11">
        <f>IFERROR(K228/Configuracion!$K$2,0)</f>
        <v/>
      </c>
      <c r="M228" s="8">
        <f>SUMIFS(Flujo_Caja!H:H,Flujo_Caja!B:B,B228,Flujo_Caja!C:C,C228)</f>
        <v/>
      </c>
      <c r="N228" s="2" t="n"/>
    </row>
    <row r="229">
      <c r="A229" s="2" t="n"/>
      <c r="B229" s="2" t="n"/>
      <c r="C229" s="2" t="n"/>
      <c r="D229" s="8">
        <f>SUMIFS(Ingresos!J:J,Ingresos!D:D,"&gt;="&amp;DATE(C229,B229,1),Ingresos!D:D,"&lt;"&amp;EDATE(DATE(C229,B229,1),1))</f>
        <v/>
      </c>
      <c r="E229" s="8">
        <f>SUMIFS(Egresos!H:H,Egresos!B:B,"&gt;="&amp;DATE(C229,B229,1),Egresos!B:B,"&lt;"&amp;EDATE(DATE(C229,B229,1),1))+SUMIFS(Gastos_Mensuales!H:H,Gastos_Mensuales!B:B,B229,Gastos_Mensuales!C:C,C229)+SUMIFS(Impuestos!I:I,Impuestos!B:B,B229,Impuestos!C:C,C229)</f>
        <v/>
      </c>
      <c r="F229" s="8">
        <f>D229-E229</f>
        <v/>
      </c>
      <c r="G229" s="11">
        <f>IFERROR(F229/D229,0)</f>
        <v/>
      </c>
      <c r="H229" s="2">
        <f>COUNTIFS(Cotizaciones!J:J,"Enviada",Cotizaciones!B:B,"&gt;="&amp;DATE(C229,B229,1),Cotizaciones!B:B,"&lt;"&amp;EDATE(DATE(C229,B229,1),1))</f>
        <v/>
      </c>
      <c r="I229" s="2">
        <f>COUNTIFS(Cotizaciones!J:J,"Aprobada",Cotizaciones!B:B,"&gt;="&amp;DATE(C229,B229,1),Cotizaciones!B:B,"&lt;"&amp;EDATE(DATE(C229,B229,1),1))</f>
        <v/>
      </c>
      <c r="J229" s="11">
        <f>IFERROR(I229/H229,0)</f>
        <v/>
      </c>
      <c r="K229" s="8">
        <f>MAX(0,SUM($F$2:F229))</f>
        <v/>
      </c>
      <c r="L229" s="11">
        <f>IFERROR(K229/Configuracion!$K$2,0)</f>
        <v/>
      </c>
      <c r="M229" s="8">
        <f>SUMIFS(Flujo_Caja!H:H,Flujo_Caja!B:B,B229,Flujo_Caja!C:C,C229)</f>
        <v/>
      </c>
      <c r="N229" s="2" t="n"/>
    </row>
    <row r="230">
      <c r="A230" s="2" t="n"/>
      <c r="B230" s="2" t="n"/>
      <c r="C230" s="2" t="n"/>
      <c r="D230" s="8">
        <f>SUMIFS(Ingresos!J:J,Ingresos!D:D,"&gt;="&amp;DATE(C230,B230,1),Ingresos!D:D,"&lt;"&amp;EDATE(DATE(C230,B230,1),1))</f>
        <v/>
      </c>
      <c r="E230" s="8">
        <f>SUMIFS(Egresos!H:H,Egresos!B:B,"&gt;="&amp;DATE(C230,B230,1),Egresos!B:B,"&lt;"&amp;EDATE(DATE(C230,B230,1),1))+SUMIFS(Gastos_Mensuales!H:H,Gastos_Mensuales!B:B,B230,Gastos_Mensuales!C:C,C230)+SUMIFS(Impuestos!I:I,Impuestos!B:B,B230,Impuestos!C:C,C230)</f>
        <v/>
      </c>
      <c r="F230" s="8">
        <f>D230-E230</f>
        <v/>
      </c>
      <c r="G230" s="11">
        <f>IFERROR(F230/D230,0)</f>
        <v/>
      </c>
      <c r="H230" s="2">
        <f>COUNTIFS(Cotizaciones!J:J,"Enviada",Cotizaciones!B:B,"&gt;="&amp;DATE(C230,B230,1),Cotizaciones!B:B,"&lt;"&amp;EDATE(DATE(C230,B230,1),1))</f>
        <v/>
      </c>
      <c r="I230" s="2">
        <f>COUNTIFS(Cotizaciones!J:J,"Aprobada",Cotizaciones!B:B,"&gt;="&amp;DATE(C230,B230,1),Cotizaciones!B:B,"&lt;"&amp;EDATE(DATE(C230,B230,1),1))</f>
        <v/>
      </c>
      <c r="J230" s="11">
        <f>IFERROR(I230/H230,0)</f>
        <v/>
      </c>
      <c r="K230" s="8">
        <f>MAX(0,SUM($F$2:F230))</f>
        <v/>
      </c>
      <c r="L230" s="11">
        <f>IFERROR(K230/Configuracion!$K$2,0)</f>
        <v/>
      </c>
      <c r="M230" s="8">
        <f>SUMIFS(Flujo_Caja!H:H,Flujo_Caja!B:B,B230,Flujo_Caja!C:C,C230)</f>
        <v/>
      </c>
      <c r="N230" s="2" t="n"/>
    </row>
    <row r="231">
      <c r="A231" s="2" t="n"/>
      <c r="B231" s="2" t="n"/>
      <c r="C231" s="2" t="n"/>
      <c r="D231" s="8">
        <f>SUMIFS(Ingresos!J:J,Ingresos!D:D,"&gt;="&amp;DATE(C231,B231,1),Ingresos!D:D,"&lt;"&amp;EDATE(DATE(C231,B231,1),1))</f>
        <v/>
      </c>
      <c r="E231" s="8">
        <f>SUMIFS(Egresos!H:H,Egresos!B:B,"&gt;="&amp;DATE(C231,B231,1),Egresos!B:B,"&lt;"&amp;EDATE(DATE(C231,B231,1),1))+SUMIFS(Gastos_Mensuales!H:H,Gastos_Mensuales!B:B,B231,Gastos_Mensuales!C:C,C231)+SUMIFS(Impuestos!I:I,Impuestos!B:B,B231,Impuestos!C:C,C231)</f>
        <v/>
      </c>
      <c r="F231" s="8">
        <f>D231-E231</f>
        <v/>
      </c>
      <c r="G231" s="11">
        <f>IFERROR(F231/D231,0)</f>
        <v/>
      </c>
      <c r="H231" s="2">
        <f>COUNTIFS(Cotizaciones!J:J,"Enviada",Cotizaciones!B:B,"&gt;="&amp;DATE(C231,B231,1),Cotizaciones!B:B,"&lt;"&amp;EDATE(DATE(C231,B231,1),1))</f>
        <v/>
      </c>
      <c r="I231" s="2">
        <f>COUNTIFS(Cotizaciones!J:J,"Aprobada",Cotizaciones!B:B,"&gt;="&amp;DATE(C231,B231,1),Cotizaciones!B:B,"&lt;"&amp;EDATE(DATE(C231,B231,1),1))</f>
        <v/>
      </c>
      <c r="J231" s="11">
        <f>IFERROR(I231/H231,0)</f>
        <v/>
      </c>
      <c r="K231" s="8">
        <f>MAX(0,SUM($F$2:F231))</f>
        <v/>
      </c>
      <c r="L231" s="11">
        <f>IFERROR(K231/Configuracion!$K$2,0)</f>
        <v/>
      </c>
      <c r="M231" s="8">
        <f>SUMIFS(Flujo_Caja!H:H,Flujo_Caja!B:B,B231,Flujo_Caja!C:C,C231)</f>
        <v/>
      </c>
      <c r="N231" s="2" t="n"/>
    </row>
    <row r="232">
      <c r="A232" s="2" t="n"/>
      <c r="B232" s="2" t="n"/>
      <c r="C232" s="2" t="n"/>
      <c r="D232" s="8">
        <f>SUMIFS(Ingresos!J:J,Ingresos!D:D,"&gt;="&amp;DATE(C232,B232,1),Ingresos!D:D,"&lt;"&amp;EDATE(DATE(C232,B232,1),1))</f>
        <v/>
      </c>
      <c r="E232" s="8">
        <f>SUMIFS(Egresos!H:H,Egresos!B:B,"&gt;="&amp;DATE(C232,B232,1),Egresos!B:B,"&lt;"&amp;EDATE(DATE(C232,B232,1),1))+SUMIFS(Gastos_Mensuales!H:H,Gastos_Mensuales!B:B,B232,Gastos_Mensuales!C:C,C232)+SUMIFS(Impuestos!I:I,Impuestos!B:B,B232,Impuestos!C:C,C232)</f>
        <v/>
      </c>
      <c r="F232" s="8">
        <f>D232-E232</f>
        <v/>
      </c>
      <c r="G232" s="11">
        <f>IFERROR(F232/D232,0)</f>
        <v/>
      </c>
      <c r="H232" s="2">
        <f>COUNTIFS(Cotizaciones!J:J,"Enviada",Cotizaciones!B:B,"&gt;="&amp;DATE(C232,B232,1),Cotizaciones!B:B,"&lt;"&amp;EDATE(DATE(C232,B232,1),1))</f>
        <v/>
      </c>
      <c r="I232" s="2">
        <f>COUNTIFS(Cotizaciones!J:J,"Aprobada",Cotizaciones!B:B,"&gt;="&amp;DATE(C232,B232,1),Cotizaciones!B:B,"&lt;"&amp;EDATE(DATE(C232,B232,1),1))</f>
        <v/>
      </c>
      <c r="J232" s="11">
        <f>IFERROR(I232/H232,0)</f>
        <v/>
      </c>
      <c r="K232" s="8">
        <f>MAX(0,SUM($F$2:F232))</f>
        <v/>
      </c>
      <c r="L232" s="11">
        <f>IFERROR(K232/Configuracion!$K$2,0)</f>
        <v/>
      </c>
      <c r="M232" s="8">
        <f>SUMIFS(Flujo_Caja!H:H,Flujo_Caja!B:B,B232,Flujo_Caja!C:C,C232)</f>
        <v/>
      </c>
      <c r="N232" s="2" t="n"/>
    </row>
    <row r="233">
      <c r="A233" s="2" t="n"/>
      <c r="B233" s="2" t="n"/>
      <c r="C233" s="2" t="n"/>
      <c r="D233" s="8">
        <f>SUMIFS(Ingresos!J:J,Ingresos!D:D,"&gt;="&amp;DATE(C233,B233,1),Ingresos!D:D,"&lt;"&amp;EDATE(DATE(C233,B233,1),1))</f>
        <v/>
      </c>
      <c r="E233" s="8">
        <f>SUMIFS(Egresos!H:H,Egresos!B:B,"&gt;="&amp;DATE(C233,B233,1),Egresos!B:B,"&lt;"&amp;EDATE(DATE(C233,B233,1),1))+SUMIFS(Gastos_Mensuales!H:H,Gastos_Mensuales!B:B,B233,Gastos_Mensuales!C:C,C233)+SUMIFS(Impuestos!I:I,Impuestos!B:B,B233,Impuestos!C:C,C233)</f>
        <v/>
      </c>
      <c r="F233" s="8">
        <f>D233-E233</f>
        <v/>
      </c>
      <c r="G233" s="11">
        <f>IFERROR(F233/D233,0)</f>
        <v/>
      </c>
      <c r="H233" s="2">
        <f>COUNTIFS(Cotizaciones!J:J,"Enviada",Cotizaciones!B:B,"&gt;="&amp;DATE(C233,B233,1),Cotizaciones!B:B,"&lt;"&amp;EDATE(DATE(C233,B233,1),1))</f>
        <v/>
      </c>
      <c r="I233" s="2">
        <f>COUNTIFS(Cotizaciones!J:J,"Aprobada",Cotizaciones!B:B,"&gt;="&amp;DATE(C233,B233,1),Cotizaciones!B:B,"&lt;"&amp;EDATE(DATE(C233,B233,1),1))</f>
        <v/>
      </c>
      <c r="J233" s="11">
        <f>IFERROR(I233/H233,0)</f>
        <v/>
      </c>
      <c r="K233" s="8">
        <f>MAX(0,SUM($F$2:F233))</f>
        <v/>
      </c>
      <c r="L233" s="11">
        <f>IFERROR(K233/Configuracion!$K$2,0)</f>
        <v/>
      </c>
      <c r="M233" s="8">
        <f>SUMIFS(Flujo_Caja!H:H,Flujo_Caja!B:B,B233,Flujo_Caja!C:C,C233)</f>
        <v/>
      </c>
      <c r="N233" s="2" t="n"/>
    </row>
    <row r="234">
      <c r="A234" s="2" t="n"/>
      <c r="B234" s="2" t="n"/>
      <c r="C234" s="2" t="n"/>
      <c r="D234" s="8">
        <f>SUMIFS(Ingresos!J:J,Ingresos!D:D,"&gt;="&amp;DATE(C234,B234,1),Ingresos!D:D,"&lt;"&amp;EDATE(DATE(C234,B234,1),1))</f>
        <v/>
      </c>
      <c r="E234" s="8">
        <f>SUMIFS(Egresos!H:H,Egresos!B:B,"&gt;="&amp;DATE(C234,B234,1),Egresos!B:B,"&lt;"&amp;EDATE(DATE(C234,B234,1),1))+SUMIFS(Gastos_Mensuales!H:H,Gastos_Mensuales!B:B,B234,Gastos_Mensuales!C:C,C234)+SUMIFS(Impuestos!I:I,Impuestos!B:B,B234,Impuestos!C:C,C234)</f>
        <v/>
      </c>
      <c r="F234" s="8">
        <f>D234-E234</f>
        <v/>
      </c>
      <c r="G234" s="11">
        <f>IFERROR(F234/D234,0)</f>
        <v/>
      </c>
      <c r="H234" s="2">
        <f>COUNTIFS(Cotizaciones!J:J,"Enviada",Cotizaciones!B:B,"&gt;="&amp;DATE(C234,B234,1),Cotizaciones!B:B,"&lt;"&amp;EDATE(DATE(C234,B234,1),1))</f>
        <v/>
      </c>
      <c r="I234" s="2">
        <f>COUNTIFS(Cotizaciones!J:J,"Aprobada",Cotizaciones!B:B,"&gt;="&amp;DATE(C234,B234,1),Cotizaciones!B:B,"&lt;"&amp;EDATE(DATE(C234,B234,1),1))</f>
        <v/>
      </c>
      <c r="J234" s="11">
        <f>IFERROR(I234/H234,0)</f>
        <v/>
      </c>
      <c r="K234" s="8">
        <f>MAX(0,SUM($F$2:F234))</f>
        <v/>
      </c>
      <c r="L234" s="11">
        <f>IFERROR(K234/Configuracion!$K$2,0)</f>
        <v/>
      </c>
      <c r="M234" s="8">
        <f>SUMIFS(Flujo_Caja!H:H,Flujo_Caja!B:B,B234,Flujo_Caja!C:C,C234)</f>
        <v/>
      </c>
      <c r="N234" s="2" t="n"/>
    </row>
    <row r="235">
      <c r="A235" s="2" t="n"/>
      <c r="B235" s="2" t="n"/>
      <c r="C235" s="2" t="n"/>
      <c r="D235" s="8">
        <f>SUMIFS(Ingresos!J:J,Ingresos!D:D,"&gt;="&amp;DATE(C235,B235,1),Ingresos!D:D,"&lt;"&amp;EDATE(DATE(C235,B235,1),1))</f>
        <v/>
      </c>
      <c r="E235" s="8">
        <f>SUMIFS(Egresos!H:H,Egresos!B:B,"&gt;="&amp;DATE(C235,B235,1),Egresos!B:B,"&lt;"&amp;EDATE(DATE(C235,B235,1),1))+SUMIFS(Gastos_Mensuales!H:H,Gastos_Mensuales!B:B,B235,Gastos_Mensuales!C:C,C235)+SUMIFS(Impuestos!I:I,Impuestos!B:B,B235,Impuestos!C:C,C235)</f>
        <v/>
      </c>
      <c r="F235" s="8">
        <f>D235-E235</f>
        <v/>
      </c>
      <c r="G235" s="11">
        <f>IFERROR(F235/D235,0)</f>
        <v/>
      </c>
      <c r="H235" s="2">
        <f>COUNTIFS(Cotizaciones!J:J,"Enviada",Cotizaciones!B:B,"&gt;="&amp;DATE(C235,B235,1),Cotizaciones!B:B,"&lt;"&amp;EDATE(DATE(C235,B235,1),1))</f>
        <v/>
      </c>
      <c r="I235" s="2">
        <f>COUNTIFS(Cotizaciones!J:J,"Aprobada",Cotizaciones!B:B,"&gt;="&amp;DATE(C235,B235,1),Cotizaciones!B:B,"&lt;"&amp;EDATE(DATE(C235,B235,1),1))</f>
        <v/>
      </c>
      <c r="J235" s="11">
        <f>IFERROR(I235/H235,0)</f>
        <v/>
      </c>
      <c r="K235" s="8">
        <f>MAX(0,SUM($F$2:F235))</f>
        <v/>
      </c>
      <c r="L235" s="11">
        <f>IFERROR(K235/Configuracion!$K$2,0)</f>
        <v/>
      </c>
      <c r="M235" s="8">
        <f>SUMIFS(Flujo_Caja!H:H,Flujo_Caja!B:B,B235,Flujo_Caja!C:C,C235)</f>
        <v/>
      </c>
      <c r="N235" s="2" t="n"/>
    </row>
    <row r="236">
      <c r="A236" s="2" t="n"/>
      <c r="B236" s="2" t="n"/>
      <c r="C236" s="2" t="n"/>
      <c r="D236" s="8">
        <f>SUMIFS(Ingresos!J:J,Ingresos!D:D,"&gt;="&amp;DATE(C236,B236,1),Ingresos!D:D,"&lt;"&amp;EDATE(DATE(C236,B236,1),1))</f>
        <v/>
      </c>
      <c r="E236" s="8">
        <f>SUMIFS(Egresos!H:H,Egresos!B:B,"&gt;="&amp;DATE(C236,B236,1),Egresos!B:B,"&lt;"&amp;EDATE(DATE(C236,B236,1),1))+SUMIFS(Gastos_Mensuales!H:H,Gastos_Mensuales!B:B,B236,Gastos_Mensuales!C:C,C236)+SUMIFS(Impuestos!I:I,Impuestos!B:B,B236,Impuestos!C:C,C236)</f>
        <v/>
      </c>
      <c r="F236" s="8">
        <f>D236-E236</f>
        <v/>
      </c>
      <c r="G236" s="11">
        <f>IFERROR(F236/D236,0)</f>
        <v/>
      </c>
      <c r="H236" s="2">
        <f>COUNTIFS(Cotizaciones!J:J,"Enviada",Cotizaciones!B:B,"&gt;="&amp;DATE(C236,B236,1),Cotizaciones!B:B,"&lt;"&amp;EDATE(DATE(C236,B236,1),1))</f>
        <v/>
      </c>
      <c r="I236" s="2">
        <f>COUNTIFS(Cotizaciones!J:J,"Aprobada",Cotizaciones!B:B,"&gt;="&amp;DATE(C236,B236,1),Cotizaciones!B:B,"&lt;"&amp;EDATE(DATE(C236,B236,1),1))</f>
        <v/>
      </c>
      <c r="J236" s="11">
        <f>IFERROR(I236/H236,0)</f>
        <v/>
      </c>
      <c r="K236" s="8">
        <f>MAX(0,SUM($F$2:F236))</f>
        <v/>
      </c>
      <c r="L236" s="11">
        <f>IFERROR(K236/Configuracion!$K$2,0)</f>
        <v/>
      </c>
      <c r="M236" s="8">
        <f>SUMIFS(Flujo_Caja!H:H,Flujo_Caja!B:B,B236,Flujo_Caja!C:C,C236)</f>
        <v/>
      </c>
      <c r="N236" s="2" t="n"/>
    </row>
    <row r="237">
      <c r="A237" s="2" t="n"/>
      <c r="B237" s="2" t="n"/>
      <c r="C237" s="2" t="n"/>
      <c r="D237" s="8">
        <f>SUMIFS(Ingresos!J:J,Ingresos!D:D,"&gt;="&amp;DATE(C237,B237,1),Ingresos!D:D,"&lt;"&amp;EDATE(DATE(C237,B237,1),1))</f>
        <v/>
      </c>
      <c r="E237" s="8">
        <f>SUMIFS(Egresos!H:H,Egresos!B:B,"&gt;="&amp;DATE(C237,B237,1),Egresos!B:B,"&lt;"&amp;EDATE(DATE(C237,B237,1),1))+SUMIFS(Gastos_Mensuales!H:H,Gastos_Mensuales!B:B,B237,Gastos_Mensuales!C:C,C237)+SUMIFS(Impuestos!I:I,Impuestos!B:B,B237,Impuestos!C:C,C237)</f>
        <v/>
      </c>
      <c r="F237" s="8">
        <f>D237-E237</f>
        <v/>
      </c>
      <c r="G237" s="11">
        <f>IFERROR(F237/D237,0)</f>
        <v/>
      </c>
      <c r="H237" s="2">
        <f>COUNTIFS(Cotizaciones!J:J,"Enviada",Cotizaciones!B:B,"&gt;="&amp;DATE(C237,B237,1),Cotizaciones!B:B,"&lt;"&amp;EDATE(DATE(C237,B237,1),1))</f>
        <v/>
      </c>
      <c r="I237" s="2">
        <f>COUNTIFS(Cotizaciones!J:J,"Aprobada",Cotizaciones!B:B,"&gt;="&amp;DATE(C237,B237,1),Cotizaciones!B:B,"&lt;"&amp;EDATE(DATE(C237,B237,1),1))</f>
        <v/>
      </c>
      <c r="J237" s="11">
        <f>IFERROR(I237/H237,0)</f>
        <v/>
      </c>
      <c r="K237" s="8">
        <f>MAX(0,SUM($F$2:F237))</f>
        <v/>
      </c>
      <c r="L237" s="11">
        <f>IFERROR(K237/Configuracion!$K$2,0)</f>
        <v/>
      </c>
      <c r="M237" s="8">
        <f>SUMIFS(Flujo_Caja!H:H,Flujo_Caja!B:B,B237,Flujo_Caja!C:C,C237)</f>
        <v/>
      </c>
      <c r="N237" s="2" t="n"/>
    </row>
    <row r="238">
      <c r="A238" s="2" t="n"/>
      <c r="B238" s="2" t="n"/>
      <c r="C238" s="2" t="n"/>
      <c r="D238" s="8">
        <f>SUMIFS(Ingresos!J:J,Ingresos!D:D,"&gt;="&amp;DATE(C238,B238,1),Ingresos!D:D,"&lt;"&amp;EDATE(DATE(C238,B238,1),1))</f>
        <v/>
      </c>
      <c r="E238" s="8">
        <f>SUMIFS(Egresos!H:H,Egresos!B:B,"&gt;="&amp;DATE(C238,B238,1),Egresos!B:B,"&lt;"&amp;EDATE(DATE(C238,B238,1),1))+SUMIFS(Gastos_Mensuales!H:H,Gastos_Mensuales!B:B,B238,Gastos_Mensuales!C:C,C238)+SUMIFS(Impuestos!I:I,Impuestos!B:B,B238,Impuestos!C:C,C238)</f>
        <v/>
      </c>
      <c r="F238" s="8">
        <f>D238-E238</f>
        <v/>
      </c>
      <c r="G238" s="11">
        <f>IFERROR(F238/D238,0)</f>
        <v/>
      </c>
      <c r="H238" s="2">
        <f>COUNTIFS(Cotizaciones!J:J,"Enviada",Cotizaciones!B:B,"&gt;="&amp;DATE(C238,B238,1),Cotizaciones!B:B,"&lt;"&amp;EDATE(DATE(C238,B238,1),1))</f>
        <v/>
      </c>
      <c r="I238" s="2">
        <f>COUNTIFS(Cotizaciones!J:J,"Aprobada",Cotizaciones!B:B,"&gt;="&amp;DATE(C238,B238,1),Cotizaciones!B:B,"&lt;"&amp;EDATE(DATE(C238,B238,1),1))</f>
        <v/>
      </c>
      <c r="J238" s="11">
        <f>IFERROR(I238/H238,0)</f>
        <v/>
      </c>
      <c r="K238" s="8">
        <f>MAX(0,SUM($F$2:F238))</f>
        <v/>
      </c>
      <c r="L238" s="11">
        <f>IFERROR(K238/Configuracion!$K$2,0)</f>
        <v/>
      </c>
      <c r="M238" s="8">
        <f>SUMIFS(Flujo_Caja!H:H,Flujo_Caja!B:B,B238,Flujo_Caja!C:C,C238)</f>
        <v/>
      </c>
      <c r="N238" s="2" t="n"/>
    </row>
    <row r="239">
      <c r="A239" s="2" t="n"/>
      <c r="B239" s="2" t="n"/>
      <c r="C239" s="2" t="n"/>
      <c r="D239" s="8">
        <f>SUMIFS(Ingresos!J:J,Ingresos!D:D,"&gt;="&amp;DATE(C239,B239,1),Ingresos!D:D,"&lt;"&amp;EDATE(DATE(C239,B239,1),1))</f>
        <v/>
      </c>
      <c r="E239" s="8">
        <f>SUMIFS(Egresos!H:H,Egresos!B:B,"&gt;="&amp;DATE(C239,B239,1),Egresos!B:B,"&lt;"&amp;EDATE(DATE(C239,B239,1),1))+SUMIFS(Gastos_Mensuales!H:H,Gastos_Mensuales!B:B,B239,Gastos_Mensuales!C:C,C239)+SUMIFS(Impuestos!I:I,Impuestos!B:B,B239,Impuestos!C:C,C239)</f>
        <v/>
      </c>
      <c r="F239" s="8">
        <f>D239-E239</f>
        <v/>
      </c>
      <c r="G239" s="11">
        <f>IFERROR(F239/D239,0)</f>
        <v/>
      </c>
      <c r="H239" s="2">
        <f>COUNTIFS(Cotizaciones!J:J,"Enviada",Cotizaciones!B:B,"&gt;="&amp;DATE(C239,B239,1),Cotizaciones!B:B,"&lt;"&amp;EDATE(DATE(C239,B239,1),1))</f>
        <v/>
      </c>
      <c r="I239" s="2">
        <f>COUNTIFS(Cotizaciones!J:J,"Aprobada",Cotizaciones!B:B,"&gt;="&amp;DATE(C239,B239,1),Cotizaciones!B:B,"&lt;"&amp;EDATE(DATE(C239,B239,1),1))</f>
        <v/>
      </c>
      <c r="J239" s="11">
        <f>IFERROR(I239/H239,0)</f>
        <v/>
      </c>
      <c r="K239" s="8">
        <f>MAX(0,SUM($F$2:F239))</f>
        <v/>
      </c>
      <c r="L239" s="11">
        <f>IFERROR(K239/Configuracion!$K$2,0)</f>
        <v/>
      </c>
      <c r="M239" s="8">
        <f>SUMIFS(Flujo_Caja!H:H,Flujo_Caja!B:B,B239,Flujo_Caja!C:C,C239)</f>
        <v/>
      </c>
      <c r="N239" s="2" t="n"/>
    </row>
    <row r="240">
      <c r="A240" s="2" t="n"/>
      <c r="B240" s="2" t="n"/>
      <c r="C240" s="2" t="n"/>
      <c r="D240" s="8">
        <f>SUMIFS(Ingresos!J:J,Ingresos!D:D,"&gt;="&amp;DATE(C240,B240,1),Ingresos!D:D,"&lt;"&amp;EDATE(DATE(C240,B240,1),1))</f>
        <v/>
      </c>
      <c r="E240" s="8">
        <f>SUMIFS(Egresos!H:H,Egresos!B:B,"&gt;="&amp;DATE(C240,B240,1),Egresos!B:B,"&lt;"&amp;EDATE(DATE(C240,B240,1),1))+SUMIFS(Gastos_Mensuales!H:H,Gastos_Mensuales!B:B,B240,Gastos_Mensuales!C:C,C240)+SUMIFS(Impuestos!I:I,Impuestos!B:B,B240,Impuestos!C:C,C240)</f>
        <v/>
      </c>
      <c r="F240" s="8">
        <f>D240-E240</f>
        <v/>
      </c>
      <c r="G240" s="11">
        <f>IFERROR(F240/D240,0)</f>
        <v/>
      </c>
      <c r="H240" s="2">
        <f>COUNTIFS(Cotizaciones!J:J,"Enviada",Cotizaciones!B:B,"&gt;="&amp;DATE(C240,B240,1),Cotizaciones!B:B,"&lt;"&amp;EDATE(DATE(C240,B240,1),1))</f>
        <v/>
      </c>
      <c r="I240" s="2">
        <f>COUNTIFS(Cotizaciones!J:J,"Aprobada",Cotizaciones!B:B,"&gt;="&amp;DATE(C240,B240,1),Cotizaciones!B:B,"&lt;"&amp;EDATE(DATE(C240,B240,1),1))</f>
        <v/>
      </c>
      <c r="J240" s="11">
        <f>IFERROR(I240/H240,0)</f>
        <v/>
      </c>
      <c r="K240" s="8">
        <f>MAX(0,SUM($F$2:F240))</f>
        <v/>
      </c>
      <c r="L240" s="11">
        <f>IFERROR(K240/Configuracion!$K$2,0)</f>
        <v/>
      </c>
      <c r="M240" s="8">
        <f>SUMIFS(Flujo_Caja!H:H,Flujo_Caja!B:B,B240,Flujo_Caja!C:C,C240)</f>
        <v/>
      </c>
      <c r="N240" s="2" t="n"/>
    </row>
    <row r="241">
      <c r="A241" s="2" t="n"/>
      <c r="B241" s="2" t="n"/>
      <c r="C241" s="2" t="n"/>
      <c r="D241" s="8">
        <f>SUMIFS(Ingresos!J:J,Ingresos!D:D,"&gt;="&amp;DATE(C241,B241,1),Ingresos!D:D,"&lt;"&amp;EDATE(DATE(C241,B241,1),1))</f>
        <v/>
      </c>
      <c r="E241" s="8">
        <f>SUMIFS(Egresos!H:H,Egresos!B:B,"&gt;="&amp;DATE(C241,B241,1),Egresos!B:B,"&lt;"&amp;EDATE(DATE(C241,B241,1),1))+SUMIFS(Gastos_Mensuales!H:H,Gastos_Mensuales!B:B,B241,Gastos_Mensuales!C:C,C241)+SUMIFS(Impuestos!I:I,Impuestos!B:B,B241,Impuestos!C:C,C241)</f>
        <v/>
      </c>
      <c r="F241" s="8">
        <f>D241-E241</f>
        <v/>
      </c>
      <c r="G241" s="11">
        <f>IFERROR(F241/D241,0)</f>
        <v/>
      </c>
      <c r="H241" s="2">
        <f>COUNTIFS(Cotizaciones!J:J,"Enviada",Cotizaciones!B:B,"&gt;="&amp;DATE(C241,B241,1),Cotizaciones!B:B,"&lt;"&amp;EDATE(DATE(C241,B241,1),1))</f>
        <v/>
      </c>
      <c r="I241" s="2">
        <f>COUNTIFS(Cotizaciones!J:J,"Aprobada",Cotizaciones!B:B,"&gt;="&amp;DATE(C241,B241,1),Cotizaciones!B:B,"&lt;"&amp;EDATE(DATE(C241,B241,1),1))</f>
        <v/>
      </c>
      <c r="J241" s="11">
        <f>IFERROR(I241/H241,0)</f>
        <v/>
      </c>
      <c r="K241" s="8">
        <f>MAX(0,SUM($F$2:F241))</f>
        <v/>
      </c>
      <c r="L241" s="11">
        <f>IFERROR(K241/Configuracion!$K$2,0)</f>
        <v/>
      </c>
      <c r="M241" s="8">
        <f>SUMIFS(Flujo_Caja!H:H,Flujo_Caja!B:B,B241,Flujo_Caja!C:C,C241)</f>
        <v/>
      </c>
      <c r="N241" s="2" t="n"/>
    </row>
    <row r="242">
      <c r="A242" s="2" t="n"/>
      <c r="B242" s="2" t="n"/>
      <c r="C242" s="2" t="n"/>
      <c r="D242" s="8">
        <f>SUMIFS(Ingresos!J:J,Ingresos!D:D,"&gt;="&amp;DATE(C242,B242,1),Ingresos!D:D,"&lt;"&amp;EDATE(DATE(C242,B242,1),1))</f>
        <v/>
      </c>
      <c r="E242" s="8">
        <f>SUMIFS(Egresos!H:H,Egresos!B:B,"&gt;="&amp;DATE(C242,B242,1),Egresos!B:B,"&lt;"&amp;EDATE(DATE(C242,B242,1),1))+SUMIFS(Gastos_Mensuales!H:H,Gastos_Mensuales!B:B,B242,Gastos_Mensuales!C:C,C242)+SUMIFS(Impuestos!I:I,Impuestos!B:B,B242,Impuestos!C:C,C242)</f>
        <v/>
      </c>
      <c r="F242" s="8">
        <f>D242-E242</f>
        <v/>
      </c>
      <c r="G242" s="11">
        <f>IFERROR(F242/D242,0)</f>
        <v/>
      </c>
      <c r="H242" s="2">
        <f>COUNTIFS(Cotizaciones!J:J,"Enviada",Cotizaciones!B:B,"&gt;="&amp;DATE(C242,B242,1),Cotizaciones!B:B,"&lt;"&amp;EDATE(DATE(C242,B242,1),1))</f>
        <v/>
      </c>
      <c r="I242" s="2">
        <f>COUNTIFS(Cotizaciones!J:J,"Aprobada",Cotizaciones!B:B,"&gt;="&amp;DATE(C242,B242,1),Cotizaciones!B:B,"&lt;"&amp;EDATE(DATE(C242,B242,1),1))</f>
        <v/>
      </c>
      <c r="J242" s="11">
        <f>IFERROR(I242/H242,0)</f>
        <v/>
      </c>
      <c r="K242" s="8">
        <f>MAX(0,SUM($F$2:F242))</f>
        <v/>
      </c>
      <c r="L242" s="11">
        <f>IFERROR(K242/Configuracion!$K$2,0)</f>
        <v/>
      </c>
      <c r="M242" s="8">
        <f>SUMIFS(Flujo_Caja!H:H,Flujo_Caja!B:B,B242,Flujo_Caja!C:C,C242)</f>
        <v/>
      </c>
      <c r="N242" s="2" t="n"/>
    </row>
    <row r="243">
      <c r="A243" s="2" t="n"/>
      <c r="B243" s="2" t="n"/>
      <c r="C243" s="2" t="n"/>
      <c r="D243" s="8">
        <f>SUMIFS(Ingresos!J:J,Ingresos!D:D,"&gt;="&amp;DATE(C243,B243,1),Ingresos!D:D,"&lt;"&amp;EDATE(DATE(C243,B243,1),1))</f>
        <v/>
      </c>
      <c r="E243" s="8">
        <f>SUMIFS(Egresos!H:H,Egresos!B:B,"&gt;="&amp;DATE(C243,B243,1),Egresos!B:B,"&lt;"&amp;EDATE(DATE(C243,B243,1),1))+SUMIFS(Gastos_Mensuales!H:H,Gastos_Mensuales!B:B,B243,Gastos_Mensuales!C:C,C243)+SUMIFS(Impuestos!I:I,Impuestos!B:B,B243,Impuestos!C:C,C243)</f>
        <v/>
      </c>
      <c r="F243" s="8">
        <f>D243-E243</f>
        <v/>
      </c>
      <c r="G243" s="11">
        <f>IFERROR(F243/D243,0)</f>
        <v/>
      </c>
      <c r="H243" s="2">
        <f>COUNTIFS(Cotizaciones!J:J,"Enviada",Cotizaciones!B:B,"&gt;="&amp;DATE(C243,B243,1),Cotizaciones!B:B,"&lt;"&amp;EDATE(DATE(C243,B243,1),1))</f>
        <v/>
      </c>
      <c r="I243" s="2">
        <f>COUNTIFS(Cotizaciones!J:J,"Aprobada",Cotizaciones!B:B,"&gt;="&amp;DATE(C243,B243,1),Cotizaciones!B:B,"&lt;"&amp;EDATE(DATE(C243,B243,1),1))</f>
        <v/>
      </c>
      <c r="J243" s="11">
        <f>IFERROR(I243/H243,0)</f>
        <v/>
      </c>
      <c r="K243" s="8">
        <f>MAX(0,SUM($F$2:F243))</f>
        <v/>
      </c>
      <c r="L243" s="11">
        <f>IFERROR(K243/Configuracion!$K$2,0)</f>
        <v/>
      </c>
      <c r="M243" s="8">
        <f>SUMIFS(Flujo_Caja!H:H,Flujo_Caja!B:B,B243,Flujo_Caja!C:C,C243)</f>
        <v/>
      </c>
      <c r="N243" s="2" t="n"/>
    </row>
    <row r="244">
      <c r="A244" s="2" t="n"/>
      <c r="B244" s="2" t="n"/>
      <c r="C244" s="2" t="n"/>
      <c r="D244" s="8">
        <f>SUMIFS(Ingresos!J:J,Ingresos!D:D,"&gt;="&amp;DATE(C244,B244,1),Ingresos!D:D,"&lt;"&amp;EDATE(DATE(C244,B244,1),1))</f>
        <v/>
      </c>
      <c r="E244" s="8">
        <f>SUMIFS(Egresos!H:H,Egresos!B:B,"&gt;="&amp;DATE(C244,B244,1),Egresos!B:B,"&lt;"&amp;EDATE(DATE(C244,B244,1),1))+SUMIFS(Gastos_Mensuales!H:H,Gastos_Mensuales!B:B,B244,Gastos_Mensuales!C:C,C244)+SUMIFS(Impuestos!I:I,Impuestos!B:B,B244,Impuestos!C:C,C244)</f>
        <v/>
      </c>
      <c r="F244" s="8">
        <f>D244-E244</f>
        <v/>
      </c>
      <c r="G244" s="11">
        <f>IFERROR(F244/D244,0)</f>
        <v/>
      </c>
      <c r="H244" s="2">
        <f>COUNTIFS(Cotizaciones!J:J,"Enviada",Cotizaciones!B:B,"&gt;="&amp;DATE(C244,B244,1),Cotizaciones!B:B,"&lt;"&amp;EDATE(DATE(C244,B244,1),1))</f>
        <v/>
      </c>
      <c r="I244" s="2">
        <f>COUNTIFS(Cotizaciones!J:J,"Aprobada",Cotizaciones!B:B,"&gt;="&amp;DATE(C244,B244,1),Cotizaciones!B:B,"&lt;"&amp;EDATE(DATE(C244,B244,1),1))</f>
        <v/>
      </c>
      <c r="J244" s="11">
        <f>IFERROR(I244/H244,0)</f>
        <v/>
      </c>
      <c r="K244" s="8">
        <f>MAX(0,SUM($F$2:F244))</f>
        <v/>
      </c>
      <c r="L244" s="11">
        <f>IFERROR(K244/Configuracion!$K$2,0)</f>
        <v/>
      </c>
      <c r="M244" s="8">
        <f>SUMIFS(Flujo_Caja!H:H,Flujo_Caja!B:B,B244,Flujo_Caja!C:C,C244)</f>
        <v/>
      </c>
      <c r="N244" s="2" t="n"/>
    </row>
    <row r="245">
      <c r="A245" s="2" t="n"/>
      <c r="B245" s="2" t="n"/>
      <c r="C245" s="2" t="n"/>
      <c r="D245" s="8">
        <f>SUMIFS(Ingresos!J:J,Ingresos!D:D,"&gt;="&amp;DATE(C245,B245,1),Ingresos!D:D,"&lt;"&amp;EDATE(DATE(C245,B245,1),1))</f>
        <v/>
      </c>
      <c r="E245" s="8">
        <f>SUMIFS(Egresos!H:H,Egresos!B:B,"&gt;="&amp;DATE(C245,B245,1),Egresos!B:B,"&lt;"&amp;EDATE(DATE(C245,B245,1),1))+SUMIFS(Gastos_Mensuales!H:H,Gastos_Mensuales!B:B,B245,Gastos_Mensuales!C:C,C245)+SUMIFS(Impuestos!I:I,Impuestos!B:B,B245,Impuestos!C:C,C245)</f>
        <v/>
      </c>
      <c r="F245" s="8">
        <f>D245-E245</f>
        <v/>
      </c>
      <c r="G245" s="11">
        <f>IFERROR(F245/D245,0)</f>
        <v/>
      </c>
      <c r="H245" s="2">
        <f>COUNTIFS(Cotizaciones!J:J,"Enviada",Cotizaciones!B:B,"&gt;="&amp;DATE(C245,B245,1),Cotizaciones!B:B,"&lt;"&amp;EDATE(DATE(C245,B245,1),1))</f>
        <v/>
      </c>
      <c r="I245" s="2">
        <f>COUNTIFS(Cotizaciones!J:J,"Aprobada",Cotizaciones!B:B,"&gt;="&amp;DATE(C245,B245,1),Cotizaciones!B:B,"&lt;"&amp;EDATE(DATE(C245,B245,1),1))</f>
        <v/>
      </c>
      <c r="J245" s="11">
        <f>IFERROR(I245/H245,0)</f>
        <v/>
      </c>
      <c r="K245" s="8">
        <f>MAX(0,SUM($F$2:F245))</f>
        <v/>
      </c>
      <c r="L245" s="11">
        <f>IFERROR(K245/Configuracion!$K$2,0)</f>
        <v/>
      </c>
      <c r="M245" s="8">
        <f>SUMIFS(Flujo_Caja!H:H,Flujo_Caja!B:B,B245,Flujo_Caja!C:C,C245)</f>
        <v/>
      </c>
      <c r="N245" s="2" t="n"/>
    </row>
    <row r="246">
      <c r="A246" s="2" t="n"/>
      <c r="B246" s="2" t="n"/>
      <c r="C246" s="2" t="n"/>
      <c r="D246" s="8">
        <f>SUMIFS(Ingresos!J:J,Ingresos!D:D,"&gt;="&amp;DATE(C246,B246,1),Ingresos!D:D,"&lt;"&amp;EDATE(DATE(C246,B246,1),1))</f>
        <v/>
      </c>
      <c r="E246" s="8">
        <f>SUMIFS(Egresos!H:H,Egresos!B:B,"&gt;="&amp;DATE(C246,B246,1),Egresos!B:B,"&lt;"&amp;EDATE(DATE(C246,B246,1),1))+SUMIFS(Gastos_Mensuales!H:H,Gastos_Mensuales!B:B,B246,Gastos_Mensuales!C:C,C246)+SUMIFS(Impuestos!I:I,Impuestos!B:B,B246,Impuestos!C:C,C246)</f>
        <v/>
      </c>
      <c r="F246" s="8">
        <f>D246-E246</f>
        <v/>
      </c>
      <c r="G246" s="11">
        <f>IFERROR(F246/D246,0)</f>
        <v/>
      </c>
      <c r="H246" s="2">
        <f>COUNTIFS(Cotizaciones!J:J,"Enviada",Cotizaciones!B:B,"&gt;="&amp;DATE(C246,B246,1),Cotizaciones!B:B,"&lt;"&amp;EDATE(DATE(C246,B246,1),1))</f>
        <v/>
      </c>
      <c r="I246" s="2">
        <f>COUNTIFS(Cotizaciones!J:J,"Aprobada",Cotizaciones!B:B,"&gt;="&amp;DATE(C246,B246,1),Cotizaciones!B:B,"&lt;"&amp;EDATE(DATE(C246,B246,1),1))</f>
        <v/>
      </c>
      <c r="J246" s="11">
        <f>IFERROR(I246/H246,0)</f>
        <v/>
      </c>
      <c r="K246" s="8">
        <f>MAX(0,SUM($F$2:F246))</f>
        <v/>
      </c>
      <c r="L246" s="11">
        <f>IFERROR(K246/Configuracion!$K$2,0)</f>
        <v/>
      </c>
      <c r="M246" s="8">
        <f>SUMIFS(Flujo_Caja!H:H,Flujo_Caja!B:B,B246,Flujo_Caja!C:C,C246)</f>
        <v/>
      </c>
      <c r="N246" s="2" t="n"/>
    </row>
    <row r="247">
      <c r="A247" s="2" t="n"/>
      <c r="B247" s="2" t="n"/>
      <c r="C247" s="2" t="n"/>
      <c r="D247" s="8">
        <f>SUMIFS(Ingresos!J:J,Ingresos!D:D,"&gt;="&amp;DATE(C247,B247,1),Ingresos!D:D,"&lt;"&amp;EDATE(DATE(C247,B247,1),1))</f>
        <v/>
      </c>
      <c r="E247" s="8">
        <f>SUMIFS(Egresos!H:H,Egresos!B:B,"&gt;="&amp;DATE(C247,B247,1),Egresos!B:B,"&lt;"&amp;EDATE(DATE(C247,B247,1),1))+SUMIFS(Gastos_Mensuales!H:H,Gastos_Mensuales!B:B,B247,Gastos_Mensuales!C:C,C247)+SUMIFS(Impuestos!I:I,Impuestos!B:B,B247,Impuestos!C:C,C247)</f>
        <v/>
      </c>
      <c r="F247" s="8">
        <f>D247-E247</f>
        <v/>
      </c>
      <c r="G247" s="11">
        <f>IFERROR(F247/D247,0)</f>
        <v/>
      </c>
      <c r="H247" s="2">
        <f>COUNTIFS(Cotizaciones!J:J,"Enviada",Cotizaciones!B:B,"&gt;="&amp;DATE(C247,B247,1),Cotizaciones!B:B,"&lt;"&amp;EDATE(DATE(C247,B247,1),1))</f>
        <v/>
      </c>
      <c r="I247" s="2">
        <f>COUNTIFS(Cotizaciones!J:J,"Aprobada",Cotizaciones!B:B,"&gt;="&amp;DATE(C247,B247,1),Cotizaciones!B:B,"&lt;"&amp;EDATE(DATE(C247,B247,1),1))</f>
        <v/>
      </c>
      <c r="J247" s="11">
        <f>IFERROR(I247/H247,0)</f>
        <v/>
      </c>
      <c r="K247" s="8">
        <f>MAX(0,SUM($F$2:F247))</f>
        <v/>
      </c>
      <c r="L247" s="11">
        <f>IFERROR(K247/Configuracion!$K$2,0)</f>
        <v/>
      </c>
      <c r="M247" s="8">
        <f>SUMIFS(Flujo_Caja!H:H,Flujo_Caja!B:B,B247,Flujo_Caja!C:C,C247)</f>
        <v/>
      </c>
      <c r="N247" s="2" t="n"/>
    </row>
    <row r="248">
      <c r="A248" s="2" t="n"/>
      <c r="B248" s="2" t="n"/>
      <c r="C248" s="2" t="n"/>
      <c r="D248" s="8">
        <f>SUMIFS(Ingresos!J:J,Ingresos!D:D,"&gt;="&amp;DATE(C248,B248,1),Ingresos!D:D,"&lt;"&amp;EDATE(DATE(C248,B248,1),1))</f>
        <v/>
      </c>
      <c r="E248" s="8">
        <f>SUMIFS(Egresos!H:H,Egresos!B:B,"&gt;="&amp;DATE(C248,B248,1),Egresos!B:B,"&lt;"&amp;EDATE(DATE(C248,B248,1),1))+SUMIFS(Gastos_Mensuales!H:H,Gastos_Mensuales!B:B,B248,Gastos_Mensuales!C:C,C248)+SUMIFS(Impuestos!I:I,Impuestos!B:B,B248,Impuestos!C:C,C248)</f>
        <v/>
      </c>
      <c r="F248" s="8">
        <f>D248-E248</f>
        <v/>
      </c>
      <c r="G248" s="11">
        <f>IFERROR(F248/D248,0)</f>
        <v/>
      </c>
      <c r="H248" s="2">
        <f>COUNTIFS(Cotizaciones!J:J,"Enviada",Cotizaciones!B:B,"&gt;="&amp;DATE(C248,B248,1),Cotizaciones!B:B,"&lt;"&amp;EDATE(DATE(C248,B248,1),1))</f>
        <v/>
      </c>
      <c r="I248" s="2">
        <f>COUNTIFS(Cotizaciones!J:J,"Aprobada",Cotizaciones!B:B,"&gt;="&amp;DATE(C248,B248,1),Cotizaciones!B:B,"&lt;"&amp;EDATE(DATE(C248,B248,1),1))</f>
        <v/>
      </c>
      <c r="J248" s="11">
        <f>IFERROR(I248/H248,0)</f>
        <v/>
      </c>
      <c r="K248" s="8">
        <f>MAX(0,SUM($F$2:F248))</f>
        <v/>
      </c>
      <c r="L248" s="11">
        <f>IFERROR(K248/Configuracion!$K$2,0)</f>
        <v/>
      </c>
      <c r="M248" s="8">
        <f>SUMIFS(Flujo_Caja!H:H,Flujo_Caja!B:B,B248,Flujo_Caja!C:C,C248)</f>
        <v/>
      </c>
      <c r="N248" s="2" t="n"/>
    </row>
    <row r="249">
      <c r="A249" s="2" t="n"/>
      <c r="B249" s="2" t="n"/>
      <c r="C249" s="2" t="n"/>
      <c r="D249" s="8">
        <f>SUMIFS(Ingresos!J:J,Ingresos!D:D,"&gt;="&amp;DATE(C249,B249,1),Ingresos!D:D,"&lt;"&amp;EDATE(DATE(C249,B249,1),1))</f>
        <v/>
      </c>
      <c r="E249" s="8">
        <f>SUMIFS(Egresos!H:H,Egresos!B:B,"&gt;="&amp;DATE(C249,B249,1),Egresos!B:B,"&lt;"&amp;EDATE(DATE(C249,B249,1),1))+SUMIFS(Gastos_Mensuales!H:H,Gastos_Mensuales!B:B,B249,Gastos_Mensuales!C:C,C249)+SUMIFS(Impuestos!I:I,Impuestos!B:B,B249,Impuestos!C:C,C249)</f>
        <v/>
      </c>
      <c r="F249" s="8">
        <f>D249-E249</f>
        <v/>
      </c>
      <c r="G249" s="11">
        <f>IFERROR(F249/D249,0)</f>
        <v/>
      </c>
      <c r="H249" s="2">
        <f>COUNTIFS(Cotizaciones!J:J,"Enviada",Cotizaciones!B:B,"&gt;="&amp;DATE(C249,B249,1),Cotizaciones!B:B,"&lt;"&amp;EDATE(DATE(C249,B249,1),1))</f>
        <v/>
      </c>
      <c r="I249" s="2">
        <f>COUNTIFS(Cotizaciones!J:J,"Aprobada",Cotizaciones!B:B,"&gt;="&amp;DATE(C249,B249,1),Cotizaciones!B:B,"&lt;"&amp;EDATE(DATE(C249,B249,1),1))</f>
        <v/>
      </c>
      <c r="J249" s="11">
        <f>IFERROR(I249/H249,0)</f>
        <v/>
      </c>
      <c r="K249" s="8">
        <f>MAX(0,SUM($F$2:F249))</f>
        <v/>
      </c>
      <c r="L249" s="11">
        <f>IFERROR(K249/Configuracion!$K$2,0)</f>
        <v/>
      </c>
      <c r="M249" s="8">
        <f>SUMIFS(Flujo_Caja!H:H,Flujo_Caja!B:B,B249,Flujo_Caja!C:C,C249)</f>
        <v/>
      </c>
      <c r="N249" s="2" t="n"/>
    </row>
    <row r="250">
      <c r="A250" s="2" t="n"/>
      <c r="B250" s="2" t="n"/>
      <c r="C250" s="2" t="n"/>
      <c r="D250" s="8">
        <f>SUMIFS(Ingresos!J:J,Ingresos!D:D,"&gt;="&amp;DATE(C250,B250,1),Ingresos!D:D,"&lt;"&amp;EDATE(DATE(C250,B250,1),1))</f>
        <v/>
      </c>
      <c r="E250" s="8">
        <f>SUMIFS(Egresos!H:H,Egresos!B:B,"&gt;="&amp;DATE(C250,B250,1),Egresos!B:B,"&lt;"&amp;EDATE(DATE(C250,B250,1),1))+SUMIFS(Gastos_Mensuales!H:H,Gastos_Mensuales!B:B,B250,Gastos_Mensuales!C:C,C250)+SUMIFS(Impuestos!I:I,Impuestos!B:B,B250,Impuestos!C:C,C250)</f>
        <v/>
      </c>
      <c r="F250" s="8">
        <f>D250-E250</f>
        <v/>
      </c>
      <c r="G250" s="11">
        <f>IFERROR(F250/D250,0)</f>
        <v/>
      </c>
      <c r="H250" s="2">
        <f>COUNTIFS(Cotizaciones!J:J,"Enviada",Cotizaciones!B:B,"&gt;="&amp;DATE(C250,B250,1),Cotizaciones!B:B,"&lt;"&amp;EDATE(DATE(C250,B250,1),1))</f>
        <v/>
      </c>
      <c r="I250" s="2">
        <f>COUNTIFS(Cotizaciones!J:J,"Aprobada",Cotizaciones!B:B,"&gt;="&amp;DATE(C250,B250,1),Cotizaciones!B:B,"&lt;"&amp;EDATE(DATE(C250,B250,1),1))</f>
        <v/>
      </c>
      <c r="J250" s="11">
        <f>IFERROR(I250/H250,0)</f>
        <v/>
      </c>
      <c r="K250" s="8">
        <f>MAX(0,SUM($F$2:F250))</f>
        <v/>
      </c>
      <c r="L250" s="11">
        <f>IFERROR(K250/Configuracion!$K$2,0)</f>
        <v/>
      </c>
      <c r="M250" s="8">
        <f>SUMIFS(Flujo_Caja!H:H,Flujo_Caja!B:B,B250,Flujo_Caja!C:C,C250)</f>
        <v/>
      </c>
      <c r="N25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0" customWidth="1" min="5" max="5"/>
    <col width="38" customWidth="1" min="6" max="6"/>
    <col width="22" customWidth="1" min="7" max="7"/>
    <col width="36" customWidth="1" min="8" max="8"/>
  </cols>
  <sheetData>
    <row r="1">
      <c r="A1" s="4" t="inlineStr">
        <is>
          <t>Tabla</t>
        </is>
      </c>
      <c r="B1" s="4" t="inlineStr">
        <is>
          <t>Columna</t>
        </is>
      </c>
      <c r="C1" s="4" t="inlineStr">
        <is>
          <t>Tipo AppSheet</t>
        </is>
      </c>
      <c r="D1" s="4" t="inlineStr">
        <is>
          <t>Key</t>
        </is>
      </c>
      <c r="E1" s="4" t="inlineStr">
        <is>
          <t>Label</t>
        </is>
      </c>
      <c r="F1" s="4" t="inlineStr">
        <is>
          <t>Formula / App formula</t>
        </is>
      </c>
      <c r="G1" s="4" t="inlineStr">
        <is>
          <t>Validacion / Valores</t>
        </is>
      </c>
      <c r="H1" s="4" t="inlineStr">
        <is>
          <t>Notas</t>
        </is>
      </c>
    </row>
    <row r="2">
      <c r="A2" s="2" t="inlineStr">
        <is>
          <t>Configuracion</t>
        </is>
      </c>
      <c r="B2" s="2" t="inlineStr">
        <is>
          <t>ID_Config</t>
        </is>
      </c>
      <c r="C2" s="2" t="inlineStr">
        <is>
          <t>Text</t>
        </is>
      </c>
      <c r="D2" s="2" t="inlineStr">
        <is>
          <t>Y</t>
        </is>
      </c>
      <c r="E2" s="2" t="inlineStr"/>
      <c r="F2" s="2" t="inlineStr">
        <is>
          <t>UNIQUEID("CFG")</t>
        </is>
      </c>
      <c r="G2" s="2" t="inlineStr"/>
      <c r="H2" s="2" t="inlineStr">
        <is>
          <t>Una fila principal de parametros.</t>
        </is>
      </c>
    </row>
    <row r="3">
      <c r="A3" s="2" t="inlineStr">
        <is>
          <t>Presupuesto_Inicial</t>
        </is>
      </c>
      <c r="B3" s="2" t="inlineStr">
        <is>
          <t>ID_Item</t>
        </is>
      </c>
      <c r="C3" s="2" t="inlineStr">
        <is>
          <t>Text</t>
        </is>
      </c>
      <c r="D3" s="2" t="inlineStr">
        <is>
          <t>Y</t>
        </is>
      </c>
      <c r="E3" s="2" t="inlineStr"/>
      <c r="F3" s="2" t="inlineStr">
        <is>
          <t>UNIQUEID("PRE")</t>
        </is>
      </c>
      <c r="G3" s="2" t="inlineStr"/>
      <c r="H3" s="2" t="inlineStr">
        <is>
          <t>Tabla de inversion inicial.</t>
        </is>
      </c>
    </row>
    <row r="4">
      <c r="A4" s="2" t="inlineStr">
        <is>
          <t>Presupuesto_Inicial</t>
        </is>
      </c>
      <c r="B4" s="2" t="inlineStr">
        <is>
          <t>Subtotal</t>
        </is>
      </c>
      <c r="C4" s="2" t="inlineStr">
        <is>
          <t>Price</t>
        </is>
      </c>
      <c r="D4" s="2" t="inlineStr"/>
      <c r="E4" s="2" t="inlineStr"/>
      <c r="F4" s="2" t="inlineStr">
        <is>
          <t>[Cantidad] * [Valor_Unitario]</t>
        </is>
      </c>
      <c r="G4" s="2" t="inlineStr"/>
      <c r="H4" s="2" t="inlineStr">
        <is>
          <t>App formula o spreadsheet formula.</t>
        </is>
      </c>
    </row>
    <row r="5">
      <c r="A5" s="2" t="inlineStr">
        <is>
          <t>Activos</t>
        </is>
      </c>
      <c r="B5" s="2" t="inlineStr">
        <is>
          <t>ID_Activo</t>
        </is>
      </c>
      <c r="C5" s="2" t="inlineStr">
        <is>
          <t>Text</t>
        </is>
      </c>
      <c r="D5" s="2" t="inlineStr">
        <is>
          <t>Y</t>
        </is>
      </c>
      <c r="E5" s="2" t="inlineStr"/>
      <c r="F5" s="2" t="inlineStr">
        <is>
          <t>UNIQUEID("ACT")</t>
        </is>
      </c>
      <c r="G5" s="2" t="inlineStr"/>
      <c r="H5" s="2" t="inlineStr">
        <is>
          <t>Activos comprados.</t>
        </is>
      </c>
    </row>
    <row r="6">
      <c r="A6" s="2" t="inlineStr">
        <is>
          <t>Activos</t>
        </is>
      </c>
      <c r="B6" s="2" t="inlineStr">
        <is>
          <t>Depreciacion_Mensual</t>
        </is>
      </c>
      <c r="C6" s="2" t="inlineStr">
        <is>
          <t>Price</t>
        </is>
      </c>
      <c r="D6" s="2" t="inlineStr"/>
      <c r="E6" s="2" t="inlineStr"/>
      <c r="F6" s="2" t="inlineStr">
        <is>
          <t>[Valor_Compra] / [Vida_Util_Meses]</t>
        </is>
      </c>
      <c r="G6" s="2" t="inlineStr"/>
      <c r="H6" s="2" t="inlineStr">
        <is>
          <t>Proteger contra division por cero.</t>
        </is>
      </c>
    </row>
    <row r="7">
      <c r="A7" s="2" t="inlineStr">
        <is>
          <t>Clientes</t>
        </is>
      </c>
      <c r="B7" s="2" t="inlineStr">
        <is>
          <t>ID_Cliente</t>
        </is>
      </c>
      <c r="C7" s="2" t="inlineStr">
        <is>
          <t>Text</t>
        </is>
      </c>
      <c r="D7" s="2" t="inlineStr">
        <is>
          <t>Y</t>
        </is>
      </c>
      <c r="E7" s="2" t="inlineStr">
        <is>
          <t>Y</t>
        </is>
      </c>
      <c r="F7" s="2" t="inlineStr">
        <is>
          <t>UNIQUEID("CLI")</t>
        </is>
      </c>
      <c r="G7" s="2" t="inlineStr"/>
      <c r="H7" s="2" t="inlineStr">
        <is>
          <t>CRM simple.</t>
        </is>
      </c>
    </row>
    <row r="8">
      <c r="A8" s="2" t="inlineStr">
        <is>
          <t>Cotizaciones</t>
        </is>
      </c>
      <c r="B8" s="2" t="inlineStr">
        <is>
          <t>ID_Cotizacion</t>
        </is>
      </c>
      <c r="C8" s="2" t="inlineStr">
        <is>
          <t>Text</t>
        </is>
      </c>
      <c r="D8" s="2" t="inlineStr">
        <is>
          <t>Y</t>
        </is>
      </c>
      <c r="E8" s="2" t="inlineStr"/>
      <c r="F8" s="2" t="inlineStr">
        <is>
          <t>UNIQUEID("COT")</t>
        </is>
      </c>
      <c r="G8" s="2" t="inlineStr"/>
      <c r="H8" s="2" t="inlineStr">
        <is>
          <t>Kanban por estado.</t>
        </is>
      </c>
    </row>
    <row r="9">
      <c r="A9" s="2" t="inlineStr">
        <is>
          <t>Cotizaciones</t>
        </is>
      </c>
      <c r="B9" s="2" t="inlineStr">
        <is>
          <t>IVA</t>
        </is>
      </c>
      <c r="C9" s="2" t="inlineStr">
        <is>
          <t>Price</t>
        </is>
      </c>
      <c r="D9" s="2" t="inlineStr"/>
      <c r="E9" s="2" t="inlineStr"/>
      <c r="F9" s="2" t="inlineStr">
        <is>
          <t>[Monto_Neto] * ANY(Configuracion[IVA_Porcentaje])</t>
        </is>
      </c>
      <c r="G9" s="2" t="inlineStr"/>
      <c r="H9" s="2" t="inlineStr">
        <is>
          <t>IVA Chile default 19%.</t>
        </is>
      </c>
    </row>
    <row r="10">
      <c r="A10" s="2" t="inlineStr">
        <is>
          <t>Proyectos</t>
        </is>
      </c>
      <c r="B10" s="2" t="inlineStr">
        <is>
          <t>ID_Proyecto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Y</t>
        </is>
      </c>
      <c r="F10" s="2" t="inlineStr">
        <is>
          <t>UNIQUEID("PRO")</t>
        </is>
      </c>
      <c r="G10" s="2" t="inlineStr"/>
      <c r="H10" s="2" t="inlineStr">
        <is>
          <t>Se crea desde cotizacion aprobada.</t>
        </is>
      </c>
    </row>
    <row r="11">
      <c r="A11" s="2" t="inlineStr">
        <is>
          <t>Ingresos</t>
        </is>
      </c>
      <c r="B11" s="2" t="inlineStr">
        <is>
          <t>PPM</t>
        </is>
      </c>
      <c r="C11" s="2" t="inlineStr">
        <is>
          <t>Price</t>
        </is>
      </c>
      <c r="D11" s="2" t="inlineStr"/>
      <c r="E11" s="2" t="inlineStr"/>
      <c r="F11" s="2" t="inlineStr">
        <is>
          <t>[Monto_Neto] * ANY(Configuracion[PPM_Porcentaje])</t>
        </is>
      </c>
      <c r="G11" s="2" t="inlineStr"/>
      <c r="H11" s="2" t="inlineStr">
        <is>
          <t>Editable desde Configuracion.</t>
        </is>
      </c>
    </row>
    <row r="12">
      <c r="A12" s="2" t="inlineStr">
        <is>
          <t>Documentos</t>
        </is>
      </c>
      <c r="B12" s="2" t="inlineStr">
        <is>
          <t>Archivo</t>
        </is>
      </c>
      <c r="C12" s="2" t="inlineStr">
        <is>
          <t>File</t>
        </is>
      </c>
      <c r="D12" s="2" t="inlineStr"/>
      <c r="E12" s="2" t="inlineStr"/>
      <c r="F12" s="2" t="inlineStr"/>
      <c r="G12" s="2" t="inlineStr"/>
      <c r="H12" s="2" t="inlineStr">
        <is>
          <t>Adjunto en Google Drive/AppSheet.</t>
        </is>
      </c>
    </row>
    <row r="13">
      <c r="A13" s="2" t="inlineStr">
        <is>
          <t>Roadmap</t>
        </is>
      </c>
      <c r="B13" s="2" t="inlineStr">
        <is>
          <t>Porcentaje_Avance</t>
        </is>
      </c>
      <c r="C13" s="2" t="inlineStr">
        <is>
          <t>Percent</t>
        </is>
      </c>
      <c r="D13" s="2" t="inlineStr"/>
      <c r="E13" s="2" t="inlineStr"/>
      <c r="F13" s="2" t="inlineStr"/>
      <c r="G13" s="2" t="inlineStr">
        <is>
          <t>0 a 100%</t>
        </is>
      </c>
      <c r="H13" s="2" t="inlineStr">
        <is>
          <t>Checklist de consolidacion.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9" customWidth="1" min="4" max="4"/>
    <col width="21" customWidth="1" min="5" max="5"/>
    <col width="27" customWidth="1" min="6" max="6"/>
  </cols>
  <sheetData>
    <row r="1">
      <c r="A1" s="4" t="inlineStr">
        <is>
          <t>Estado_Compra</t>
        </is>
      </c>
      <c r="B1" s="4" t="inlineStr">
        <is>
          <t>Estado_Cotizacion</t>
        </is>
      </c>
      <c r="C1" s="4" t="inlineStr">
        <is>
          <t>Estado_Proyecto</t>
        </is>
      </c>
      <c r="D1" s="4" t="inlineStr">
        <is>
          <t>Estado_Pago_Cobro</t>
        </is>
      </c>
      <c r="E1" s="4" t="inlineStr">
        <is>
          <t>Categoria_Documento</t>
        </is>
      </c>
      <c r="F1" s="4" t="inlineStr">
        <is>
          <t>Etapas_Roadmap</t>
        </is>
      </c>
    </row>
    <row r="2">
      <c r="A2" s="2" t="inlineStr">
        <is>
          <t>Pendiente</t>
        </is>
      </c>
      <c r="B2" s="2" t="inlineStr">
        <is>
          <t>Borrador</t>
        </is>
      </c>
      <c r="C2" s="2" t="inlineStr">
        <is>
          <t>No iniciado</t>
        </is>
      </c>
      <c r="D2" s="2" t="inlineStr">
        <is>
          <t>Pendiente</t>
        </is>
      </c>
      <c r="E2" s="2" t="inlineStr">
        <is>
          <t>Legal</t>
        </is>
      </c>
      <c r="F2" s="2" t="inlineStr">
        <is>
          <t>Formalizacion</t>
        </is>
      </c>
    </row>
    <row r="3">
      <c r="A3" s="2" t="inlineStr">
        <is>
          <t>Cotizado</t>
        </is>
      </c>
      <c r="B3" s="2" t="inlineStr">
        <is>
          <t>Enviada</t>
        </is>
      </c>
      <c r="C3" s="2" t="inlineStr">
        <is>
          <t>En ejecucion</t>
        </is>
      </c>
      <c r="D3" s="2" t="inlineStr">
        <is>
          <t>Pagado</t>
        </is>
      </c>
      <c r="E3" s="2" t="inlineStr">
        <is>
          <t>Tributario</t>
        </is>
      </c>
      <c r="F3" s="2" t="inlineStr">
        <is>
          <t>Compra de equipos</t>
        </is>
      </c>
    </row>
    <row r="4">
      <c r="A4" s="2" t="inlineStr">
        <is>
          <t>Comprado</t>
        </is>
      </c>
      <c r="B4" s="2" t="inlineStr">
        <is>
          <t>Aprobada</t>
        </is>
      </c>
      <c r="C4" s="2" t="inlineStr">
        <is>
          <t>Pausado</t>
        </is>
      </c>
      <c r="D4" s="2" t="inlineStr">
        <is>
          <t>Vencido</t>
        </is>
      </c>
      <c r="E4" s="2" t="inlineStr">
        <is>
          <t>Comercial</t>
        </is>
      </c>
      <c r="F4" s="2" t="inlineStr">
        <is>
          <t>Imagen comercial</t>
        </is>
      </c>
    </row>
    <row r="5">
      <c r="A5" s="2" t="inlineStr">
        <is>
          <t>Postergado</t>
        </is>
      </c>
      <c r="B5" s="2" t="inlineStr">
        <is>
          <t>Rechazada</t>
        </is>
      </c>
      <c r="C5" s="2" t="inlineStr">
        <is>
          <t>Terminado</t>
        </is>
      </c>
      <c r="D5" s="2" t="inlineStr">
        <is>
          <t>Parcial</t>
        </is>
      </c>
      <c r="E5" s="2" t="inlineStr">
        <is>
          <t>Tecnico</t>
        </is>
      </c>
      <c r="F5" s="2" t="inlineStr">
        <is>
          <t>Captacion de clientes</t>
        </is>
      </c>
    </row>
    <row r="6">
      <c r="A6" s="2" t="inlineStr">
        <is>
          <t>Eliminado</t>
        </is>
      </c>
      <c r="B6" s="2" t="inlineStr">
        <is>
          <t>Vencida</t>
        </is>
      </c>
      <c r="C6" s="2" t="inlineStr">
        <is>
          <t>Facturado</t>
        </is>
      </c>
      <c r="D6" s="2" t="inlineStr">
        <is>
          <t>Anulado</t>
        </is>
      </c>
      <c r="E6" s="2" t="inlineStr">
        <is>
          <t>Contrato</t>
        </is>
      </c>
      <c r="F6" s="2" t="inlineStr">
        <is>
          <t>Primeros proyectos</t>
        </is>
      </c>
    </row>
    <row r="7">
      <c r="A7" s="2" t="n"/>
      <c r="B7" s="2" t="n"/>
      <c r="C7" s="2" t="inlineStr">
        <is>
          <t>Cerrado</t>
        </is>
      </c>
      <c r="D7" s="2" t="inlineStr">
        <is>
          <t>No aplica</t>
        </is>
      </c>
      <c r="E7" s="2" t="inlineStr">
        <is>
          <t>Cotizacion</t>
        </is>
      </c>
      <c r="F7" s="2" t="inlineStr">
        <is>
          <t>Control financiero</t>
        </is>
      </c>
    </row>
    <row r="8">
      <c r="A8" s="2" t="n"/>
      <c r="B8" s="2" t="n"/>
      <c r="C8" s="2" t="n"/>
      <c r="D8" s="2" t="n"/>
      <c r="E8" s="2" t="inlineStr">
        <is>
          <t>Factura</t>
        </is>
      </c>
      <c r="F8" s="2" t="inlineStr">
        <is>
          <t>Regularizacion tributaria</t>
        </is>
      </c>
    </row>
    <row r="9">
      <c r="A9" s="2" t="n"/>
      <c r="B9" s="2" t="n"/>
      <c r="C9" s="2" t="n"/>
      <c r="D9" s="2" t="n"/>
      <c r="E9" s="2" t="inlineStr">
        <is>
          <t>Certificado</t>
        </is>
      </c>
      <c r="F9" s="2" t="inlineStr">
        <is>
          <t>Consolidacion urbana</t>
        </is>
      </c>
    </row>
    <row r="10">
      <c r="A10" s="2" t="n"/>
      <c r="B10" s="2" t="n"/>
      <c r="C10" s="2" t="n"/>
      <c r="D10" s="2" t="n"/>
      <c r="E10" s="2" t="inlineStr">
        <is>
          <t>Seguro</t>
        </is>
      </c>
      <c r="F10" s="2" t="inlineStr">
        <is>
          <t>Entrada a mineria</t>
        </is>
      </c>
    </row>
    <row r="11">
      <c r="A11" s="2" t="n"/>
      <c r="B11" s="2" t="n"/>
      <c r="C11" s="2" t="n"/>
      <c r="D11" s="2" t="n"/>
      <c r="E11" s="2" t="inlineStr">
        <is>
          <t>Otro</t>
        </is>
      </c>
      <c r="F11" s="2" t="inlineStr">
        <is>
          <t>Evolucion consultora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2026-06-21T01:42:38Z</dcterms:created>
  <dcterms:modified xmlns:dcterms="http://purl.org/dc/terms/" xmlns:xsi="http://www.w3.org/2001/XMLSchema-instance" xsi:type="dcterms:W3CDTF">2026-06-21T01:42:44Z</dcterms:modified>
</cp:coreProperties>
</file>